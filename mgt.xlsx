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pivotTables/_rels/pivotTable1.xml.rels" ContentType="application/vnd.openxmlformats-package.relationships+xml"/>
  <Override PartName="/xl/pivotTables/pivotTable1.xml" ContentType="application/vnd.openxmlformats-officedocument.spreadsheetml.pivotTable+xml"/>
  <Override PartName="/xl/styles.xml" ContentType="application/vnd.openxmlformats-officedocument.spreadsheetml.styles+xml"/>
  <Override PartName="/xl/worksheets/_rels/sheet5.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pivotCache/pivotCacheDefinition1.xml" ContentType="application/vnd.openxmlformats-officedocument.spreadsheetml.pivotCacheDefinition+xml"/>
  <Override PartName="/xl/pivotCache/_rels/pivotCacheDefinition1.xml.rels" ContentType="application/vnd.openxmlformats-package.relationships+xml"/>
  <Override PartName="/xl/pivotCache/pivotCacheRecords1.xml" ContentType="application/vnd.openxmlformats-officedocument.spreadsheetml.pivotCacheRecords+xml"/>
  <Override PartName="/xl/drawings/drawing1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9.xml" ContentType="application/vnd.openxmlformats-officedocument.drawing+xml"/>
  <Override PartName="/xl/drawings/drawing1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10.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me" sheetId="1" state="visible" r:id="rId3"/>
    <sheet name="PT_templ" sheetId="2" state="visible" r:id="rId4"/>
    <sheet name="Tracker" sheetId="3" state="visible" r:id="rId5"/>
    <sheet name="GTD" sheetId="4" state="visible" r:id="rId6"/>
    <sheet name="Log" sheetId="5" state="visible" r:id="rId7"/>
    <sheet name="01.09.Planning" sheetId="6" state="visible" r:id="rId8"/>
    <sheet name="01.10.Projects" sheetId="7" state="visible" r:id="rId9"/>
    <sheet name="10.Ops" sheetId="8" state="visible" r:id="rId10"/>
    <sheet name="12.01.Staff" sheetId="9" state="visible" r:id="rId11"/>
    <sheet name="12.02.Assets" sheetId="10" state="visible" r:id="rId12"/>
    <sheet name="12.03.Suppliers" sheetId="11" state="visible" r:id="rId13"/>
    <sheet name="20.Services" sheetId="12" state="visible" r:id="rId14"/>
    <sheet name="30.Clients" sheetId="13" state="visible" r:id="rId15"/>
    <sheet name="40.Environment" sheetId="14" state="visible" r:id="rId16"/>
    <sheet name="51.Finance" sheetId="15" state="visible" r:id="rId17"/>
    <sheet name="99.DayPlan" sheetId="16" state="visible" r:id="rId18"/>
    <sheet name="Static" sheetId="17" state="visible" r:id="rId19"/>
  </sheets>
  <definedNames>
    <definedName function="false" hidden="true" localSheetId="5" name="_xlnm._FilterDatabase" vbProcedure="false">'01.09.Planning'!$A$17:$AU$74</definedName>
    <definedName function="false" hidden="true" localSheetId="6" name="_xlnm._FilterDatabase" vbProcedure="false">'01.10.Projects'!$A$20:$DZ$55</definedName>
    <definedName function="false" hidden="true" localSheetId="7" name="_xlnm._FilterDatabase" vbProcedure="false">'10.Ops'!$A$4:$AG$36</definedName>
    <definedName function="false" hidden="true" localSheetId="8" name="_xlnm._FilterDatabase" vbProcedure="false">'12.01.Staff'!$A$4:$Y$39</definedName>
    <definedName function="false" hidden="true" localSheetId="9" name="_xlnm._FilterDatabase" vbProcedure="false">'12.02.Assets'!$A$4:$O$40</definedName>
    <definedName function="false" hidden="true" localSheetId="10" name="_xlnm._FilterDatabase" vbProcedure="false">'12.03.Suppliers'!$A$4:$P$39</definedName>
    <definedName function="false" hidden="true" localSheetId="11" name="_xlnm._FilterDatabase" vbProcedure="false">'20.Services'!$A$4:$N$39</definedName>
    <definedName function="false" hidden="true" localSheetId="12" name="_xlnm._FilterDatabase" vbProcedure="false">'30.Clients'!$A$4:$N$39</definedName>
    <definedName function="false" hidden="true" localSheetId="13" name="_xlnm._FilterDatabase" vbProcedure="false">'40.Environment'!$A$4:$N$39</definedName>
    <definedName function="false" hidden="true" localSheetId="14" name="_xlnm._FilterDatabase" vbProcedure="false">'51.Finance'!$A$4:$I$39</definedName>
    <definedName function="false" hidden="true" localSheetId="15" name="_xlnm._FilterDatabase" vbProcedure="false">'99.DayPlan'!$A$4:$G$55</definedName>
    <definedName function="false" hidden="true" localSheetId="3" name="_xlnm._FilterDatabase" vbProcedure="false">GTD!$A$4:$Q$61</definedName>
    <definedName function="false" hidden="true" localSheetId="4" name="_xlnm._FilterDatabase" vbProcedure="false">Log!$A$24:$O$81</definedName>
    <definedName function="false" hidden="true" localSheetId="2" name="_xlnm._FilterDatabase" vbProcedure="false">Tracker!$A$24:$BW$92</definedName>
    <definedName function="false" hidden="false" localSheetId="7" name="_xlnm._FilterDatabase_0_0" vbProcedure="false">'10.Ops'!$A$3:$AG$36</definedName>
    <definedName function="false" hidden="false" localSheetId="8" name="_xlnm._FilterDatabase_0_0" vbProcedure="false">'12.01.Staff'!$A$3:$Y$39</definedName>
    <definedName function="false" hidden="false" localSheetId="9" name="_xlnm._FilterDatabase_0_0" vbProcedure="false">'12.02.Assets'!$A$3:$O$40</definedName>
    <definedName function="false" hidden="false" localSheetId="10" name="_xlnm._FilterDatabase_0_0" vbProcedure="false">'12.03.Suppliers'!$A$3:$P$39</definedName>
    <definedName function="false" hidden="false" localSheetId="11" name="_xlnm._FilterDatabase_0_0" vbProcedure="false">'20.Services'!$A$3:$N$39</definedName>
    <definedName function="false" hidden="false" localSheetId="12" name="_xlnm._FilterDatabase_0_0" vbProcedure="false">'30.Clients'!$A$3:$N$39</definedName>
    <definedName function="false" hidden="false" localSheetId="13" name="_xlnm._FilterDatabase_0_0" vbProcedure="false">'40.Environment'!$A$3:$N$39</definedName>
    <definedName function="false" hidden="false" localSheetId="14" name="_xlnm._FilterDatabase_0_0" vbProcedure="false">'51.Finance'!$A$3:$I$39</definedName>
    <definedName function="false" hidden="false" localSheetId="15" name="_xlnm._FilterDatabase_0_0" vbProcedure="false">'99.DayPlan'!$A$3:$G$55</definedName>
  </definedNames>
  <calcPr iterateCount="100" refMode="A1" iterate="false" iterateDelta="0.001"/>
  <pivotCaches>
    <pivotCache cacheId="1" r:id="rId21"/>
  </pivotCaches>
  <extLst>
    <ext xmlns:loext="http://schemas.libreoffice.org/" uri="{7626C862-2A13-11E5-B345-FEFF819CDC9F}">
      <loext:extCalcPr stringRefSyntax="CalcA1"/>
    </ext>
  </extLst>
</workbook>
</file>

<file path=xl/sharedStrings.xml><?xml version="1.0" encoding="utf-8"?>
<sst xmlns="http://schemas.openxmlformats.org/spreadsheetml/2006/main" count="2996" uniqueCount="1168">
  <si>
    <t xml:space="preserve"># INTRODUCTION</t>
  </si>
  <si>
    <t xml:space="preserve">The Management Spreadsheet (MSS) is a Software built in LibreOffice and saved as Excel xlsx file.</t>
  </si>
  <si>
    <t xml:space="preserve">It is considered a Tool and integral part of the *Management Framework* as discused in the note MGT: Legend.</t>
  </si>
  <si>
    <t xml:space="preserve">This software can be used on a standalone basis but its strength is in use with the MGT: xxx notes. </t>
  </si>
  <si>
    <t xml:space="preserve">The software can be found wihtin the management file structure in the following location: ~/mgt/mgt.xlsx</t>
  </si>
  <si>
    <t xml:space="preserve">MSS is the same for perso and work context, and the master of the functionality is maintained in the perso context.</t>
  </si>
  <si>
    <t xml:space="preserve">As per the license, see below, the software can be used freely, but it is stressed here that that free distribution only pertains to concepts and functionality.</t>
  </si>
  <si>
    <t xml:space="preserve">In other words, data collected in the spreadsheet is confidential for the context used, and even specific to the Venture.</t>
  </si>
  <si>
    <t xml:space="preserve">In order to use this file efficiently the key concepts of the Management Framework need to be understood. </t>
  </si>
  <si>
    <t xml:space="preserve">These concepts are discussed in the note MGT: Legend. The implementation of the concepts through Tools is discussed in note MGT: 99.Tools.</t>
  </si>
  <si>
    <t xml:space="preserve">All sheets in MSS are functionally the same in perso and work context with one exception (see further below).</t>
  </si>
  <si>
    <t xml:space="preserve">This in turn means they seek to collect the same data types and to calculate the same values.</t>
  </si>
  <si>
    <t xml:space="preserve">Sheets have tab colors that indicate the type of sheet they are, they are explained below in [# SHEETS].</t>
  </si>
  <si>
    <t xml:space="preserve">The Sheet=readme (the one you are currently reading) is the same for perso and work context.</t>
  </si>
  <si>
    <t xml:space="preserve">Like the entire file, it is maintained in the perso context, and is copied as is to the work context.</t>
  </si>
  <si>
    <t xml:space="preserve">The only sheets that are not functionally the same are PT_xxx sheets i.e. sheets with Pivot Tables based on data in the other sheets.</t>
  </si>
  <si>
    <t xml:space="preserve">The PT_xxx sheets are used to report to different Stakeholders and they depend strictly on the context.</t>
  </si>
  <si>
    <t xml:space="preserve">The PT_xxx sheets all have white tab color to clearly set them apart.</t>
  </si>
  <si>
    <t xml:space="preserve">Within all Sheets *Column headings* are grey with white text.</t>
  </si>
  <si>
    <t xml:space="preserve">For work context, where context specific data needs to be added, the column heading should be blue (with white text).</t>
  </si>
  <si>
    <t xml:space="preserve">Details are provided below under [# COLUMNS]</t>
  </si>
  <si>
    <t xml:space="preserve"># LICENSE</t>
  </si>
  <si>
    <t xml:space="preserve">The license of this software is as per [MGT: Legend # LICENSE].  It is repeated here.</t>
  </si>
  <si>
    <t xml:space="preserve">MSS is a Tool for the implementation of the Management Framework based on [MGT: Legend # PROFILE] and [MGT: 99.Tools ## MSS].</t>
  </si>
  <si>
    <t xml:space="preserve">Copyright (c) 2022 Sander Elzinga,    sander.elzinga@gmail.com</t>
  </si>
  <si>
    <t xml:space="preserve"> </t>
  </si>
  <si>
    <t xml:space="preserve">This program is free software: you can redistribute it and/or modify</t>
  </si>
  <si>
    <t xml:space="preserve">it under the terms of the GNU General Public License as published by</t>
  </si>
  <si>
    <t xml:space="preserve">the Free Software Foundation, either version 3 of the License, or</t>
  </si>
  <si>
    <t xml:space="preserve">(at your option) any later version.</t>
  </si>
  <si>
    <t xml:space="preserve">This program is distributed in the hope that it will be useful,</t>
  </si>
  <si>
    <t xml:space="preserve">but WITHOUT ANY WARRANTY; without even the implied warranty of</t>
  </si>
  <si>
    <t xml:space="preserve">MERCHANTABILITY or FITNESS FOR A PARTICULAR PURPOSE.  See the</t>
  </si>
  <si>
    <t xml:space="preserve">GNU General Public License for more details.</t>
  </si>
  <si>
    <t xml:space="preserve">You should have received a copy of the GNU General Public License</t>
  </si>
  <si>
    <t xml:space="preserve">along with this program. If not, see &lt;https://www.gnu.org/licenses/&gt;.</t>
  </si>
  <si>
    <t xml:space="preserve">The data in sheets*) is not part of the GNU License, nor is it part of the Creative Commons license as mentioned in [MGT: Legend # LICENSE]. </t>
  </si>
  <si>
    <t xml:space="preserve">As such, none of the data in the sheets  *) can be distributed outside of this work context.</t>
  </si>
  <si>
    <t xml:space="preserve">*) Data is the data entered in addition to the formulas, static data, headers, and in addition of the data already provided in the master file.</t>
  </si>
  <si>
    <t xml:space="preserve"># SHEETS</t>
  </si>
  <si>
    <t xml:space="preserve">    ## Overview</t>
  </si>
  <si>
    <t xml:space="preserve">Sheets are aligned to specific parts of the [MGT: 99.Tools ## RPT] and have therefore specific tab colours.</t>
  </si>
  <si>
    <t xml:space="preserve">The list of sheets are provided below with an explanation.</t>
  </si>
  <si>
    <t xml:space="preserve">Most sheets have a first Row that explains for each column in the Row what the undelrying data is.</t>
  </si>
  <si>
    <t xml:space="preserve">This makes each sheet self explanatory because it suffices to read the details in the first row.</t>
  </si>
  <si>
    <t xml:space="preserve">Readme</t>
  </si>
  <si>
    <t xml:space="preserve">This sheet. It explains what the MSS file does.</t>
  </si>
  <si>
    <t xml:space="preserve">PT_xxx</t>
  </si>
  <si>
    <t xml:space="preserve">Sheet names starting with PT_ is a Pivot Table report for a specific purpose, there can be many sheets. </t>
  </si>
  <si>
    <t xml:space="preserve">M0</t>
  </si>
  <si>
    <t xml:space="preserve">Mangerial 7 nr 0: Management</t>
  </si>
  <si>
    <t xml:space="preserve">M1</t>
  </si>
  <si>
    <t xml:space="preserve">Mangerial 7 nr 1: Revenue</t>
  </si>
  <si>
    <t xml:space="preserve">M2</t>
  </si>
  <si>
    <t xml:space="preserve">Mangerial 7 nr 2: Cost</t>
  </si>
  <si>
    <t xml:space="preserve">M3</t>
  </si>
  <si>
    <t xml:space="preserve">Mangerial 7 nr 3: Risk</t>
  </si>
  <si>
    <t xml:space="preserve">M4</t>
  </si>
  <si>
    <t xml:space="preserve">Mangerial 7 nr 4: Run</t>
  </si>
  <si>
    <t xml:space="preserve">M5</t>
  </si>
  <si>
    <t xml:space="preserve">Mangerial 7 nr 5: Change</t>
  </si>
  <si>
    <t xml:space="preserve">M6</t>
  </si>
  <si>
    <t xml:space="preserve">Mangerial 7 nr 6: Intel</t>
  </si>
  <si>
    <t xml:space="preserve">5.Staff</t>
  </si>
  <si>
    <t xml:space="preserve">RPT Component with details from Resource =Staff</t>
  </si>
  <si>
    <t xml:space="preserve">6.Assets</t>
  </si>
  <si>
    <t xml:space="preserve">RPT Component with details from Resource = Assets</t>
  </si>
  <si>
    <t xml:space="preserve">7.Supplier</t>
  </si>
  <si>
    <t xml:space="preserve">RPT Component with details from Resource = Suppliers</t>
  </si>
  <si>
    <t xml:space="preserve">8.Services</t>
  </si>
  <si>
    <t xml:space="preserve">Profile Tree component with details frrom the Services offered to Clients.</t>
  </si>
  <si>
    <t xml:space="preserve">9.Clients</t>
  </si>
  <si>
    <t xml:space="preserve">Profile Tree component with details frrom the Clients of the Venture</t>
  </si>
  <si>
    <t xml:space="preserve">A.Environment</t>
  </si>
  <si>
    <t xml:space="preserve">Profile Tree component with details frrom the Environment.</t>
  </si>
  <si>
    <t xml:space="preserve">B.Finance</t>
  </si>
  <si>
    <t xml:space="preserve">Optional: Slides for Business Functions if relevant (Finance, Procurement, etc).</t>
  </si>
  <si>
    <t xml:space="preserve">Static</t>
  </si>
  <si>
    <t xml:space="preserve">Contains static data used on other sheets</t>
  </si>
  <si>
    <t xml:space="preserve">    ## Using Sheets</t>
  </si>
  <si>
    <t xml:space="preserve">M0 – M6</t>
  </si>
  <si>
    <t xml:space="preserve">Refer to [MGT: 99.Tools ## Mxx</t>
  </si>
  <si>
    <t xml:space="preserve">11.Staff</t>
  </si>
  <si>
    <t xml:space="preserve">Data in Sheet = 5.Staff represents details of each Staff used within the Venture. They can be internal and external.</t>
  </si>
  <si>
    <t xml:space="preserve">Note that all Resources (Suppliers, Assets, Stafff) have a column called Parent which permits defining a hierarchy within each Resource.</t>
  </si>
  <si>
    <t xml:space="preserve">12.Assets</t>
  </si>
  <si>
    <t xml:space="preserve">Data in Sheet = 6.Assets represents details of each Asset used within the Venture. They can be internal and external.</t>
  </si>
  <si>
    <t xml:space="preserve">This excludes data that is maintained by the Staff that responsbilities have been delegated to.</t>
  </si>
  <si>
    <t xml:space="preserve">13.Supplier</t>
  </si>
  <si>
    <t xml:space="preserve">Data in Sheet = 7.Supplier represents details of each Supplier used within the Venture. They can be internal and external.</t>
  </si>
  <si>
    <t xml:space="preserve">Static data contains items used to select content of a Cell using “Validity”/ “Data Validation” of LibreOffice/Excel within other Sheets</t>
  </si>
  <si>
    <t xml:space="preserve"># COLUMNS</t>
  </si>
  <si>
    <t xml:space="preserve">There is a specific color coding format logic to Column Headers as per below:</t>
  </si>
  <si>
    <t xml:space="preserve">Grey witih white Text</t>
  </si>
  <si>
    <t xml:space="preserve">Default format of all column headers that are part of the License (see above) and that should be available in perso and work context.</t>
  </si>
  <si>
    <t xml:space="preserve">Blue with white text</t>
  </si>
  <si>
    <t xml:space="preserve">This column contains data that is specific to the Venture and that does not need to be available in both perso and work context.</t>
  </si>
  <si>
    <t xml:space="preserve"># VERSIONING</t>
  </si>
  <si>
    <t xml:space="preserve">0.0.0</t>
  </si>
  <si>
    <t xml:space="preserve">Initital creation of the file</t>
  </si>
  <si>
    <t xml:space="preserve">0.0.1</t>
  </si>
  <si>
    <t xml:space="preserve">Added Sheet=’Plan’ and Sheet=’Static’ and first stab at ‘Plan” logic based on [MGT: Tools ## Gantt Chart].</t>
  </si>
  <si>
    <t xml:space="preserve">1.0.0</t>
  </si>
  <si>
    <t xml:space="preserve">Replaced ‘Plan’ with ‘Tactica‘ and added the full Gantt Chart logic. Tested in production environment at work.</t>
  </si>
  <si>
    <t xml:space="preserve"> - Columns with final values and columns with T_ values (grouped together so as to hide in production)</t>
  </si>
  <si>
    <t xml:space="preserve"> - Columns with conditional formatting based on T_ columns</t>
  </si>
  <si>
    <t xml:space="preserve">NB: Borders do not work well when saving as an xlsx file !</t>
  </si>
  <si>
    <t xml:space="preserve">1.0.1</t>
  </si>
  <si>
    <t xml:space="preserve">Added ‘# LICENSE’ in this sheet</t>
  </si>
  <si>
    <t xml:space="preserve">1.0.2</t>
  </si>
  <si>
    <t xml:space="preserve">Added Column ‘Status’ in Planning</t>
  </si>
  <si>
    <t xml:space="preserve">1.0.3</t>
  </si>
  <si>
    <t xml:space="preserve">Added T_Ettor logic and a column ‘!’ to reflect a red ‘!’ if T_Error != none.</t>
  </si>
  <si>
    <t xml:space="preserve">1.0.4</t>
  </si>
  <si>
    <t xml:space="preserve">Added current month indicator</t>
  </si>
  <si>
    <t xml:space="preserve">1.0.5</t>
  </si>
  <si>
    <t xml:space="preserve">Updated formatting of Gantt Colors and changed Bold to Normal for Column headers</t>
  </si>
  <si>
    <t xml:space="preserve">1.0.6</t>
  </si>
  <si>
    <t xml:space="preserve">Changed ‘chg’ to ‘Change’ so that it correctly reflects the [MGT: Legend] notion of Run and Change. All formulas updated too.</t>
  </si>
  <si>
    <t xml:space="preserve">1.0.7</t>
  </si>
  <si>
    <t xml:space="preserve">First stab at Sheet = Operational</t>
  </si>
  <si>
    <t xml:space="preserve">1.1.0</t>
  </si>
  <si>
    <t xml:space="preserve">Finalised Sheet=Operational</t>
  </si>
  <si>
    <t xml:space="preserve">1.2.0</t>
  </si>
  <si>
    <t xml:space="preserve">Various improvements to Sheet = Tactical and bug-fiex. Notably: account for ‘*’ in input data *which resolves against the first occurence of a lookup table! Also, default Owener is ‘SE’.</t>
  </si>
  <si>
    <t xml:space="preserve">1.2.1</t>
  </si>
  <si>
    <t xml:space="preserve">Updated T_NetStatus to be simpler (only possible status = “Overdue” or the Value from “T_Status). </t>
  </si>
  <si>
    <t xml:space="preserve">Updated SortM to sort such that within a Goal it sorts on Owner first.</t>
  </si>
  <si>
    <t xml:space="preserve">Updated SortA to reflect 0,1, 4 or empty. So that by sorting them, all Cells in Column A with some data are all below Total / Change / Run and below eachother: easier to delete all data.</t>
  </si>
  <si>
    <t xml:space="preserve">Updated T_Color to become ‘Amber’ if T_NetStatus = Started + also  Pending or Urgent</t>
  </si>
  <si>
    <t xml:space="preserve">Added a Color Legend </t>
  </si>
  <si>
    <t xml:space="preserve">Added Stats per ‘Who’ in hidden columns</t>
  </si>
  <si>
    <t xml:space="preserve">Updated Sheet = Operational to use only one single Month (Jan) using a INDIRECT formula.</t>
  </si>
  <si>
    <t xml:space="preserve">1.2.2</t>
  </si>
  <si>
    <t xml:space="preserve">Corrected bug fix (circular reference) in Sheet = Operational. Updated col OO in Sheet = Tactical to also flag as ‘&amp;’ if Ptype = Routine</t>
  </si>
  <si>
    <t xml:space="preserve">1.2.3</t>
  </si>
  <si>
    <t xml:space="preserve">Sheet=Tactical: Update Col T_EffortEstimated to 0 if Col Lvl &gt;3.</t>
  </si>
  <si>
    <t xml:space="preserve">Sheet=Tactical: Update Col Who to TRIM output, same for Col Freq</t>
  </si>
  <si>
    <t xml:space="preserve">Sheet=Tactical: Add more useful stats in hidden rows/cols section including breakdown %Routine.</t>
  </si>
  <si>
    <t xml:space="preserve">Sheet=Operational: updated formatting for Private Holidays to be white text for AM and PM (was black). Updated Procedures to Copy paste formats after inserting rows!!!</t>
  </si>
  <si>
    <t xml:space="preserve">1.2.4</t>
  </si>
  <si>
    <t xml:space="preserve">Sheet=Tactical: Update Col Description to use TRIM(SUBSTITUTE(M37,IF(E37="",""," "&amp;E37),"") i/o TRIM(SUBSTITUTE(M37,E37,"")) to avoid that “COO” would be substited with “” if the T_OO col = OO</t>
  </si>
  <si>
    <t xml:space="preserve">1.2.5</t>
  </si>
  <si>
    <t xml:space="preserve">Sheet=Tactical. Update Col=SOrtM and replace the reference to Col=Who (Hxx) with Col=Start (Aixx)</t>
  </si>
  <si>
    <t xml:space="preserve">Sheet=Tactical bugfix Col=Start : IF T_Start &gt; T_End then T_End else T_Start,. This is to avoid cases where completed tasks seem to start after the end date if there is only one date in (...)</t>
  </si>
  <si>
    <t xml:space="preserve">Sheet=Tactical: bugfix Col = End: IF T_Complete = “none” T_End else T_Complete. This is to assure that a Project that is completed gets as End date the completion date.</t>
  </si>
  <si>
    <t xml:space="preserve">1.2.6</t>
  </si>
  <si>
    <t xml:space="preserve">Sheet=Tactical move ‘!’ column before column LvL. Group all collums from Value to Lvl so they don’t appear in Reports</t>
  </si>
  <si>
    <t xml:space="preserve">2.0.0</t>
  </si>
  <si>
    <t xml:space="preserve">Complete overhaul to have the entire MGT: xxx strcture embedded in an excel file.</t>
  </si>
  <si>
    <t xml:space="preserve">Creation of new Sheets: Planning (Goals &amp;Objectives – Routines, Projects-), Organising (Activities &amp; Groups), Suppliers, Assets</t>
  </si>
  <si>
    <t xml:space="preserve">Use new color codes for sheets: Management Functions = Black, Supplier/Assets/Staff = blue, Tactical/Operational = yellow, Static = red</t>
  </si>
  <si>
    <t xml:space="preserve">2.0.1</t>
  </si>
  <si>
    <t xml:space="preserve">Updated Planning, Organising, Suppliers, Assets, Staff with default values for Activity = MyActivity.</t>
  </si>
  <si>
    <t xml:space="preserve">2.0.2</t>
  </si>
  <si>
    <t xml:space="preserve">Updated Planning, Organising, Assets, Staff, Supplier as result of first use in a biz environment.</t>
  </si>
  <si>
    <t xml:space="preserve"> - Deleted bottomw row with ‘x’ that was used as a stop when doing CTRL+ArrowDown</t>
  </si>
  <si>
    <t xml:space="preserve">2.0.3</t>
  </si>
  <si>
    <t xml:space="preserve">Updated Columns in Sheet = Planning to reflect the new logic as per [MGT: Tools ## Objective Notation].</t>
  </si>
  <si>
    <t xml:space="preserve">- Changed logic in SHeet = Organising based on logic in [MGT: Tools ## RPT] that says Activity = Group</t>
  </si>
  <si>
    <t xml:space="preserve">- Added Column = Reference in Organising (for Org Charts), Suppliers, Assets, Staff.</t>
  </si>
  <si>
    <t xml:space="preserve">2.0.4</t>
  </si>
  <si>
    <t xml:space="preserve">Added several calculated Columns</t>
  </si>
  <si>
    <t xml:space="preserve">- Column = Last Note, with the last row of the Cell in Column = Notes</t>
  </si>
  <si>
    <t xml:space="preserve"> - Column = Last Note Update, with a calculated date based on the date of the Last Note Column</t>
  </si>
  <si>
    <t xml:space="preserve"> - Column = Updated Date, with either the Last Note Update value of the Created value</t>
  </si>
  <si>
    <t xml:space="preserve">2.0.5</t>
  </si>
  <si>
    <t xml:space="preserve">Updated this sheet and added more details to differentiate between perso and work context in a constructive manner.</t>
  </si>
  <si>
    <t xml:space="preserve">2.0.6</t>
  </si>
  <si>
    <t xml:space="preserve">Added Columns = “Days since Xxx” in Sheet = Planning. Changed cell A1 to always have today’s date.</t>
  </si>
  <si>
    <t xml:space="preserve">2.0.7</t>
  </si>
  <si>
    <t xml:space="preserve">In Sheet  = Planning added Column = OO Indicator</t>
  </si>
  <si>
    <t xml:space="preserve">2.0.8</t>
  </si>
  <si>
    <t xml:space="preserve">In Sheet  = Planning added </t>
  </si>
  <si>
    <t xml:space="preserve"> - Column = Task Status (formula)</t>
  </si>
  <si>
    <t xml:space="preserve"> - Column = Goal (formula)</t>
  </si>
  <si>
    <t xml:space="preserve"> - Column = Days since Updated (formula)</t>
  </si>
  <si>
    <t xml:space="preserve"> - Column = Days to End Date (formula)</t>
  </si>
  <si>
    <t xml:space="preserve"> - Column = Last Task (formula)</t>
  </si>
  <si>
    <t xml:space="preserve">2.0.9</t>
  </si>
  <si>
    <t xml:space="preserve">Updated Row 1 to better indicate expected content.</t>
  </si>
  <si>
    <t xml:space="preserve">2.1.0</t>
  </si>
  <si>
    <t xml:space="preserve">Added Sheet Project_template with a template for project management</t>
  </si>
  <si>
    <t xml:space="preserve">2.1.1</t>
  </si>
  <si>
    <t xml:space="preserve">Added Today Indicator in Sheet = Project</t>
  </si>
  <si>
    <t xml:space="preserve">2.1.2</t>
  </si>
  <si>
    <t xml:space="preserve">In Sheet = Planning renamed Sponsor to Beneficiary in line with [MGT: Tools]</t>
  </si>
  <si>
    <t xml:space="preserve">In sheet = Planning added comments to Start and End date to reflect when Routine are first (last) used.</t>
  </si>
  <si>
    <t xml:space="preserve">Added notion of Run Goal / Change Goal instead of Goal. Updated Static to reflect this.</t>
  </si>
  <si>
    <t xml:space="preserve">2.1.3</t>
  </si>
  <si>
    <t xml:space="preserve">Added Column = Sort in Sheet = Planning</t>
  </si>
  <si>
    <t xml:space="preserve">2.2.0</t>
  </si>
  <si>
    <t xml:space="preserve">Overhaul of Sheet = Project and Sheet = Planning such that values can be copied from one to the other.</t>
  </si>
  <si>
    <t xml:space="preserve">2.2.1</t>
  </si>
  <si>
    <t xml:space="preserve">Overhaul of Sheet = Planning to Integrate a Dynamic Gantt Chart and built in Hierachy of all items</t>
  </si>
  <si>
    <t xml:space="preserve">2.2.2</t>
  </si>
  <si>
    <t xml:space="preserve">Added colord Coding in the Gantt Chart in Sheet = Planning for Projects and Streams Overdue or Completed</t>
  </si>
  <si>
    <t xml:space="preserve">2.2.3</t>
  </si>
  <si>
    <t xml:space="preserve">Corrected bug in Sheet = Planning for Column = Status where it would show overdue if EndDate = empty</t>
  </si>
  <si>
    <t xml:space="preserve">Corrected bug in Dynamic Gantt Chart in Sheet = Planing and in Sheet = Project to account for the step size used in cell $BY$1..</t>
  </si>
  <si>
    <t xml:space="preserve">2.2.4</t>
  </si>
  <si>
    <t xml:space="preserve">Added Column = Rep? in Sheet = Planning to facilitate meetings with Managers and reports to send to Managers.</t>
  </si>
  <si>
    <t xml:space="preserve">2.2.5</t>
  </si>
  <si>
    <t xml:space="preserve">Added Column = Item Type in Sheet = Planing to help with Pivot Table filtering</t>
  </si>
  <si>
    <t xml:space="preserve">2.2.6</t>
  </si>
  <si>
    <t xml:space="preserve">Updated sort to assure Routines are sorted by Description within a specific Goal</t>
  </si>
  <si>
    <t xml:space="preserve">2.2.7</t>
  </si>
  <si>
    <t xml:space="preserve">Added Column = Urg in Sheet = Planning to reflect the notion of Urgency as per [MGT: Tools ## Project Management]</t>
  </si>
  <si>
    <t xml:space="preserve">2.3.0</t>
  </si>
  <si>
    <t xml:space="preserve">Added Planning Type = Task to be able to have three levels underneat for  pRoject: Project – Stream – Task</t>
  </si>
  <si>
    <t xml:space="preserve">2.3.1</t>
  </si>
  <si>
    <t xml:space="preserve">Updated Color Coding to accomodate for the addition of Task (see version 2.3.0). </t>
  </si>
  <si>
    <t xml:space="preserve">Deleted Sheet = Project as the functionlity there is fully integrated in Sheet = Planning.</t>
  </si>
  <si>
    <t xml:space="preserve">Renamed Task from version 2.3.0 to Action to not conflict with the notion of Task in general and as defined in [MGT: Legend]</t>
  </si>
  <si>
    <t xml:space="preserve">2.3.2</t>
  </si>
  <si>
    <t xml:space="preserve">Added Column = Actual Effort and Renamed “Effort” to “Expected Effort” in Sheet = Planning.</t>
  </si>
  <si>
    <t xml:space="preserve">2.3.3</t>
  </si>
  <si>
    <t xml:space="preserve">Updated Sheet = Planning to account for the new Objective Notation in which |link| always points to a name (see note MGT: Tools)</t>
  </si>
  <si>
    <t xml:space="preserve">2.4.0</t>
  </si>
  <si>
    <t xml:space="preserve">Deleted sheet = Tactical</t>
  </si>
  <si>
    <t xml:space="preserve">Updated Sheet = Planning to account for the new logic as per MGT: Legend that says that Routines have sub-routines (Subs) which can have sub-routines themselves (Drill)</t>
  </si>
  <si>
    <t xml:space="preserve">2.4.1</t>
  </si>
  <si>
    <t xml:space="preserve">Updated Sheet = Planning to simplify the manner in which Column = Sort is built using several other columns</t>
  </si>
  <si>
    <t xml:space="preserve">2.4.2</t>
  </si>
  <si>
    <t xml:space="preserve">Updated Column = Urg to match the new guidelines in [MGT: Tools ## Project Management]</t>
  </si>
  <si>
    <t xml:space="preserve">2.4.3</t>
  </si>
  <si>
    <t xml:space="preserve">Updated Sheet = Planning. Added Column = OO Indic and updated existing Column = OO Indicator to Full OO Undicator.</t>
  </si>
  <si>
    <t xml:space="preserve">Updated Sheet = Planning and replaced all occurences of VLOOKUP() with INDEX(MATCH())</t>
  </si>
  <si>
    <t xml:space="preserve">2.4.4</t>
  </si>
  <si>
    <t xml:space="preserve">Updated sheet = Planning. Added Columns = Deliverable, Revenue Impact, Cost Impact, Risk Impact, Other Impact.</t>
  </si>
  <si>
    <t xml:space="preserve">2.4.5</t>
  </si>
  <si>
    <t xml:space="preserve">Updated Sheet = Suppliers, added Column = ID</t>
  </si>
  <si>
    <t xml:space="preserve">2.5.0</t>
  </si>
  <si>
    <t xml:space="preserve">Updated Sheet = Planning and added Formulas to calculate Total Target Effort and Actual Effort.</t>
  </si>
  <si>
    <t xml:space="preserve">2.5.1</t>
  </si>
  <si>
    <t xml:space="preserve">Bigfixed sheet Sheet = Planning where Row 3 was missing some references to Row 2</t>
  </si>
  <si>
    <t xml:space="preserve">2.5.2</t>
  </si>
  <si>
    <t xml:space="preserve">Updated all sheets first row to indicate whether values are Optional/Mandatory and updated the explanation for each column.</t>
  </si>
  <si>
    <t xml:space="preserve">Aligned the requirement for Notes in Sheet = Planning to all Sheets i.e. start with “dd-mm-yy: “</t>
  </si>
  <si>
    <t xml:space="preserve">2.5.3</t>
  </si>
  <si>
    <t xml:space="preserve">Updated Sheet = Planning added Column = Ativity in line with [MGT: Tools]</t>
  </si>
  <si>
    <t xml:space="preserve">2.5.4</t>
  </si>
  <si>
    <t xml:space="preserve">Updated Sheet = Static to align to the [MGT: Tools ## Spreadsheet Data Standards].</t>
  </si>
  <si>
    <t xml:space="preserve">2.6.0</t>
  </si>
  <si>
    <t xml:space="preserve">Added Sheet = Delegation (Draft) to prepare for a delegation of part of Management to others.</t>
  </si>
  <si>
    <t xml:space="preserve">Added Column = Key in Sheet = Planning and added Column = Actual Effort% as well.</t>
  </si>
  <si>
    <t xml:space="preserve">2.6.1</t>
  </si>
  <si>
    <t xml:space="preserve">Added the option of Sub/Drill and Stream/Action to Sheet = Leading, Column = Planning Type.</t>
  </si>
  <si>
    <t xml:space="preserve">2.6.2</t>
  </si>
  <si>
    <t xml:space="preserve">Updated Gannt Chart Formula to use OR i/o IF + IF</t>
  </si>
  <si>
    <t xml:space="preserve">Updated Sheet = Readme with more details on Sheet = Leading.</t>
  </si>
  <si>
    <t xml:space="preserve">Updated all sheets to reflect whether the data in the coliumn is based on Validity/Validation of data in Sheet = Static.</t>
  </si>
  <si>
    <t xml:space="preserve">2.6.3</t>
  </si>
  <si>
    <t xml:space="preserve">Updated all sheets to have a second row that can be used for any purpose (mostly useful for Sheet = Planning)</t>
  </si>
  <si>
    <t xml:space="preserve">Deleted Sheet = Operational</t>
  </si>
  <si>
    <t xml:space="preserve">2.6.4</t>
  </si>
  <si>
    <t xml:space="preserve">Updated Sheet = Planning, Column = Delg? to show Yes if Activitiy of the item &lt;&gt; the Activity of the Manager (default = STE).</t>
  </si>
  <si>
    <t xml:space="preserve">Created Sheet = Leading and Sheet = Controlling</t>
  </si>
  <si>
    <t xml:space="preserve">2.6.5</t>
  </si>
  <si>
    <t xml:space="preserve">Updated Sheet = Planning with default values for Routines, Subs and Drills for Goal = mgt.</t>
  </si>
  <si>
    <t xml:space="preserve">2.6.6</t>
  </si>
  <si>
    <t xml:space="preserve">Updated Sheet = Planning adding logic to Column = Report to allow for reporting periods &gt; 1 week by updating Row = 2 for the same column with a nr &gt; 0.</t>
  </si>
  <si>
    <t xml:space="preserve">2.6.7</t>
  </si>
  <si>
    <t xml:space="preserve">Updated Sheet = Planning with Template 4.01 Meet Xxx items</t>
  </si>
  <si>
    <t xml:space="preserve">2.6.8</t>
  </si>
  <si>
    <t xml:space="preserve">Updated Sheet = Planning: created new column = Objective.</t>
  </si>
  <si>
    <t xml:space="preserve">Updated Sheet = Planning: Added new Routines for Goal = mgt and updated the 4 POLC Routines to align to the updated note [MGT: Tools]</t>
  </si>
  <si>
    <t xml:space="preserve">2.6.9</t>
  </si>
  <si>
    <t xml:space="preserve">Updated Sheet = Planning. Moved Column = Open Tasks to Column = Tasks ? and moved it forward to just before Column = Planning Type.</t>
  </si>
  <si>
    <t xml:space="preserve">Updated Sub = Maintain Tasks to include the fact that Column = Tasks for that item is the to-do list for the Venture.</t>
  </si>
  <si>
    <t xml:space="preserve">Bug Fixed the formula for the last Date in the Gantt Chart to use formula: =MAX(AM:AM,DATE(YEAR($A$1),12,31)). This solves the case where none of the items in column AM:AM has a date !</t>
  </si>
  <si>
    <t xml:space="preserve">2.7.0</t>
  </si>
  <si>
    <t xml:space="preserve">Added new Sheets = Clients, Environment and Services and updated Readme accordingly.</t>
  </si>
  <si>
    <t xml:space="preserve">2.7.1</t>
  </si>
  <si>
    <t xml:space="preserve">Updated all Sheet names in line with MGT: Legend, prefixing with nrs or letters A, B,...</t>
  </si>
  <si>
    <t xml:space="preserve">2.7.2</t>
  </si>
  <si>
    <t xml:space="preserve">Added Bylaws in Sheet = Planning</t>
  </si>
  <si>
    <t xml:space="preserve">2.7.3</t>
  </si>
  <si>
    <t xml:space="preserve">Added Tab Color = Orange for all [MGT: 99.Tools] related items</t>
  </si>
  <si>
    <t xml:space="preserve">2.7.4</t>
  </si>
  <si>
    <t xml:space="preserve">Added Sheet = 10.Ops. Which reflects a the type of work performed for each activity and makes sharing it as a Team PLanning easier. It should tie in to the Operational Plan or Operating Model (COM), see MGT: 99.Tools)</t>
  </si>
  <si>
    <t xml:space="preserve">The Sheet = 10.Ops is a simpler and manual, version of Sheet = 01.Planning. The latter is more for the Manager. The former is for the Manager of the various Activities to provide a high-level idea of the type of work worked on. </t>
  </si>
  <si>
    <t xml:space="preserve">The example has been filled in for a Business Manager / COO type of role. Different Routines/, Subs are possible</t>
  </si>
  <si>
    <t xml:space="preserve">2.7.5</t>
  </si>
  <si>
    <t xml:space="preserve">Updated Sheet = 04.Controlling</t>
  </si>
  <si>
    <t xml:space="preserve">2.8.0</t>
  </si>
  <si>
    <t xml:space="preserve">Created Sheet = 04.01.BuJo in line with [MGT: 99.Tools ## BuJo MSS]</t>
  </si>
  <si>
    <t xml:space="preserve">Updated Sheet = 04.01.BuJo with improvements for tracking</t>
  </si>
  <si>
    <t xml:space="preserve">Added all Management Routines with relevant details.</t>
  </si>
  <si>
    <t xml:space="preserve">2.8.1</t>
  </si>
  <si>
    <t xml:space="preserve">Updated Sheet =04.01.BuJo with two columns: Tasks Left Nr and Tasks Left %</t>
  </si>
  <si>
    <t xml:space="preserve">2.8.2</t>
  </si>
  <si>
    <t xml:space="preserve">Updated Sheet = Static and Sheet =04.01.BuJo with several calculated columns.</t>
  </si>
  <si>
    <t xml:space="preserve">2.8.3</t>
  </si>
  <si>
    <t xml:space="preserve">Updated Sheet = 04.01.Bujo with improvements in Col = Alert and simplified the structure of the formulas by creating new Cols = Overdue?, Next wk? </t>
  </si>
  <si>
    <t xml:space="preserve">2.8.4</t>
  </si>
  <si>
    <t xml:space="preserve">Updated Sheet = 0.4.01.BuJo with a new column = Report Eligible based on the col = BuJo Report Eligible in Static and Col = Rep? now also uses this.</t>
  </si>
  <si>
    <t xml:space="preserve">2.8.5</t>
  </si>
  <si>
    <t xml:space="preserve">Updated Sheet = 04.01.Bujo with new Column = Start Date Override.</t>
  </si>
  <si>
    <t xml:space="preserve">2.8.6</t>
  </si>
  <si>
    <t xml:space="preserve">Updated Sheet = Static with Col = Goal, Goal Description and Goal Prio. Used this in Sheet = 04.01.BuJo to add Goal including in Sorting. Added a Force Rep column to force reporting even if the formula to Report says no.</t>
  </si>
  <si>
    <t xml:space="preserve">2.8.7</t>
  </si>
  <si>
    <t xml:space="preserve">Updated Sheet = Static with Col = BuJo Category. Used this in Sheet = 04.01.BuJo to be able to have one more BuJo index that can be used in Reporting.</t>
  </si>
  <si>
    <t xml:space="preserve">Updated Sheet = 0.4.01.BuJo , Col = Tag: allowing comma separated lists of multiple tags</t>
  </si>
  <si>
    <t xml:space="preserve">Updated Sheet = 0.4.01.BuJo , Col = Roadmap to indicate whether en entry is part of a Roadmap or not. BuJo Type = Roadmap has been deleted.  </t>
  </si>
  <si>
    <t xml:space="preserve">2.8.8</t>
  </si>
  <si>
    <t xml:space="preserve">Updated Sheet = 0.4.01.BuJo , Renamed Col = Cat to Sub-Goal. Updated Col = Sort to sort on Sub-Goals and then Projects.</t>
  </si>
  <si>
    <t xml:space="preserve">Renamed Sheet = 04.01.BuJo to 04.01.Mtrack. Updated MGT: 99.Tools accordingly.</t>
  </si>
  <si>
    <t xml:space="preserve">2.8.9</t>
  </si>
  <si>
    <t xml:space="preserve">Updated Sheet = 04.01.MT with 4 columns Gro +Rev, Pro +Rev, Opt +Rev/-Cost and Sec -Risk with explanation of what they represent.</t>
  </si>
  <si>
    <t xml:space="preserve">2.9.0</t>
  </si>
  <si>
    <t xml:space="preserve">Improved Sheet = 04.01.MT allowing for “ “ in Rep Override. Updated Col Gro, Pro, Opt and Sec to use just those words instead of ‘Gro +Rev’ etc.</t>
  </si>
  <si>
    <t xml:space="preserve">2.10.0</t>
  </si>
  <si>
    <t xml:space="preserve">Created Sheets = 04.02.BT1, etc for Reporting. Update will follow for finetuning of their use.</t>
  </si>
  <si>
    <t xml:space="preserve">3.0.0</t>
  </si>
  <si>
    <t xml:space="preserve">Major overhaul, reflected in readme: 01.Planning - 04.Controlling have been replaced by M0-M6.</t>
  </si>
  <si>
    <t xml:space="preserve">3.0.1</t>
  </si>
  <si>
    <t xml:space="preserve">Updated Sheet = M5. Deleted the notion of Run Goal/Routine/Sub/Drill to focus only on NT, Project, Stream and Action.</t>
  </si>
  <si>
    <t xml:space="preserve">Sheet = M5: Added same Task and Task completion column as in M0 and M4.</t>
  </si>
  <si>
    <t xml:space="preserve">Sheet = m5 bug fixed the Total Effort columns.</t>
  </si>
  <si>
    <t xml:space="preserve">3.1.0</t>
  </si>
  <si>
    <t xml:space="preserve">Update Sheet = Static. Defined a Name per Run and Change Goal with undlerying Sub-Goals. (Run and Change Goals in row 5, the sub-goals underneath).</t>
  </si>
  <si>
    <t xml:space="preserve">3.1.1</t>
  </si>
  <si>
    <t xml:space="preserve">Update Sheet = Static to have al Run Sub-Goals in line with [MGT: 99.Tools]</t>
  </si>
  <si>
    <t xml:space="preserve">3.1.2</t>
  </si>
  <si>
    <t xml:space="preserve">Bugfixed Sheet = M4: the sorting now works as expected and considers Goal, Sub-Goal and then name.</t>
  </si>
  <si>
    <t xml:space="preserve">3.1.3</t>
  </si>
  <si>
    <t xml:space="preserve">Add column Active? In Sheet = M5.</t>
  </si>
  <si>
    <t xml:space="preserve">Sheet = M5: Bug Fixed Formula for Coulm = Rep? To take into account the value in Col = Force Rep?</t>
  </si>
  <si>
    <t xml:space="preserve">3.1.4</t>
  </si>
  <si>
    <t xml:space="preserve">Bug-fixed Sheet = M0 (Col = Goal did have invalid Validity reference). Also added MC and MI to the management sub-goal, as per the udpated [MGT: 99.Legend]</t>
  </si>
  <si>
    <t xml:space="preserve">3.1.5</t>
  </si>
  <si>
    <t xml:space="preserve">Added Sub-Goal Research and Development to Goal = prd in Sheet = Static. And bugfixed Sheet = M4 for Sub-Goal.</t>
  </si>
  <si>
    <t xml:space="preserve">3.2.1</t>
  </si>
  <si>
    <t xml:space="preserve">Reintroduced Chg Goals and Run Goals in Sheet = M5. Updated some of the formulas in Sheet = M5 to allow to have various Change Goals and then order alphabetically</t>
  </si>
  <si>
    <t xml:space="preserve">3.3.0</t>
  </si>
  <si>
    <t xml:space="preserve">Overhaul of the file in line with the new “Management Framework” note which replaced the note “MGT:99.Legend”,</t>
  </si>
  <si>
    <t xml:space="preserve">Main changes:</t>
  </si>
  <si>
    <t xml:space="preserve"> - Introduction of sheet 00.Management which acts as the Management Tracker</t>
  </si>
  <si>
    <t xml:space="preserve">3.3.1</t>
  </si>
  <si>
    <t xml:space="preserve">Small improvements in Sheet  = Tracker &amp;&amp; Added Sheet = Log.</t>
  </si>
  <si>
    <t xml:space="preserve">3.3.2</t>
  </si>
  <si>
    <t xml:space="preserve">Updated Tracker to have all key deliverables for Management (Planning, Organising, Leading, Controlling, Business Functions, Tools, Management Cycle)</t>
  </si>
  <si>
    <t xml:space="preserve">and each specific Business Functions each as a single row. Each deliverable for each of them is in Tasks.</t>
  </si>
  <si>
    <t xml:space="preserve">3.3.3</t>
  </si>
  <si>
    <t xml:space="preserve">Updated to reflect Delegating as a separate deliverable in Organising</t>
  </si>
  <si>
    <t xml:space="preserve">Sort</t>
  </si>
  <si>
    <t xml:space="preserve">- all -</t>
  </si>
  <si>
    <t xml:space="preserve">Item Type</t>
  </si>
  <si>
    <t xml:space="preserve">Lvl</t>
  </si>
  <si>
    <t xml:space="preserve">Self</t>
  </si>
  <si>
    <t xml:space="preserve">Hold Date</t>
  </si>
  <si>
    <t xml:space="preserve">Self+1 Pty</t>
  </si>
  <si>
    <t xml:space="preserve">Key</t>
  </si>
  <si>
    <t xml:space="preserve">Sum - Effort</t>
  </si>
  <si>
    <t xml:space="preserve">(empty)</t>
  </si>
  <si>
    <t xml:space="preserve">VNT</t>
  </si>
  <si>
    <t xml:space="preserve">Action        Some Action for the Study</t>
  </si>
  <si>
    <t xml:space="preserve">Chg GoalDMM</t>
  </si>
  <si>
    <t xml:space="preserve">Chg GoalEMM</t>
  </si>
  <si>
    <t xml:space="preserve">ProjectSome Study Project for sub-cat 1</t>
  </si>
  <si>
    <t xml:space="preserve">ProjectSome Study Project for sub-cat 2</t>
  </si>
  <si>
    <t xml:space="preserve">Stream    Some Stream of the project</t>
  </si>
  <si>
    <t xml:space="preserve">Total Result</t>
  </si>
  <si>
    <t xml:space="preserve">x</t>
  </si>
  <si>
    <t xml:space="preserve">Calculated. First Note of Column = Notes.</t>
  </si>
  <si>
    <t xml:space="preserve">Calculated. Last Note -f Column = Notes.</t>
  </si>
  <si>
    <t xml:space="preserve">Calculated. Date of First NoTe from Column = First Note. </t>
  </si>
  <si>
    <t xml:space="preserve">Calculated. Date of Last Note from Column = Last Note. </t>
  </si>
  <si>
    <t xml:space="preserve">Calculated. Date of the Last Note or epoch based on Col = Notes.</t>
  </si>
  <si>
    <t xml:space="preserve">Calcualted. Time between Last Date and Start Date.</t>
  </si>
  <si>
    <t xml:space="preserve">Calculated. Nr Tasks in Status indicated by name of this Column. The IF() is to account for the fact that typing anything at the start of a cell is not preceded the &lt;ENTER&gt; Character CHAR(10).</t>
  </si>
  <si>
    <t xml:space="preserve">Calaculated. Sum of all Tasks in Tasks.</t>
  </si>
  <si>
    <t xml:space="preserve">Calcualted. Whether the Last Date was within X weeks of the Monday of the week of the date in cell $D$2.</t>
  </si>
  <si>
    <t xml:space="preserve">Calculated. Assures Tracking Type = Management is at the top, then Routines, then Projects that are Roadmap items, then Projects and then the rest of the entries.</t>
  </si>
  <si>
    <t xml:space="preserve">Calculated. Whether the Jounral entry is reportable based on whether the Last Date is newer than the monday X weeks ago, with X determined in Cell $D$2.</t>
  </si>
  <si>
    <t xml:space="preserve">Optional. Can force the reporting of a Journal Entry if the defaulting rules would (not) report an entry.</t>
  </si>
  <si>
    <t xml:space="preserve">Optional. Tag the entry for specific filtering. The value can be freely chosen. It is possible to have multiple comma-separated values. This column is an incredibly powerful feature of the entire sheet.</t>
  </si>
  <si>
    <t xml:space="preserve">Whom For Level 1.  Mandatory. The Beneficiery. The Activity for which this is performed. The Default = the entire Venture VNT.</t>
  </si>
  <si>
    <t xml:space="preserve">Optional: This column has a drop-down which is based on the value in the column to the left i.e. Sub-Goal depends on Goal. </t>
  </si>
  <si>
    <t xml:space="preserve">Mandatory. In theory several options possible, but choose only “Routine”.</t>
  </si>
  <si>
    <t xml:space="preserve">Mandatory. 6W = What: part 1 of Name. Name is preferably unique within the Tracking Type and should start with a Verb. Verbs are an indication of targeted Result, see [MGT: 99. Tools ## Objective Definition]:
- Assist: somebody in execution of their Process 
- Attend: prepare and attend a meeting
- Build: something new from scratch 
- Complete: something started elsewhere/prior 
- Create: same as Build  
- Define: a Target/expected Result, next Build/Create 
- Deploy: as new something existing  elsewhere 
- Expand: something existing by adding to it 
- Improve: something existing by automation etc. 
- Increase: something existing by a numeric value 
- Learn: something that may become important later on
- Maintain: something existing at current level 
- Meet: someone on regular or ad-hoc basis 
- Perform: one or more specific Processes 
- Prepare: a deliverable for completion elsewhere 
- Process: take in a request and deliver Result 
- React to: a situation with specific measures 
- Report to: Staff, Manager, Committee via mail 
- Resolve: Problems 
- Review: Result vs Target + assess if change needed 
- Rewrite: an existing document </t>
  </si>
  <si>
    <t xml:space="preserve">Optional. 6W = How: Details of how the Routine is achieved.</t>
  </si>
  <si>
    <t xml:space="preserve">Mandatory. Notes drive two columns: Start Date and Last Date. Format for each line: dd-mm-yy: xxx in which dd, mm and yy are day, month and year and xxx is free text.</t>
  </si>
  <si>
    <t xml:space="preserve">Optional. Tasks with individual Status. Multiple entries are possible. In combination with Column = Updated this column helps in Reporting. 
Items follow the Objective Notation as per [MGT: 99.Tools ## Objective Notation] i.e.   
Status Description (start:end:complete) {who} [ref]  
NB: Goal end Effort are not relevant for this Column. 
Used in Formulas.</t>
  </si>
  <si>
    <t xml:space="preserve">Calculated. Nr non-completed Tasks. </t>
  </si>
  <si>
    <t xml:space="preserve">Calculated. Nr Tasks non-completed Tasks over total nr Tasks as %.</t>
  </si>
  <si>
    <t xml:space="preserve">Mandatory. The frequency type of the Routine, based on a drop-down list maintained in Sheet=Static.</t>
  </si>
  <si>
    <t xml:space="preserve">Mandatory. The number of times the Routine is done throughout a year. This is partially linked to Period (label):
Day -&gt; 260 (without holidays), 220 (with holidays)
Week -&gt; 52 (without holidays), 48 (with full week holidays)
Month -&gt; 12
Quarterly -&gt; 4
Semi-annually -&gt; 2
Annually -&gt; 1
Ad-hoc -&gt; this is determined by the user depending on expetations based on past or current information</t>
  </si>
  <si>
    <t xml:space="preserve">Mandatory. THe amount of hours worked on each time the Routine is performed. </t>
  </si>
  <si>
    <t xml:space="preserve">Calculated. Total nr of 8-hour days the ROutine takes. </t>
  </si>
  <si>
    <t xml:space="preserve">When</t>
  </si>
  <si>
    <t xml:space="preserve">Custom Field 1</t>
  </si>
  <si>
    <t xml:space="preserve">Custom Field 2</t>
  </si>
  <si>
    <t xml:space="preserve">Custom Field 3</t>
  </si>
  <si>
    <t xml:space="preserve">Custom Field 4</t>
  </si>
  <si>
    <t xml:space="preserve">Custom Field 5</t>
  </si>
  <si>
    <t xml:space="preserve">Custom Field 6</t>
  </si>
  <si>
    <t xml:space="preserve">Custom Field 7</t>
  </si>
  <si>
    <t xml:space="preserve">Custom Field 8</t>
  </si>
  <si>
    <t xml:space="preserve">Custom Field 9</t>
  </si>
  <si>
    <t xml:space="preserve">Custom Field 10</t>
  </si>
  <si>
    <t xml:space="preserve">Custom Field 11</t>
  </si>
  <si>
    <t xml:space="preserve">Custom Field 12</t>
  </si>
  <si>
    <t xml:space="preserve">Custom Field 13</t>
  </si>
  <si>
    <t xml:space="preserve">Custom Field 14</t>
  </si>
  <si>
    <t xml:space="preserve">Custom Field 15</t>
  </si>
  <si>
    <t xml:space="preserve">Custom Field 16</t>
  </si>
  <si>
    <t xml:space="preserve">Custom Field 17</t>
  </si>
  <si>
    <t xml:space="preserve">Custom Field 18</t>
  </si>
  <si>
    <t xml:space="preserve">Custom Field 19</t>
  </si>
  <si>
    <t xml:space="preserve">Custom Field 20</t>
  </si>
  <si>
    <t xml:space="preserve">Last Column. Contains value = “X”.</t>
  </si>
  <si>
    <t xml:space="preserve">## This indicates that Today is in the Month below →</t>
  </si>
  <si>
    <t xml:space="preserve">A</t>
  </si>
  <si>
    <t xml:space="preserve">First Note</t>
  </si>
  <si>
    <t xml:space="preserve">Last Note</t>
  </si>
  <si>
    <t xml:space="preserve">First Note Date</t>
  </si>
  <si>
    <t xml:space="preserve">Last Note Date</t>
  </si>
  <si>
    <t xml:space="preserve">Last Date</t>
  </si>
  <si>
    <t xml:space="preserve">Duration</t>
  </si>
  <si>
    <t xml:space="preserve">Tasks Open</t>
  </si>
  <si>
    <t xml:space="preserve">Tasks Started</t>
  </si>
  <si>
    <t xml:space="preserve">Tasks Pending</t>
  </si>
  <si>
    <t xml:space="preserve">Tasks Urgent</t>
  </si>
  <si>
    <t xml:space="preserve">Tasks Done</t>
  </si>
  <si>
    <t xml:space="preserve">Tasks Total</t>
  </si>
  <si>
    <t xml:space="preserve">Last wk?</t>
  </si>
  <si>
    <t xml:space="preserve">Rep ?</t>
  </si>
  <si>
    <t xml:space="preserve">Force Rep?</t>
  </si>
  <si>
    <t xml:space="preserve">Tag</t>
  </si>
  <si>
    <t xml:space="preserve">Whom for lvl1</t>
  </si>
  <si>
    <t xml:space="preserve">Whom for lvl2</t>
  </si>
  <si>
    <t xml:space="preserve">Whom By Lvl1</t>
  </si>
  <si>
    <t xml:space="preserve">Whom By Lvl2</t>
  </si>
  <si>
    <t xml:space="preserve">Goal</t>
  </si>
  <si>
    <t xml:space="preserve">Sub-Goal</t>
  </si>
  <si>
    <t xml:space="preserve">Initiative</t>
  </si>
  <si>
    <t xml:space="preserve">Planning Type</t>
  </si>
  <si>
    <t xml:space="preserve">Status</t>
  </si>
  <si>
    <t xml:space="preserve">Name</t>
  </si>
  <si>
    <t xml:space="preserve">Details:</t>
  </si>
  <si>
    <t xml:space="preserve">Notes</t>
  </si>
  <si>
    <t xml:space="preserve">Tasks</t>
  </si>
  <si>
    <t xml:space="preserve">Tasks Left </t>
  </si>
  <si>
    <t xml:space="preserve">Task Progress</t>
  </si>
  <si>
    <t xml:space="preserve">Period (label)</t>
  </si>
  <si>
    <t xml:space="preserve">Period (count)</t>
  </si>
  <si>
    <t xml:space="preserve">Effort / count (hr)</t>
  </si>
  <si>
    <t xml:space="preserve">Effort / yr (days)</t>
  </si>
  <si>
    <t xml:space="preserve">Start Date</t>
  </si>
  <si>
    <t xml:space="preserve">End Date</t>
  </si>
  <si>
    <t xml:space="preserve">Complete Date</t>
  </si>
  <si>
    <t xml:space="preserve">Effort / project (days)</t>
  </si>
  <si>
    <t xml:space="preserve">Z</t>
  </si>
  <si>
    <t xml:space="preserve">N</t>
  </si>
  <si>
    <t xml:space="preserve">_all</t>
  </si>
  <si>
    <t xml:space="preserve">n/a</t>
  </si>
  <si>
    <t xml:space="preserve">Sander</t>
  </si>
  <si>
    <t xml:space="preserve">mgt</t>
  </si>
  <si>
    <t xml:space="preserve">00.management</t>
  </si>
  <si>
    <t xml:space="preserve">General Management</t>
  </si>
  <si>
    <t xml:space="preserve">Routine</t>
  </si>
  <si>
    <t xml:space="preserve">Started</t>
  </si>
  <si>
    <t xml:space="preserve">00.Maintain Management</t>
  </si>
  <si>
    <t xml:space="preserve">Details:
 # INTRODUCTION  
Details of this management item are in the Management Framework.</t>
  </si>
  <si>
    <t xml:space="preserve">03-01-22: init</t>
  </si>
  <si>
    <t xml:space="preserve">## Generic Routines
&amp; Maintain MSS [this file]
&amp; Maintain Management Framework [the local implementation of the public domain version of the Management Framework]
&amp; Maintain Management Approach [## Management Approach]
________________________________________ 
## Management Approach
## _END</t>
  </si>
  <si>
    <t xml:space="preserve">Ad-hoc</t>
  </si>
  <si>
    <t xml:space="preserve">z</t>
  </si>
  <si>
    <t xml:space="preserve">01.planning</t>
  </si>
  <si>
    <t xml:space="preserve">00.Maintain Planning</t>
  </si>
  <si>
    <t xml:space="preserve">## Generic Routines
&amp; 01.Maintain Business Model [## Business Model]
&amp; 02.Maintain Purpose [## Purpose]
&amp; 03.Maintan Vision [## Vision]
&amp; 04.Maintain Mission [## Mission]
&amp; 05.Maintain Values [## Values]
&amp; 06.Maintain Bylaws [## Bylaws]
&amp; 07.Maintain SWOT [## SWOT]
&amp; 08.Maintain Goals [## Goals]
&amp; 09.Maintain Objectives [## Objectives]
&amp; 10.Maintain Tasks [## Tasks]
&amp; 11.Maintain Benchmarks [## Benchmarks]
&amp; 12.Maintain Strategic Plan [## Strategic Plan]
&amp; 13.Maintain Tactical Plan [## Tactical Plan]
&amp; 14. Maintain Operational Plan [## Operational Plan]
&amp; 15.Maintain Intel [## Intel]
________________________________________
## Business Model
________________________________________
## Purpose
________________________________________
## Vision
________________________________________
## Mission
________________________________________
## Values
________________________________________
## Bylaws
________________________________________
## SWOT
________________________________________
## Goals
________________________________________
## Objectives
________________________________________
## Tasks
________________________________________ 
## Benchmarks
________________________________________ 
## Strategic Plan
________________________________________ 
## Tactical Plan
________________________________________
 ## Operational Plan
________________________________________
## Intel
## _END</t>
  </si>
  <si>
    <t xml:space="preserve">02.organising</t>
  </si>
  <si>
    <t xml:space="preserve">00.Maintain Organising</t>
  </si>
  <si>
    <t xml:space="preserve">## Generic Routines
&amp; 01.Maintain Activities [## Activities]
&amp; 02.Maintain Groups [## Groups]
&amp; 03.Maintain Delegating [## Delegating]
&amp; 04.Maintain R&amp;R [## R&amp;R]
&amp; 05.Maintain Casting [## Casting]
&amp; 06.Maintain Funding [## Funding]
________________________________________
## Activities
________________________________________
## Groups
________________________________________
## R&amp;R
________________________________________
## Casting
________________________________________
## Funding
## _END</t>
  </si>
  <si>
    <t xml:space="preserve">03.leading</t>
  </si>
  <si>
    <t xml:space="preserve">00.Maintain Leading</t>
  </si>
  <si>
    <t xml:space="preserve">## Generic Routines
&amp; 01.Maintain Safe Space [## Safe Space]
&amp; 02.Maintain Direction [## Direction]
&amp; 03.Maintain Collaboration [## Collaboration]
&amp; 04.Maintain Motivation [## Motivation]
&amp; 05.Maintain Inspiration [## Inspiration]
&amp; 06.Maintain Learning [## Learning]
&amp; 07.Maintain Networking [## Networking]
&amp; 08.Maintain Leaders [## Leaders]
&amp; 09.Maintain Management Improvement [## Management Improvement]
&amp; 10.Maintain Culture [## Culture]
________________________________________
## Safe Space
________________________________________
## Direction
________________________________________
## Collaboration
________________________________________
## Motivation
________________________________________
## Inspiration
________________________________________
## Learning
________________________________________
## Networking
________________________________________
## Leaders
________________________________________ 
## Management Improvement
________________________________________ 
## Culture
## _END</t>
  </si>
  <si>
    <t xml:space="preserve">04.controlling</t>
  </si>
  <si>
    <t xml:space="preserve">00.Maintain Controlling</t>
  </si>
  <si>
    <t xml:space="preserve">## Generic Routines
&amp; 01.Maintain Jounal [## Jounal]
&amp; 02.Maintain Supervision [## Supervision]
&amp; 03.Maintain Reports [## Reports]
&amp; 04.Maintain Monitoring [## Monitoring]
________________________________________
## Jounal
________________________________________
## Supervision
________________________________________
## Reports
________________________________________
## Monitoring
## _END</t>
  </si>
  <si>
    <t xml:space="preserve">05.00.business functions</t>
  </si>
  <si>
    <t xml:space="preserve">00.Maintain Business Functions</t>
  </si>
  <si>
    <t xml:space="preserve">## Generic Routines
## _END</t>
  </si>
  <si>
    <t xml:space="preserve">05.01.finance</t>
  </si>
  <si>
    <t xml:space="preserve">00.Maintain Finance</t>
  </si>
  <si>
    <t xml:space="preserve">## Generic Routines
&amp; 01.Maintain Accounting [## Accounting]
&amp; 02.Maintain Financing [## Financing]
________________________________________
## Accounting
________________________________________
## Financing
## _END</t>
  </si>
  <si>
    <t xml:space="preserve">05.02.HR</t>
  </si>
  <si>
    <t xml:space="preserve">00.Maintain HR</t>
  </si>
  <si>
    <t xml:space="preserve">## Generic Routines
&amp; 01.Maintain Recruitment [## Recruitment]
&amp; 02.Maintain Skills &amp; Knowledge  [## Skills &amp; Knowledge]
&amp; 03.Maintain Training [## Training]
&amp; 04.Maintain Performance  [## Performance]
&amp; 05.Maintain Remuneration [## Remuneration]
&amp; 06.Maintain Job Satifactions [## Learning]
&amp; 07.Maintain Employee Relations [## Employee Relations]
&amp; 08.Maintain Employment Law [## Employment Law]
________________________________________
## Recruitment
________________________________________
## Skills &amp; Knowledge
________________________________________
## Training
________________________________________
## Performance
________________________________________
## Remuneration
________________________________________
## Job Satisfacton
________________________________________
## Employee Relations
________________________________________
## Employment Law
## _END</t>
  </si>
  <si>
    <t xml:space="preserve">05.03.IT</t>
  </si>
  <si>
    <t xml:space="preserve">00.Maintain IT</t>
  </si>
  <si>
    <t xml:space="preserve">## Generic Routines
&amp; 01.Maintain Infra [## Infra]
&amp; 02.Maintain Applications [## Applications]
________________________________________
## Infra
________________________________________
## Applications
## _END</t>
  </si>
  <si>
    <t xml:space="preserve">05.04.risk</t>
  </si>
  <si>
    <t xml:space="preserve">00.Maintain Risk</t>
  </si>
  <si>
    <t xml:space="preserve">## Generic Routines
________________________________________
## _END</t>
  </si>
  <si>
    <t xml:space="preserve">05.05.compliance</t>
  </si>
  <si>
    <t xml:space="preserve">00.Maintain Compliance</t>
  </si>
  <si>
    <t xml:space="preserve">05.06.legal</t>
  </si>
  <si>
    <t xml:space="preserve">00.Maintain Legal</t>
  </si>
  <si>
    <t xml:space="preserve">## Generic Routines
&amp; 01.Maintain Legal Opinions [## Legal Opinions]
&amp; 02.Maintain Litigation [## Financing]
&amp; 03.Maintain Entty Structure [## Entity Structure]
________________________________________ 
## Legal Opinions
________________________________________
## Litigation
________________________________________
## Entity Structure
## _END</t>
  </si>
  <si>
    <t xml:space="preserve">05.07.tax</t>
  </si>
  <si>
    <t xml:space="preserve">00.Maintain tax</t>
  </si>
  <si>
    <t xml:space="preserve">05.08.procurement</t>
  </si>
  <si>
    <t xml:space="preserve">00.Maintain Procurement</t>
  </si>
  <si>
    <t xml:space="preserve">## Generic Routines
&amp; 01.Maintain Suppliers Management [## Suppliers Management]
&amp; 02.Maintain Purchase Management [## Purchase Management]
________________________________________
## Suppliers Management
________________________________________
## Purchase Management
## _END</t>
  </si>
  <si>
    <t xml:space="preserve">05.09.marketing</t>
  </si>
  <si>
    <t xml:space="preserve">00.Maintain Marketing</t>
  </si>
  <si>
    <t xml:space="preserve">05.10.communications</t>
  </si>
  <si>
    <t xml:space="preserve">00.Maintain Communications</t>
  </si>
  <si>
    <t xml:space="preserve">05.11.audit</t>
  </si>
  <si>
    <t xml:space="preserve">00.Maintain Audit</t>
  </si>
  <si>
    <t xml:space="preserve">## Generic Routines
&amp; 01.Maintain Internal Audit [## Internal Audit]
&amp; 02.Maintain External Audit [## External Audit]
________________________________________
## Internal Audit 
________________________________________
## External Audit 
## _END</t>
  </si>
  <si>
    <t xml:space="preserve">05.99.operations</t>
  </si>
  <si>
    <t xml:space="preserve">00.Maintain Operations</t>
  </si>
  <si>
    <t xml:space="preserve">06.tools</t>
  </si>
  <si>
    <t xml:space="preserve">00.Maintain Tools</t>
  </si>
  <si>
    <t xml:space="preserve">07.management cycle</t>
  </si>
  <si>
    <t xml:space="preserve">00.Maintain Management Cycle</t>
  </si>
  <si>
    <t xml:space="preserve">Select GTD Type from drop-down list.</t>
  </si>
  <si>
    <t xml:space="preserve">Type Project Name, Routine Name, Reference Name</t>
  </si>
  <si>
    <t xml:space="preserve">Type Task Name (=Name of reportable item for a Reference)</t>
  </si>
  <si>
    <t xml:space="preserve">Type “Self” for Taks owned by self. Type name of someone else in all other cases (if someone is Owner)</t>
  </si>
  <si>
    <t xml:space="preserve">Expected Date of Completion</t>
  </si>
  <si>
    <t xml:space="preserve">Actual Completion Date</t>
  </si>
  <si>
    <t xml:space="preserve">Date at which the Reference Item should be Reported. </t>
  </si>
  <si>
    <t xml:space="preserve">Provide details. No specific format.</t>
  </si>
  <si>
    <t xml:space="preserve">GTD List as per [Management Framework ## GTD]</t>
  </si>
  <si>
    <t xml:space="preserve">Additional List in case of Projects, Routines and References. 
If OneNote is available, each is represented by a Section and in it there is a page with the Project Name, Routine Name and Reference Name as per Collumn “Project / Routine / Reference Name”
- Project Details
    - Project Name 1
    - etc
 - Routine Details
    - Routine Name 1
    - etc
 - Reference Details
     - Reference Name 1
     - etc</t>
  </si>
  <si>
    <t xml:space="preserve">Indication how close the Due Date is:
- Overdue
- Due in 7 days
- Due in 30 days</t>
  </si>
  <si>
    <t xml:space="preserve">Whether an item is reportable based on Done Date or Tickle Date</t>
  </si>
  <si>
    <t xml:space="preserve">Integrity Checls of each Row</t>
  </si>
  <si>
    <t xml:space="preserve">Manual</t>
  </si>
  <si>
    <t xml:space="preserve">Calculated</t>
  </si>
  <si>
    <t xml:space="preserve">GTD Type</t>
  </si>
  <si>
    <t xml:space="preserve">Project / Routine / Reference Name</t>
  </si>
  <si>
    <t xml:space="preserve">Task Name</t>
  </si>
  <si>
    <t xml:space="preserve">Owner</t>
  </si>
  <si>
    <t xml:space="preserve">Due Date</t>
  </si>
  <si>
    <t xml:space="preserve">Done Date</t>
  </si>
  <si>
    <t xml:space="preserve">Tickle Date</t>
  </si>
  <si>
    <t xml:space="preserve">Details</t>
  </si>
  <si>
    <t xml:space="preserve">List</t>
  </si>
  <si>
    <t xml:space="preserve">Additional List</t>
  </si>
  <si>
    <t xml:space="preserve">Overdue /
Due 7d /
Due 30d</t>
  </si>
  <si>
    <t xml:space="preserve">Report</t>
  </si>
  <si>
    <t xml:space="preserve">Check</t>
  </si>
  <si>
    <t xml:space="preserve">Project</t>
  </si>
  <si>
    <t xml:space="preserve">Project 1</t>
  </si>
  <si>
    <t xml:space="preserve">Details:
</t>
  </si>
  <si>
    <t xml:space="preserve">Project Task 1</t>
  </si>
  <si>
    <t xml:space="preserve">Project Task 2</t>
  </si>
  <si>
    <t xml:space="preserve">Toto</t>
  </si>
  <si>
    <t xml:space="preserve">Routine 1</t>
  </si>
  <si>
    <t xml:space="preserve">Routine task 1</t>
  </si>
  <si>
    <t xml:space="preserve">Routine 2</t>
  </si>
  <si>
    <t xml:space="preserve">Routine task 2</t>
  </si>
  <si>
    <t xml:space="preserve">Task</t>
  </si>
  <si>
    <t xml:space="preserve">Dedicated task for Tata</t>
  </si>
  <si>
    <t xml:space="preserve">Tata</t>
  </si>
  <si>
    <t xml:space="preserve">Reference</t>
  </si>
  <si>
    <t xml:space="preserve">Incidents</t>
  </si>
  <si>
    <t xml:space="preserve">Loss of 200k USD @ Trd Desk</t>
  </si>
  <si>
    <t xml:space="preserve">Solve division by 0 pb</t>
  </si>
  <si>
    <t xml:space="preserve">Some name</t>
  </si>
  <si>
    <t xml:space="preserve">Date</t>
  </si>
  <si>
    <t xml:space="preserve">Log Type</t>
  </si>
  <si>
    <t xml:space="preserve">Do mandatory training</t>
  </si>
  <si>
    <t xml:space="preserve">This space can hbe used to produce stats on below data</t>
  </si>
  <si>
    <t xml:space="preserve">Depending on the venture it can also contain stats on data maintained elsewhere</t>
  </si>
  <si>
    <t xml:space="preserve">This space can be used to produce stats on below data</t>
  </si>
  <si>
    <t xml:space="preserve">Insert as many rows as necessary</t>
  </si>
  <si>
    <t xml:space="preserve">Calculated. 6W. Who: Performer. If Column = Who is populated the value of Who else myself.</t>
  </si>
  <si>
    <t xml:space="preserve">Calculated. 6W Who: Beneficiary. The beneficiary of the Entry. The default is the venture.</t>
  </si>
  <si>
    <t xml:space="preserve">Calculated. Year of Last Date.</t>
  </si>
  <si>
    <t xml:space="preserve">Calculated. Month of Last Date.</t>
  </si>
  <si>
    <t xml:space="preserve">Calculated. Week number of Last Date.</t>
  </si>
  <si>
    <t xml:space="preserve">Calculated. The sort relevance of the Journal Entry based on the Bujo Type and Sheet = Static.</t>
  </si>
  <si>
    <t xml:space="preserve">Calculated. Establishes whether the item is reportable based on Tracking Type.</t>
  </si>
  <si>
    <t xml:space="preserve">Calculated. Whether the entry has open tasks, i.e. entries in Tasks that are “. “, “/ “, “~ “ or “! “ but not “x “.</t>
  </si>
  <si>
    <t xml:space="preserve">Calculated. Indicates whether the Jounral entry was completed recently based on Last Date and Active?. NB: an entry like Roadmap, Project, ToDo is deemed Completed if there is no remaining Tasks and the Last Date is thus the completion data for that entry.</t>
  </si>
  <si>
    <t xml:space="preserve">Calculated. Show a entry only if there is:
- En empty entry OR
- An Active entry OR
- Start Date = Today
This avoid having too many entries that are not worked on anymore. </t>
  </si>
  <si>
    <t xml:space="preserve">Calculated. The weekday of Column = Start Date.</t>
  </si>
  <si>
    <t xml:space="preserve">Calculated.  6W. When: Start Date. Same value as Column = First Note Date.</t>
  </si>
  <si>
    <t xml:space="preserve">Mandatory. 6W = What: Name part 2, Overview. High Level overview of Name. 
Recommended use: slightly shorter descrip
- For Tracking Type in (Management, Routine) all relevant details including references to Paths, URLs
- For Tracking Type in (Roadmap, Project, ToDo) give a short description of the Objective. Details can go into Col = Reference.</t>
  </si>
  <si>
    <t xml:space="preserve">Mandatory. The Performer of the Rotuine. The person performing the entry i.e. delivering a Routine, Project, Roadmap. etc.</t>
  </si>
  <si>
    <t xml:space="preserve">Mandatory. The Beneficiery. The Activity for which this is performed. The Default = the entire Venture VNT.</t>
  </si>
  <si>
    <t xml:space="preserve">Mandatory. 6W = Why. The Goal to which the item belongs. Goals are maintained in Sheet = Static.</t>
  </si>
  <si>
    <t xml:space="preserve">Performer</t>
  </si>
  <si>
    <t xml:space="preserve">Beneficiary</t>
  </si>
  <si>
    <t xml:space="preserve">Last Date Year</t>
  </si>
  <si>
    <t xml:space="preserve">Last Date Month</t>
  </si>
  <si>
    <t xml:space="preserve">Last Date Week</t>
  </si>
  <si>
    <t xml:space="preserve">Tracking Type Sort</t>
  </si>
  <si>
    <t xml:space="preserve">Report Eligible?</t>
  </si>
  <si>
    <t xml:space="preserve">Active ?</t>
  </si>
  <si>
    <t xml:space="preserve">Done  ?</t>
  </si>
  <si>
    <t xml:space="preserve">Show ?</t>
  </si>
  <si>
    <t xml:space="preserve">Day</t>
  </si>
  <si>
    <t xml:space="preserve">Calc 
Start 
Date</t>
  </si>
  <si>
    <t xml:space="preserve">Overview</t>
  </si>
  <si>
    <t xml:space="preserve">Whom by</t>
  </si>
  <si>
    <t xml:space="preserve">Whom for</t>
  </si>
  <si>
    <t xml:space="preserve">Trainig made mandatory by the company.</t>
  </si>
  <si>
    <t xml:space="preserve">STE</t>
  </si>
  <si>
    <t xml:space="preserve">leading</t>
  </si>
  <si>
    <t xml:space="preserve">Details:
# GENERAL
## Effort
## Assets
## Context</t>
  </si>
  <si>
    <t xml:space="preserve">Attend meetings</t>
  </si>
  <si>
    <t xml:space="preserve">There are various meetings that need to be attended not related to the other entries.</t>
  </si>
  <si>
    <t xml:space="preserve">Weekly</t>
  </si>
  <si>
    <t xml:space="preserve">. Open task
/ Started task
x Closed task
~ Pending Task
! Urgent task</t>
  </si>
  <si>
    <t xml:space="preserve">Read emails</t>
  </si>
  <si>
    <t xml:space="preserve">This concerns emails not related to any of the other routines</t>
  </si>
  <si>
    <t xml:space="preserve">Daily</t>
  </si>
  <si>
    <t xml:space="preserve">Sort emails</t>
  </si>
  <si>
    <t xml:space="preserve">This concerns days when utterly bored</t>
  </si>
  <si>
    <t xml:space="preserve">Details:  
# GENERAL 
## Effort ## </t>
  </si>
  <si>
    <t xml:space="preserve">prd</t>
  </si>
  <si>
    <t xml:space="preserve">research &amp; development</t>
  </si>
  <si>
    <t xml:space="preserve">Formula. Planning Type. Same value as the Column = Planning Type. This can be used as an extra filtering column in Pivot Tables in case Planning Type is already used as a display column.</t>
  </si>
  <si>
    <t xml:space="preserve">Formula. Level of the Planning Type</t>
  </si>
  <si>
    <t xml:space="preserve">Formula. Priority of the Goal (Run before Change)</t>
  </si>
  <si>
    <t xml:space="preserve">Formula. Key for the item.</t>
  </si>
  <si>
    <t xml:space="preserve">Formula. Priotity for the item</t>
  </si>
  <si>
    <t xml:space="preserve">Formula. Key of the Parent</t>
  </si>
  <si>
    <t xml:space="preserve">Formula. Priority of the Parent of the item</t>
  </si>
  <si>
    <t xml:space="preserve">Formula. Key of the Grand Parent of the item</t>
  </si>
  <si>
    <t xml:space="preserve">Formula. Priority of the Grand Parent of the item</t>
  </si>
  <si>
    <t xml:space="preserve">Formula. Key of the Great Grand parent of the item</t>
  </si>
  <si>
    <t xml:space="preserve">Formula. Simplified Status used for more binary reporting: an item is either completed, or else it is ongoing.</t>
  </si>
  <si>
    <t xml:space="preserve">Formula. Cell A1 = a formula. Column B  is calculated. </t>
  </si>
  <si>
    <t xml:space="preserve">Formula. The sum of Target Effort for all Drills/Actions within a Sub/Stream as well as the Sub/Stream itself.</t>
  </si>
  <si>
    <t xml:space="preserve">Formula. The sum of Target Effort for all Subs/Streams within a Routine/Project as well as the Routine/Project itself.</t>
  </si>
  <si>
    <t xml:space="preserve">Formula. The sum of Target Effort for all Goals within the Venture as well as the Venture itself.</t>
  </si>
  <si>
    <t xml:space="preserve">Formula. The sum of Actual Effort for all Drills/Actions within a Sub/Stream as well as the Sub/Stream itself.</t>
  </si>
  <si>
    <t xml:space="preserve">Formula. The sum of Actual Effort for all Subs/Streams within a Routine/Project as well as the Routine/Project itself.</t>
  </si>
  <si>
    <t xml:space="preserve">Formula. The sum of Actual Effort for all Goals within the Venture as well as the Venture itself.</t>
  </si>
  <si>
    <t xml:space="preserve">Unique Key that can be used in conjunction with Sheet = Delegation.</t>
  </si>
  <si>
    <t xml:space="preserve">Formula. To sort the planning based on the Planning Type and priority based on date or periodicity. Sorting is first Venture, then Run Goals (alphabetically) then Change Goals (alphabettically). Within Run Goals Soring is done based on the Periodicity (daily before weekly, before monthly etc), same for Subs and Drills. Within Change Goals soring is done based on Start date. Same for Streams and then Drills.</t>
  </si>
  <si>
    <t xml:space="preserve">Calculated. This shows “Yes” for all items that have an entry in Column = Notes not older than the Monday of the current week. This helps in weekly reporting.</t>
  </si>
  <si>
    <t xml:space="preserve">Optional: can be used to manually force the display of reportable items.</t>
  </si>
  <si>
    <t xml:space="preserve">Mandatory. The Planning type drives most of the functionality used in the formulae on this sheet. It is possible to create hiearchies as follows:
- VNT - Run Goal - Routine - Sub – Drill
- VNT - Change Goal - Project - Stream – Action
- VNT - Routine - Sub – Drill
- VNT - Project - Stream – Action</t>
  </si>
  <si>
    <t xml:space="preserve">Mandatory. Provide a Short description.
For Subs/Streams indent with 4x space and for Drills/Actions indent with 8x space. 
Make sure it starts with a Verb which are an indication of targeted Result, see [## SMART]:
- Assist: somebody in execution of their Process
- Build: something new from scratch
- Complete: something started elsewhere/prior
- Create: same as Build 
- Define: Target/expected Result, next Build/Create 
- Deploy: as new something existing  elsewhere
- Expand: something existing by adding to it
- Improve: something existing by automation etc.
- Increase: something existing by a numeric value
- Learn: how something operates
- Maintain: something existing at current level
- Meet: someone on regular or ad-hoc basis
- Perform: one or more specific Processes
- Prepare: a deliverable for completion elsewhere
- Process: take in a request and deliver Result
- React to: a situation with specific measures
- Resolve: Problems
- Review: Result vs Target + assess if change needed
- Rewrite: an existing document
Used in Formulas.</t>
  </si>
  <si>
    <t xml:space="preserve">More detailed information w/r to the Description. Mulitple Entries possible (use Ctrl+Enter in LibreOffice, Alt+Enter in Excel).</t>
  </si>
  <si>
    <t xml:space="preserve">If Venture or Goal, the start of the reporting period (mostly start of Year). If Project the Targeted start date (replace with actual start date). If Routine the first time the Routine was performed. This helps in tracking increase in workload. Used in Formulas.</t>
  </si>
  <si>
    <t xml:space="preserve">If Venture or Goal the end of the reporting period (mostly the end of the year). If Project targeted end date – do not replace with actual end date unless project officialy revised. If Routine the last time the Routine was performed i.e. decommissioned. This helps in tracking decrease in workload. Used in Formulas.</t>
  </si>
  <si>
    <t xml:space="preserve">If Venture, Goal or Routine (and below) leave empty. If Project the date the Project is put on Hold – status = Pending, else leave empty. Used in Formulas.</t>
  </si>
  <si>
    <t xml:space="preserve">If Venture, Goal or Routine (and below) leave empty. If Project Actual Completion data of project, else empty. Used in Formulas.</t>
  </si>
  <si>
    <t xml:space="preserve">Optional. IMandays per year. Used in Formulas.</t>
  </si>
  <si>
    <t xml:space="preserve">Optional. Actual mandays per year. Used in Formulas.</t>
  </si>
  <si>
    <t xml:space="preserve">Mandatory. The Alias of Staff (see Sheet = Staff) or Group (see Sheet = Organising) accountable for the item. Only one Entry possible.</t>
  </si>
  <si>
    <t xml:space="preserve">Mandatory. If the item is a Routine/Project (or below) the Activity in which the item is performed. If the item is Venture/Goal it is “STE”.</t>
  </si>
  <si>
    <t xml:space="preserve">If Planning Type = Venture then VNT. If Planning Type = Run Goal/Chg Goal then Key of Venture. If Planning Type = Routine then Key of Run Goal it belongs to(mgt, ovh, ovs,...). If Planning Type =  Project then Key of Change Goal it belongs to(gro, opt, pro, std,...). If Planning Type = Sub then Key of Routine it belongs to. If Planning Type = Drill then Key of Sub it belongs to. If Planning Type = Stream then Key of Project it belongs to. If Planning Type = Action then Key of Sub it belongs to. 
NB: Copy the Key from the Parent Item of the item being updated, i.e. as per above, and Paste Value in the cell in this column.  
In other words the following type of Hierachies exist, where each item is linked to a Parent Item by Column = Link which has the value of Column = Key of the Parent: 
Venture
    Run Goal
        Routine
            Sub
                Drill
    Chg Goal
         Project
             Stream
                 Action
Used in Formulas.</t>
  </si>
  <si>
    <t xml:space="preserve">The Goal Associated to the Project. For Streams and Actions it should be the same as the project.</t>
  </si>
  <si>
    <t xml:space="preserve">Optional: This column has a drop-down which is based on the value in the column to the left i.e. Sub-Goal depends on Goal. Sub-Goals for Streams and Actions should be the same as the Project they belong to.</t>
  </si>
  <si>
    <t xml:space="preserve">Optional. The expected impact of the Projects (or below) on Revenue expressed in Financial Reporting currency. One entry only.</t>
  </si>
  <si>
    <t xml:space="preserve">Optional. The expected impact of the Projects on Running Cost expressed in Financial Reporting currency. One entry only.</t>
  </si>
  <si>
    <t xml:space="preserve">Optional. The expected impact of the Projects (or below) on Risk expressed in Financial Reporting currency. One entry only.</t>
  </si>
  <si>
    <t xml:space="preserve">The expected Cost of the Project.</t>
  </si>
  <si>
    <t xml:space="preserve">The Actual Cost of the Project</t>
  </si>
  <si>
    <t xml:space="preserve">Optional. Reference to more information. Can include multiple entries and refer to: Files, URL, etc. Absence of a Reference means there is no other location where information is maintained. For Goals there is always a Directory created for the Goal in question. All other items (Projects, Routines, etc.) need to be explicitly populated.</t>
  </si>
  <si>
    <t xml:space="preserve">Optional. Provide further notes, updates etc.w/r to the item. Mulitple entries are possible. Items should start with “dd-mm-yy: “ (note the space behind ‘:’). Used in Formulas.</t>
  </si>
  <si>
    <t xml:space="preserve">Formula. The Total Target Effort of the Item as well as any children and grandchildren etc. of that item.</t>
  </si>
  <si>
    <t xml:space="preserve">Formula. The total Actual Effort of the Item as well as any children and grandchildren etc. of that item.</t>
  </si>
  <si>
    <t xml:space="preserve">Calculated. Progress expressed as a % of Total Effort assuming Effort is a proxy for Completion.</t>
  </si>
  <si>
    <t xml:space="preserve">Formula for first date of the Venture based on earliest entry in Column = Start Date.</t>
  </si>
  <si>
    <t xml:space="preserve">Formula for next date based on previous date + value in Cell xxx1 at the end of all dates.</t>
  </si>
  <si>
    <t xml:space="preserve">Formula to Calculate the first Note in Column = Notes</t>
  </si>
  <si>
    <t xml:space="preserve">Formula to calculate last Note in  Column = Notes</t>
  </si>
  <si>
    <t xml:space="preserve">Formula to calculate last Task in  Column = Tasks.</t>
  </si>
  <si>
    <t xml:space="preserve">Formula to calculate Day of the First Note from Column = First Note.</t>
  </si>
  <si>
    <t xml:space="preserve">Formula to calculated Day of the Last Note from Column = Last Note.</t>
  </si>
  <si>
    <t xml:space="preserve">Formula to calculate the date of entry of item in this sheet based on First Note Date.</t>
  </si>
  <si>
    <t xml:space="preserve">Formula to calculate the effective Update Date based on Last Note Date.</t>
  </si>
  <si>
    <t xml:space="preserve">Formula for Nr of days lapsed since Created Date.</t>
  </si>
  <si>
    <t xml:space="preserve">Formula to calculate Nr days lapsed since Updated Date.</t>
  </si>
  <si>
    <t xml:space="preserve">Formula to calculate nr Weeks since last updated Date.</t>
  </si>
  <si>
    <t xml:space="preserve">Formula to calculate the Nr Days Overdue (only for projects) based on End Date.</t>
  </si>
  <si>
    <t xml:space="preserve">Formula to calculate the nr Days before Project goes Overdue. If negative it is already Overdue.</t>
  </si>
  <si>
    <t xml:space="preserve">Formula. Calculates Run / Change</t>
  </si>
  <si>
    <t xml:space="preserve">Formula. Indicates the color to use in the Dynamic Calendar based on the Level</t>
  </si>
  <si>
    <t xml:space="preserve">Formula. Date to be be used in the Dynamic Gantt Chart</t>
  </si>
  <si>
    <r>
      <rPr>
        <sz val="7"/>
        <color rgb="FFFFFFFF"/>
        <rFont val="Arial"/>
        <family val="2"/>
        <charset val="1"/>
      </rPr>
      <t xml:space="preserve">End of dataset. Insert Columns </t>
    </r>
    <r>
      <rPr>
        <b val="true"/>
        <sz val="7"/>
        <color rgb="FFFFFFFF"/>
        <rFont val="Arial"/>
        <family val="2"/>
        <charset val="1"/>
      </rPr>
      <t xml:space="preserve">before</t>
    </r>
    <r>
      <rPr>
        <sz val="7"/>
        <color rgb="FFFFFFFF"/>
        <rFont val="Arial"/>
        <family val="2"/>
        <charset val="1"/>
      </rPr>
      <t xml:space="preserve"> this column.</t>
    </r>
  </si>
  <si>
    <t xml:space="preserve">Q</t>
  </si>
  <si>
    <t xml:space="preserve">Goal Pty</t>
  </si>
  <si>
    <t xml:space="preserve">Self Pty</t>
  </si>
  <si>
    <t xml:space="preserve">Self+1</t>
  </si>
  <si>
    <t xml:space="preserve">Self+2</t>
  </si>
  <si>
    <t xml:space="preserve">Self+2 Pty</t>
  </si>
  <si>
    <t xml:space="preserve">Self+3</t>
  </si>
  <si>
    <t xml:space="preserve">Self+3 Pty</t>
  </si>
  <si>
    <t xml:space="preserve">Report Status</t>
  </si>
  <si>
    <t xml:space="preserve">Target Drill / Action Effort</t>
  </si>
  <si>
    <t xml:space="preserve">Target Sub / Stream Effort</t>
  </si>
  <si>
    <t xml:space="preserve">Target Routine / Project Effort</t>
  </si>
  <si>
    <t xml:space="preserve">Target Venture Effort</t>
  </si>
  <si>
    <t xml:space="preserve">Actual Drill / Action Effort</t>
  </si>
  <si>
    <t xml:space="preserve">Actual Sub / Stream Effort</t>
  </si>
  <si>
    <t xml:space="preserve">Actual Routine / Project Effort</t>
  </si>
  <si>
    <t xml:space="preserve">Actual Venture Effort</t>
  </si>
  <si>
    <t xml:space="preserve">Active?</t>
  </si>
  <si>
    <t xml:space="preserve">Target Effort</t>
  </si>
  <si>
    <t xml:space="preserve">Actual Effort</t>
  </si>
  <si>
    <t xml:space="preserve">Whom By</t>
  </si>
  <si>
    <t xml:space="preserve">Whom For</t>
  </si>
  <si>
    <t xml:space="preserve">Link</t>
  </si>
  <si>
    <t xml:space="preserve">Target Revenue Increase</t>
  </si>
  <si>
    <t xml:space="preserve">Target Cost Savings</t>
  </si>
  <si>
    <t xml:space="preserve">Target Risk Avoidance</t>
  </si>
  <si>
    <t xml:space="preserve">Target Project Cost</t>
  </si>
  <si>
    <t xml:space="preserve">Actual Project Cost</t>
  </si>
  <si>
    <t xml:space="preserve">Total Target Effort</t>
  </si>
  <si>
    <t xml:space="preserve">Total Actual Effort</t>
  </si>
  <si>
    <t xml:space="preserve">Effort %</t>
  </si>
  <si>
    <t xml:space="preserve">Last Task</t>
  </si>
  <si>
    <t xml:space="preserve">Created Date</t>
  </si>
  <si>
    <t xml:space="preserve">Updated Date</t>
  </si>
  <si>
    <t xml:space="preserve">Days since Creation</t>
  </si>
  <si>
    <t xml:space="preserve">Days since Update Date</t>
  </si>
  <si>
    <t xml:space="preserve">WK since Updated</t>
  </si>
  <si>
    <t xml:space="preserve">Days Overdue</t>
  </si>
  <si>
    <t xml:space="preserve">Days to End Date</t>
  </si>
  <si>
    <t xml:space="preserve">Run / Chg</t>
  </si>
  <si>
    <t xml:space="preserve">Color</t>
  </si>
  <si>
    <t xml:space="preserve">Dynamic Gannt Chart Start</t>
  </si>
  <si>
    <t xml:space="preserve">Dynamic Cantt Chart End</t>
  </si>
  <si>
    <t xml:space="preserve">Venture</t>
  </si>
  <si>
    <t xml:space="preserve">Represents the entire Venture.  An overview is presented in below Sub  =1.01 Maintain Context.</t>
  </si>
  <si>
    <t xml:space="preserve">SE</t>
  </si>
  <si>
    <t xml:space="preserve">01-01-22: init</t>
  </si>
  <si>
    <t xml:space="preserve">. ss
/ ss
x ll
~ hh
! uu
. Task</t>
  </si>
  <si>
    <t xml:space="preserve">Chg Goal</t>
  </si>
  <si>
    <t xml:space="preserve">DMM</t>
  </si>
  <si>
    <t xml:space="preserve">Some Study Project for sub-cat 2</t>
  </si>
  <si>
    <t xml:space="preserve">Some Project Overview</t>
  </si>
  <si>
    <t xml:space="preserve">sec</t>
  </si>
  <si>
    <t xml:space="preserve">sec 1</t>
  </si>
  <si>
    <t xml:space="preserve">Stream</t>
  </si>
  <si>
    <t xml:space="preserve">    Some Stream of the project</t>
  </si>
  <si>
    <t xml:space="preserve">Some Stream Overview</t>
  </si>
  <si>
    <t xml:space="preserve">Action</t>
  </si>
  <si>
    <t xml:space="preserve">        Some Action for the Study</t>
  </si>
  <si>
    <t xml:space="preserve">Some Action Overview</t>
  </si>
  <si>
    <t xml:space="preserve">EMM</t>
  </si>
  <si>
    <t xml:space="preserve">r&amp;d</t>
  </si>
  <si>
    <t xml:space="preserve">Some Study Project for sub-cat 1</t>
  </si>
  <si>
    <t xml:space="preserve">gro</t>
  </si>
  <si>
    <t xml:space="preserve">gro 2</t>
  </si>
  <si>
    <t xml:space="preserve">First column. Leave empty.</t>
  </si>
  <si>
    <t xml:space="preserve">Calculated. Based on the content of Link.</t>
  </si>
  <si>
    <t xml:space="preserve">Optional. Only to be used to link Actions to Streams and Streams to Projects as follows:
- If item = Project the value of COlumn = Name for the Project
- If item = Stream the value of Column = Name for the Project + a number (or alhabetical character
- If item = Action the value of Column = Name for the Stream + a number (or alhpabetical character)
For Routines, to force a specific order, the same logic can be applied.
</t>
  </si>
  <si>
    <t xml:space="preserve">Mandatory. The grouping of Activities, one level above Column = Activity.</t>
  </si>
  <si>
    <t xml:space="preserve">Mandatory. The Activity the item belongs to. Can be a regrouping of Activities. Should map to the Activities in MSS: 02.Organising.</t>
  </si>
  <si>
    <t xml:space="preserve">Mandatory. Goal associated to the item. Possible values:
- mgt
- ovh
- ovs
- prd
- gro
- opt
- pro
- sec</t>
  </si>
  <si>
    <t xml:space="preserve">Mandatory. The Type of Planning. Possible values:
- Routine
- Project
- Stream
- Action</t>
  </si>
  <si>
    <t xml:space="preserve">Mandatory. Provide a Short description. 
For Subs/Streams indent with 4x space and for Drills/Actions indent with 8x space.  
Make sure it starts with a Verb which are an indication of targeted Result, see [## SMART]: 
- Assist: somebody in execution of their Process
- Build: something new from scratch
- Complete: something started elsewhere/prior 
- Create: same as Build  
- Define: Target/expected Result, next Build/Create  
- Deploy: as new something existing  elsewhere 
- Expand: something existing by adding to it 
- Improve: something existing by automation etc. 
- Increase: something existing by a numeric value 
- Learn: how something operates 
- Maintain: something existing at current level 
- Meet: someone on regular or ad-hoc basis 
- Perform: one or more specific Processes 
- Prepare: a deliverable for completion elsewhere 
- Process: take in a request and deliver Result 
- React to: a situation with specific measures 
- Resolve: Problems 
- Review: Result vs Target + assess if change needed 
- Rewrite: an existing document   </t>
  </si>
  <si>
    <t xml:space="preserve">Optional. Reference to more information. Can refer to URLs, files, etc. Multiple entries are possible.</t>
  </si>
  <si>
    <t xml:space="preserve">Mandatory. Whether the Item is </t>
  </si>
  <si>
    <t xml:space="preserve">Optional. Date of a hard deadline if it exists.</t>
  </si>
  <si>
    <t xml:space="preserve">Mandatory. Number of days worked on the item. A day has 8 hours. A year has 220 working days.</t>
  </si>
  <si>
    <t xml:space="preserve">Calculated. Total of all Work done for each of the staff. </t>
  </si>
  <si>
    <t xml:space="preserve">Mandatory. Manually color coded cell to reflect a Plan. The Cell is entirely colored if the start data is in the month. Same for the end date and any date in between.
Color coding as follows:
- Routine: Dark Blue
- Sub: Blue
- Drill: Light Grey
- Project: Dark blue, Dark Green (Completed), Dark Red (Overdue)
- Stream: Blue, Green (Completed), Red (Overdue)
- Action: Light Grey, Light Green (Completed), Rose (Overdue)</t>
  </si>
  <si>
    <t xml:space="preserve">Here one can enter notes. The format is specific for each new line: dd-mm-yy: xxx in which dd, mm and yy are day, month and year and XXX is whatever you want to type.</t>
  </si>
  <si>
    <t xml:space="preserve">Parent Activity</t>
  </si>
  <si>
    <t xml:space="preserve">Activity</t>
  </si>
  <si>
    <t xml:space="preserve">is Glob / Reg / Loc 
?</t>
  </si>
  <si>
    <t xml:space="preserve">Is Road map 
?</t>
  </si>
  <si>
    <t xml:space="preserve">Hard Deadline</t>
  </si>
  <si>
    <t xml:space="preserve">&lt;empty&gt;</t>
  </si>
  <si>
    <t xml:space="preserve">TOTAL</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</si>
  <si>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</si>
  <si>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</si>
  <si>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</si>
  <si>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</si>
  <si>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</si>
  <si>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</si>
  <si>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</si>
  <si>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</si>
  <si>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</si>
  <si>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</si>
  <si>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</si>
  <si>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</si>
  <si>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EQD</t>
  </si>
  <si>
    <t xml:space="preserve">Manage Planning</t>
  </si>
  <si>
    <t xml:space="preserve">01-11-22: init</t>
  </si>
  <si>
    <t xml:space="preserve">Manage Organising</t>
  </si>
  <si>
    <t xml:space="preserve">Manage Leading</t>
  </si>
  <si>
    <t xml:space="preserve">Manage Controlling</t>
  </si>
  <si>
    <t xml:space="preserve">ovh</t>
  </si>
  <si>
    <t xml:space="preserve">Act as Chief of Staff</t>
  </si>
  <si>
    <t xml:space="preserve">Complete mandatory trainings</t>
  </si>
  <si>
    <t xml:space="preserve">Read non-prd/ovs mail</t>
  </si>
  <si>
    <t xml:space="preserve">ovs</t>
  </si>
  <si>
    <t xml:space="preserve">Assist LOD1/2/3/4</t>
  </si>
  <si>
    <t xml:space="preserve">Review Profit &amp; Loss</t>
  </si>
  <si>
    <t xml:space="preserve">Review Risk</t>
  </si>
  <si>
    <t xml:space="preserve">Perform Controls</t>
  </si>
  <si>
    <t xml:space="preserve">Perform Controls1</t>
  </si>
  <si>
    <t xml:space="preserve">Sub</t>
  </si>
  <si>
    <t xml:space="preserve">Perform Daily Controls</t>
  </si>
  <si>
    <t xml:space="preserve">Perform Controls1a</t>
  </si>
  <si>
    <t xml:space="preserve">Drill</t>
  </si>
  <si>
    <t xml:space="preserve">Perform Daily SOD Check</t>
  </si>
  <si>
    <t xml:space="preserve">Act as Product Owner</t>
  </si>
  <si>
    <t xml:space="preserve">Onboard Staff</t>
  </si>
  <si>
    <t xml:space="preserve">Onboard Assets</t>
  </si>
  <si>
    <t xml:space="preserve">Onboard Suppliers</t>
  </si>
  <si>
    <t xml:space="preserve">Unblock Production</t>
  </si>
  <si>
    <t xml:space="preserve">Increase scope of products</t>
  </si>
  <si>
    <t xml:space="preserve">ALL</t>
  </si>
  <si>
    <t xml:space="preserve">Increase scope of products1</t>
  </si>
  <si>
    <t xml:space="preserve">Increase Daily Services</t>
  </si>
  <si>
    <t xml:space="preserve">Increase scope of products1a</t>
  </si>
  <si>
    <t xml:space="preserve">Increase Daily Market Making</t>
  </si>
  <si>
    <t xml:space="preserve">Formula. Determines whether Staff is still in the Venture.</t>
  </si>
  <si>
    <t xml:space="preserve">Mandatory. Select whether Staff is internal (employee) or from external (consultant, temp staff).  Based on Validity/Validation of data in Sheet = Static.</t>
  </si>
  <si>
    <t xml:space="preserve">Mandatory. Shorter Name of Name if Desired, else Alias = Name. Only one entry is possible.</t>
  </si>
  <si>
    <t xml:space="preserve">Mandatory. Name of the item. Can only be one entry. If Staff Type = Internal Provide the internal organisation staff name.</t>
  </si>
  <si>
    <t xml:space="preserve">Mandatory. Details of the item including where they are located etc. Multiple entries are possible.</t>
  </si>
  <si>
    <t xml:space="preserve">Mandatory. Name (not Alias) of the Staff that the Staff reports into. This allows setting up a hierarchy of Staff if relevant. </t>
  </si>
  <si>
    <t xml:space="preserve">Mandatory. Name of the Category of Staff. This is the same as Corporate Title which is used in Performance Review, see [MGT: Tools ## Performance Review].  Based on Validity/Validation of data in Sheet = Static.</t>
  </si>
  <si>
    <t xml:space="preserve">Optional. Private Phone to be able to contact during urgencies.</t>
  </si>
  <si>
    <t xml:space="preserve">Mandatory. The Group the Staff is part off. Only one entry is possible.</t>
  </si>
  <si>
    <t xml:space="preserve">Optional. Skills the Staff has. Multiple entries are possible.</t>
  </si>
  <si>
    <t xml:space="preserve">Optional. Training record of the Staff. Multiple entries are possible.</t>
  </si>
  <si>
    <t xml:space="preserve">Optional. Details of the Performance Review, see [MGT: Tools ## Performance Review].  Most often contained in a seperate protected file.</t>
  </si>
  <si>
    <t xml:space="preserve">Optional. Details of the remuneration. Most often contained in a seperate protected file.</t>
  </si>
  <si>
    <t xml:space="preserve">Optional. The role the Staff has within the team.</t>
  </si>
  <si>
    <t xml:space="preserve">Optional. Date at which Staff entered the Role which can be later than joining the Venture.</t>
  </si>
  <si>
    <t xml:space="preserve">Optional. The Country two-letter ISO code in which the Staff works.</t>
  </si>
  <si>
    <t xml:space="preserve">Optional. Date Staff joined the Venture.</t>
  </si>
  <si>
    <t xml:space="preserve">Optional. The Date after which the Staff left the Venture (the day itself is thus still included in the Staff’s presence in the Venture).</t>
  </si>
  <si>
    <t xml:space="preserve">Otpional. Unique ID with which the Staff is referenced in HR systems. This helps adding additional fields to the right which then can be populated using INDEX( MATCH()) etc.</t>
  </si>
  <si>
    <t xml:space="preserve">Optional. Cost Centre for the Staff</t>
  </si>
  <si>
    <t xml:space="preserve">Optional. Provide further notes, updates etc.w/r to the item. Mulitple entries are possible. Items should start with “dd-mm-yy: “ (note the space behind ‘:’).</t>
  </si>
  <si>
    <t xml:space="preserve">Staff Type</t>
  </si>
  <si>
    <t xml:space="preserve">Alias</t>
  </si>
  <si>
    <t xml:space="preserve">Parent</t>
  </si>
  <si>
    <t xml:space="preserve">Category</t>
  </si>
  <si>
    <t xml:space="preserve">Private Phone</t>
  </si>
  <si>
    <t xml:space="preserve">Group</t>
  </si>
  <si>
    <t xml:space="preserve">Skills</t>
  </si>
  <si>
    <t xml:space="preserve">Training</t>
  </si>
  <si>
    <t xml:space="preserve">Evaluation</t>
  </si>
  <si>
    <t xml:space="preserve">Remuneration</t>
  </si>
  <si>
    <t xml:space="preserve">Role</t>
  </si>
  <si>
    <t xml:space="preserve">Role Start Date</t>
  </si>
  <si>
    <t xml:space="preserve">Country</t>
  </si>
  <si>
    <t xml:space="preserve">Hire Date</t>
  </si>
  <si>
    <t xml:space="preserve">Leave Date</t>
  </si>
  <si>
    <t xml:space="preserve">ID</t>
  </si>
  <si>
    <t xml:space="preserve">Cost Centre</t>
  </si>
  <si>
    <t xml:space="preserve">Internal</t>
  </si>
  <si>
    <t xml:space="preserve">Sander Elzinga</t>
  </si>
  <si>
    <t xml:space="preserve">Dorothee Freymann</t>
  </si>
  <si>
    <t xml:space="preserve">Director</t>
  </si>
  <si>
    <t xml:space="preserve"> +852 64 62 84 20</t>
  </si>
  <si>
    <t xml:space="preserve">MyActivity</t>
  </si>
  <si>
    <t xml:space="preserve">COO</t>
  </si>
  <si>
    <t xml:space="preserve">Mandatory. Leave empty.</t>
  </si>
  <si>
    <t xml:space="preserve">Mandatory. Select whether Asset is supplied from internal or external Suppler. Based on Validity/Validation of data in Sheet = Static.</t>
  </si>
  <si>
    <t xml:space="preserve">Mandatory. Official name of the item. If Asset Type = Internal Provide the internal Organisation label (HR Path, etc.). Only one entry is possible.</t>
  </si>
  <si>
    <t xml:space="preserve">Optional. Name (not Alias) of the Asset that includes the item. This allows setting up a hierarchy of Assets if relevant. Only one entry is possible.</t>
  </si>
  <si>
    <t xml:space="preserve">Mandatory. Name of the Category of Asset. Only one entry is possible. Based on a Validity/Validation of data in Sheet = Static.</t>
  </si>
  <si>
    <t xml:space="preserve">Mandatory. The names of the Supplier supporting the Asset.  Items should be in Sheet = Suppliers. Mulitple Entries are possible.</t>
  </si>
  <si>
    <t xml:space="preserve">Optional. What is the Asset providing.</t>
  </si>
  <si>
    <t xml:space="preserve">The monetary cost associated to the Asset / year. This can include maintenance fees, license fees etc. Note that due to the complexity of some cost structures, data for the assets mentioned here are maintained elsewhere in a more holistic manner. NB: do not double count the Cost of the Assets provided by the Supplier and the Cost of the Supplier.</t>
  </si>
  <si>
    <t xml:space="preserve">Asset Type</t>
  </si>
  <si>
    <t xml:space="preserve">Supplier</t>
  </si>
  <si>
    <t xml:space="preserve">Output</t>
  </si>
  <si>
    <t xml:space="preserve">Cost</t>
  </si>
  <si>
    <t xml:space="preserve">External</t>
  </si>
  <si>
    <t xml:space="preserve">Excel</t>
  </si>
  <si>
    <t xml:space="preserve">MS Excel </t>
  </si>
  <si>
    <t xml:space="preserve">Microsoft</t>
  </si>
  <si>
    <t xml:space="preserve">Software</t>
  </si>
  <si>
    <t xml:space="preserve">DWS</t>
  </si>
  <si>
    <t xml:space="preserve">Standard MS Excel functionality</t>
  </si>
  <si>
    <t xml:space="preserve">Word</t>
  </si>
  <si>
    <t xml:space="preserve">MS Word</t>
  </si>
  <si>
    <t xml:space="preserve">Standard MS Word functionality</t>
  </si>
  <si>
    <t xml:space="preserve">PowerPoint</t>
  </si>
  <si>
    <t xml:space="preserve">MS Powerpoint</t>
  </si>
  <si>
    <t xml:space="preserve">Standard Powerpoint functionality</t>
  </si>
  <si>
    <t xml:space="preserve">OneNote</t>
  </si>
  <si>
    <t xml:space="preserve">MS OneNote</t>
  </si>
  <si>
    <t xml:space="preserve">Standard OneNote functionality</t>
  </si>
  <si>
    <t xml:space="preserve">Teams</t>
  </si>
  <si>
    <t xml:space="preserve">MS Teams</t>
  </si>
  <si>
    <t xml:space="preserve">Standard MS Teams including calling / conferencing.</t>
  </si>
  <si>
    <t xml:space="preserve">Laptop</t>
  </si>
  <si>
    <t xml:space="preserve">Can be Dell or HP</t>
  </si>
  <si>
    <t xml:space="preserve">Client Hardware</t>
  </si>
  <si>
    <t xml:space="preserve">Laptop hardware including headset, etc</t>
  </si>
  <si>
    <t xml:space="preserve">MS</t>
  </si>
  <si>
    <t xml:space="preserve">Software suite called Microsoft 365</t>
  </si>
  <si>
    <t xml:space="preserve">Mandatory. Select whether Supplier is internal or external to the Venture.  Based on Validity/Validation of data in Sheet = Static.</t>
  </si>
  <si>
    <t xml:space="preserve">Mandatory. Official name of the item. If Supplier Type = Internal Provide the internal Organisation label (HR Path, etc.). Only one entry is possible.</t>
  </si>
  <si>
    <t xml:space="preserve">Optional. Name (not Alias) of the Supplier that includes the item. This allows setting up a hierarchy of Suppliers if relevant. Only one entry is possible.</t>
  </si>
  <si>
    <t xml:space="preserve">Mandatory. Name of the Category of Supplier. Only one entry is possible.  Based on Validity/Validation of data in Sheet = Static.</t>
  </si>
  <si>
    <t xml:space="preserve">Mandatory. The contact persons for the Supplier. Person at top is Head of item. Multiple entries are possible. </t>
  </si>
  <si>
    <t xml:space="preserve">Optional. What is the Supplier providing in terms of Services, Assets, Products. Multiple entries possible. It is also possible to have specific person within the item being mentioned.</t>
  </si>
  <si>
    <t xml:space="preserve">The monetary cost associated to the Supplier / year. This can include maintenance fees, license fees etc. Note that due to the complexity of some cost structures, data for the Supplier mentioned here are maintained elsewhere in a more holistic manner. NB: do not double count the Cost of the Assets provided by the Supplier and the Cost of the Supplier.</t>
  </si>
  <si>
    <t xml:space="preserve">Optional. Unique Internal ID used in referential databases wihtin the Venture (if applicable).</t>
  </si>
  <si>
    <t xml:space="preserve">Supplier Type</t>
  </si>
  <si>
    <t xml:space="preserve">Supplier Category</t>
  </si>
  <si>
    <t xml:space="preserve">Contacts</t>
  </si>
  <si>
    <t xml:space="preserve">Helpdesk Support Group</t>
  </si>
  <si>
    <t xml:space="preserve">RESG/GTS/ASI/DWS</t>
  </si>
  <si>
    <t xml:space="preserve">Patrick CHENG</t>
  </si>
  <si>
    <t xml:space="preserve">Support of all Desktop items: Office Software, Laptops, Telephone, incl redudnancu etc.</t>
  </si>
  <si>
    <t xml:space="preserve">GTS</t>
  </si>
  <si>
    <t xml:space="preserve">Infra-structure implementation and support</t>
  </si>
  <si>
    <t xml:space="preserve">RESG/GTS</t>
  </si>
  <si>
    <t xml:space="preserve">Hardware</t>
  </si>
  <si>
    <t xml:space="preserve">Support of all Infrastructure items: Servers, NAS, San, Data backup, Routers, Switches</t>
  </si>
  <si>
    <t xml:space="preserve">Mandatory. Select whether Service is a Product of Service.  Based on Validity/Validation of data in Sheet = Static.</t>
  </si>
  <si>
    <t xml:space="preserve">Mandatory. Official name of the item. Only one entry is possible.</t>
  </si>
  <si>
    <t xml:space="preserve">Optional. Name (not Alias) of the Service that includes the item. This allows setting up a hierarchy of Services if relevant. Only one entry is possible.</t>
  </si>
  <si>
    <t xml:space="preserve">Mandatory. Name of the Category of Service. Only one entry is possible.  Based on Validity/Validation of data in Sheet = Static.</t>
  </si>
  <si>
    <t xml:space="preserve">Mandatory. The Activity in which the Service is Produced. Only one entry is possible.</t>
  </si>
  <si>
    <t xml:space="preserve">The monetary cost associated to the Service / year. This can include maintenance fees, license fees etc. Note that due to the complexity of some cost structures, data for the Service mentioned here are maintained elsewhere in a more holistic manner. NB: do not double count the Cost of the Assets provided by the Supplier and the Cost of the Supplier.</t>
  </si>
  <si>
    <t xml:space="preserve">Service Type</t>
  </si>
  <si>
    <t xml:space="preserve">Service Category</t>
  </si>
  <si>
    <t xml:space="preserve">Service</t>
  </si>
  <si>
    <t xml:space="preserve">Mandatory. Select whether Client is internal or external to the Venture.  Based on Validity/Validation of data in Sheet = Static.</t>
  </si>
  <si>
    <t xml:space="preserve">Mandatory. Official name of the item. If Client Type = Internal Provide the internal Organisation label (HR Path, etc.). Only one entry is possible.</t>
  </si>
  <si>
    <t xml:space="preserve">Optional. Name (not Alias) of the Client that includes the item. This allows setting up a hierarchy of Clients if relevant. Only one entry is possible.</t>
  </si>
  <si>
    <t xml:space="preserve">Mandatory. Name of the Category of Client. Only one entry is possible.  Based on Validity/Validation of data in Sheet = Static.</t>
  </si>
  <si>
    <t xml:space="preserve">Mandatory. The contact persons within the Venture for the Client item. Person at top is Head of item. Multiple entries are possible. </t>
  </si>
  <si>
    <t xml:space="preserve">Optional. What is the Revenue associated to the Client. These details are often maintained by the Sales department in dedicated databases for large Ventures.</t>
  </si>
  <si>
    <t xml:space="preserve">Client Type</t>
  </si>
  <si>
    <t xml:space="preserve">Client Category</t>
  </si>
  <si>
    <t xml:space="preserve">Revenue</t>
  </si>
  <si>
    <t xml:space="preserve">Mandatory. Select whether Environment is Internal or External.  Based on Validity/Validation of data in Sheet = Static.</t>
  </si>
  <si>
    <t xml:space="preserve">Optional. Name (not Alias) of the Environment that includes the item. This allows setting up a hierarchy of Environmental items if relevant. Only one entry is possible.</t>
  </si>
  <si>
    <t xml:space="preserve">Mandatory. The contact person within the Venture covering the Environment item.</t>
  </si>
  <si>
    <t xml:space="preserve">Optional. What is the Environment putting out. Multiple entries possible. </t>
  </si>
  <si>
    <t xml:space="preserve">Environment Type</t>
  </si>
  <si>
    <t xml:space="preserve">Environment Category</t>
  </si>
  <si>
    <t xml:space="preserve">Other</t>
  </si>
  <si>
    <t xml:space="preserve">Optional. Name (not Alias) of the Finance item that includes the item. This allows setting up a hierarchy of Environmental items if relevant. Only one entry is possible.</t>
  </si>
  <si>
    <t xml:space="preserve">Start of a timeslot e.g. if a row says 05:00 that is a timeslot 0500-05:30.</t>
  </si>
  <si>
    <t xml:space="preserve">Whether the time slots are considered Perso or Work</t>
  </si>
  <si>
    <t xml:space="preserve">The type of action the slot should be reserved for.</t>
  </si>
  <si>
    <t xml:space="preserve">Description of the Action.</t>
  </si>
  <si>
    <t xml:space="preserve">Time</t>
  </si>
  <si>
    <t xml:space="preserve">Perso / Work</t>
  </si>
  <si>
    <t xml:space="preserve">xxx</t>
  </si>
  <si>
    <t xml:space="preserve">Perso</t>
  </si>
  <si>
    <t xml:space="preserve">Sleep</t>
  </si>
  <si>
    <t xml:space="preserve">What it says</t>
  </si>
  <si>
    <t xml:space="preserve">Workout/Sleep</t>
  </si>
  <si>
    <t xml:space="preserve">Workout on Mon, Wed, Thu. Sleep on Tue and Fri.</t>
  </si>
  <si>
    <t xml:space="preserve">Care</t>
  </si>
  <si>
    <t xml:space="preserve">Shower, etc.</t>
  </si>
  <si>
    <t xml:space="preserve">Work</t>
  </si>
  <si>
    <t xml:space="preserve">Commute</t>
  </si>
  <si>
    <t xml:space="preserve">Travel Home / Work, takes half an hour at current residence. Read newspaper during commute.</t>
  </si>
  <si>
    <t xml:space="preserve">Markets</t>
  </si>
  <si>
    <t xml:space="preserve">Check markets (indices, news)</t>
  </si>
  <si>
    <t xml:space="preserve">Mail – Inbox</t>
  </si>
  <si>
    <t xml:space="preserve">Read / priortise / quick-answer / delete mail</t>
  </si>
  <si>
    <t xml:space="preserve">Mail – 01</t>
  </si>
  <si>
    <t xml:space="preserve">Answer mails in 01_DoToday</t>
  </si>
  <si>
    <t xml:space="preserve">Mail – 02 &amp; Mail – 03</t>
  </si>
  <si>
    <t xml:space="preserve">Review mails in 02_DoLater and 03_Delegate</t>
  </si>
  <si>
    <t xml:space="preserve">Management</t>
  </si>
  <si>
    <t xml:space="preserve">Review and action MSS items (meeting preparation, etc)</t>
  </si>
  <si>
    <t xml:space="preserve">Recurring Meeting</t>
  </si>
  <si>
    <t xml:space="preserve">Slot for meeting Asia TZ. If 1:1 -&gt; 30 min + reserve next slot for Overhead, if committee/steerco/team meeting etc -&gt; 60 min (this then blocks the next slot too).</t>
  </si>
  <si>
    <t xml:space="preserve">See above</t>
  </si>
  <si>
    <t xml:space="preserve">Meeting</t>
  </si>
  <si>
    <t xml:space="preserve">Slot for meeting. Logic: If 1:1 -&gt; 30 min, and reserve next slot for Overhead, if committee/team etc -&gt; 60 min (this then blocks the next slot too).</t>
  </si>
  <si>
    <t xml:space="preserve">Lunch</t>
  </si>
  <si>
    <t xml:space="preserve">Slot for Lunch. Can be swapped with the Overheads slots below.</t>
  </si>
  <si>
    <t xml:space="preserve">Overhead</t>
  </si>
  <si>
    <t xml:space="preserve">Slot for : Mails, Controls, Reviews of Legal Doc, or Management etc. Can be swapped with Lunch above.</t>
  </si>
  <si>
    <t xml:space="preserve">Slot for anything else: Controls, Reviews of Legal Doc etc. Can be swapped with Lunch above.</t>
  </si>
  <si>
    <t xml:space="preserve">Diner</t>
  </si>
  <si>
    <t xml:space="preserve">Admin</t>
  </si>
  <si>
    <t xml:space="preserve">Entertainment</t>
  </si>
  <si>
    <t xml:space="preserve">First Column</t>
  </si>
  <si>
    <t xml:space="preserve">The Periodicity of Routines  / Subs /Drills in Sheet = Planning. The first item is empty for esthaetic reasons.</t>
  </si>
  <si>
    <t xml:space="preserve">The priority of the Periodicity which can be used in Sorting Data. The use of this column has been decomissioned in Apr 2022.</t>
  </si>
  <si>
    <t xml:space="preserve">The type of Tracking relevant to the Manager. Details of these are maintained in [MGT: 99.Tools].</t>
  </si>
  <si>
    <t xml:space="preserve">Whether BuJO Type is Recurring</t>
  </si>
  <si>
    <t xml:space="preserve">Helpsin Sorting in Sheet = 04.01.BuJoMSS</t>
  </si>
  <si>
    <t xml:space="preserve">First item (Row 5) = the Goal. The items underanth (row 6 and higher) are the Sub-Goals for each Goal. Goal + Sub-Goal is defined as a Range. </t>
  </si>
  <si>
    <t xml:space="preserve">Service Type can be changes in Product Class etc.</t>
  </si>
  <si>
    <t xml:space="preserve">Note that by creating a hierarchy of Services in Sheet = Services one can avoid having to insert Service or Product Class etc.</t>
  </si>
  <si>
    <t xml:space="preserve">Last Column</t>
  </si>
  <si>
    <t xml:space="preserve">Status Value</t>
  </si>
  <si>
    <t xml:space="preserve">Level</t>
  </si>
  <si>
    <t xml:space="preserve">Run / Change</t>
  </si>
  <si>
    <t xml:space="preserve">Periodicity</t>
  </si>
  <si>
    <t xml:space="preserve">Periodicity Priority</t>
  </si>
  <si>
    <t xml:space="preserve">Tracking 
Type</t>
  </si>
  <si>
    <t xml:space="preserve">Tracking Type Recurs</t>
  </si>
  <si>
    <t xml:space="preserve">Tracking Type Sort Prio</t>
  </si>
  <si>
    <t xml:space="preserve">Tracking Type  Reporting Eligibility</t>
  </si>
  <si>
    <t xml:space="preserve">Run Goal + Sub-Goals</t>
  </si>
  <si>
    <t xml:space="preserve">Change Goal + Sub-Goals</t>
  </si>
  <si>
    <t xml:space="preserve">Asset Category</t>
  </si>
  <si>
    <t xml:space="preserve">Staff Category</t>
  </si>
  <si>
    <t xml:space="preserve">Y/N</t>
  </si>
  <si>
    <t xml:space="preserve">Nr</t>
  </si>
  <si>
    <t xml:space="preserve">Month</t>
  </si>
  <si>
    <t xml:space="preserve">Weekday</t>
  </si>
  <si>
    <t xml:space="preserve">Open</t>
  </si>
  <si>
    <t xml:space="preserve">Run</t>
  </si>
  <si>
    <t xml:space="preserve">Audit</t>
  </si>
  <si>
    <t xml:space="preserve">F</t>
  </si>
  <si>
    <t xml:space="preserve">Y</t>
  </si>
  <si>
    <t xml:space="preserve">pro</t>
  </si>
  <si>
    <t xml:space="preserve">opt</t>
  </si>
  <si>
    <t xml:space="preserve">oth</t>
  </si>
  <si>
    <t xml:space="preserve">prj</t>
  </si>
  <si>
    <t xml:space="preserve">Cash Equity</t>
  </si>
  <si>
    <t xml:space="preserve">Broker</t>
  </si>
  <si>
    <t xml:space="preserve">Geography</t>
  </si>
  <si>
    <t xml:space="preserve">Trainee</t>
  </si>
  <si>
    <t xml:space="preserve">Sun</t>
  </si>
  <si>
    <t xml:space="preserve">Run Goal</t>
  </si>
  <si>
    <t xml:space="preserve">Event</t>
  </si>
  <si>
    <t xml:space="preserve">I</t>
  </si>
  <si>
    <t xml:space="preserve">staff maintenance</t>
  </si>
  <si>
    <t xml:space="preserve">attend</t>
  </si>
  <si>
    <t xml:space="preserve">training</t>
  </si>
  <si>
    <t xml:space="preserve">gro 1</t>
  </si>
  <si>
    <t xml:space="preserve">pro 1</t>
  </si>
  <si>
    <t xml:space="preserve">opt 1</t>
  </si>
  <si>
    <t xml:space="preserve">oth 1</t>
  </si>
  <si>
    <t xml:space="preserve">prj – gro</t>
  </si>
  <si>
    <t xml:space="preserve">Product</t>
  </si>
  <si>
    <t xml:space="preserve">Listed Derivatives</t>
  </si>
  <si>
    <t xml:space="preserve">Asset Manager</t>
  </si>
  <si>
    <t xml:space="preserve">Climate</t>
  </si>
  <si>
    <t xml:space="preserve">Server Hardware</t>
  </si>
  <si>
    <t xml:space="preserve">Intern</t>
  </si>
  <si>
    <t xml:space="preserve">Mon</t>
  </si>
  <si>
    <t xml:space="preserve">Completed</t>
  </si>
  <si>
    <t xml:space="preserve">Chg</t>
  </si>
  <si>
    <t xml:space="preserve">HR</t>
  </si>
  <si>
    <t xml:space="preserve">J</t>
  </si>
  <si>
    <t xml:space="preserve">asset maintenance</t>
  </si>
  <si>
    <t xml:space="preserve">audit</t>
  </si>
  <si>
    <t xml:space="preserve">evaluation</t>
  </si>
  <si>
    <t xml:space="preserve">pro 2</t>
  </si>
  <si>
    <t xml:space="preserve">sec 2</t>
  </si>
  <si>
    <t xml:space="preserve">opt 2</t>
  </si>
  <si>
    <t xml:space="preserve">oth 2</t>
  </si>
  <si>
    <t xml:space="preserve">prj – pro</t>
  </si>
  <si>
    <t xml:space="preserve">Total Return Swap</t>
  </si>
  <si>
    <t xml:space="preserve">Hedge Fund</t>
  </si>
  <si>
    <t xml:space="preserve">Nature</t>
  </si>
  <si>
    <t xml:space="preserve">VIE</t>
  </si>
  <si>
    <t xml:space="preserve">Tue</t>
  </si>
  <si>
    <t xml:space="preserve">Pending</t>
  </si>
  <si>
    <t xml:space="preserve">Incident</t>
  </si>
  <si>
    <t xml:space="preserve">H</t>
  </si>
  <si>
    <t xml:space="preserve">supplier maintenance</t>
  </si>
  <si>
    <t xml:space="preserve">check</t>
  </si>
  <si>
    <t xml:space="preserve">admin</t>
  </si>
  <si>
    <t xml:space="preserve">gro 3</t>
  </si>
  <si>
    <t xml:space="preserve">pro 3</t>
  </si>
  <si>
    <t xml:space="preserve">sec 3</t>
  </si>
  <si>
    <t xml:space="preserve">opt 3</t>
  </si>
  <si>
    <t xml:space="preserve">oth 3</t>
  </si>
  <si>
    <t xml:space="preserve">prj – sec</t>
  </si>
  <si>
    <t xml:space="preserve">Forward</t>
  </si>
  <si>
    <t xml:space="preserve">Bank</t>
  </si>
  <si>
    <t xml:space="preserve">Infrastucture</t>
  </si>
  <si>
    <t xml:space="preserve">Exchange</t>
  </si>
  <si>
    <t xml:space="preserve">Documentation</t>
  </si>
  <si>
    <t xml:space="preserve">Graduate</t>
  </si>
  <si>
    <t xml:space="preserve">Wed</t>
  </si>
  <si>
    <t xml:space="preserve">Urgent</t>
  </si>
  <si>
    <t xml:space="preserve">Bi-weekly</t>
  </si>
  <si>
    <t xml:space="preserve">service management</t>
  </si>
  <si>
    <t xml:space="preserve">review</t>
  </si>
  <si>
    <t xml:space="preserve">legacy</t>
  </si>
  <si>
    <t xml:space="preserve">gro 4</t>
  </si>
  <si>
    <t xml:space="preserve">pro 4</t>
  </si>
  <si>
    <t xml:space="preserve">sec 4</t>
  </si>
  <si>
    <t xml:space="preserve">opt 4</t>
  </si>
  <si>
    <t xml:space="preserve">oth 4</t>
  </si>
  <si>
    <t xml:space="preserve">prj – opt</t>
  </si>
  <si>
    <t xml:space="preserve">FX</t>
  </si>
  <si>
    <t xml:space="preserve">Society</t>
  </si>
  <si>
    <t xml:space="preserve">Legal</t>
  </si>
  <si>
    <t xml:space="preserve">Automaton</t>
  </si>
  <si>
    <t xml:space="preserve">Analyst</t>
  </si>
  <si>
    <t xml:space="preserve">Thu</t>
  </si>
  <si>
    <t xml:space="preserve">Monthly</t>
  </si>
  <si>
    <t xml:space="preserve">K</t>
  </si>
  <si>
    <t xml:space="preserve">client management</t>
  </si>
  <si>
    <t xml:space="preserve">oversight support</t>
  </si>
  <si>
    <t xml:space="preserve">one-off</t>
  </si>
  <si>
    <t xml:space="preserve">gro 5</t>
  </si>
  <si>
    <t xml:space="preserve">pro 5</t>
  </si>
  <si>
    <t xml:space="preserve">sec 5</t>
  </si>
  <si>
    <t xml:space="preserve">opt 5</t>
  </si>
  <si>
    <t xml:space="preserve">oth 5</t>
  </si>
  <si>
    <t xml:space="preserve">prj 5</t>
  </si>
  <si>
    <t xml:space="preserve">Politics</t>
  </si>
  <si>
    <t xml:space="preserve">Market Data</t>
  </si>
  <si>
    <t xml:space="preserve">Associate</t>
  </si>
  <si>
    <t xml:space="preserve">Fri</t>
  </si>
  <si>
    <t xml:space="preserve">Bi-monthly</t>
  </si>
  <si>
    <t xml:space="preserve">environment management</t>
  </si>
  <si>
    <t xml:space="preserve">info</t>
  </si>
  <si>
    <t xml:space="preserve">gro 6</t>
  </si>
  <si>
    <t xml:space="preserve">pro 6</t>
  </si>
  <si>
    <t xml:space="preserve">sec 6</t>
  </si>
  <si>
    <t xml:space="preserve">opt 6</t>
  </si>
  <si>
    <t xml:space="preserve">oth 6</t>
  </si>
  <si>
    <t xml:space="preserve">prj 6</t>
  </si>
  <si>
    <t xml:space="preserve">Economy</t>
  </si>
  <si>
    <t xml:space="preserve">Operations</t>
  </si>
  <si>
    <t xml:space="preserve">VP</t>
  </si>
  <si>
    <t xml:space="preserve">Sat</t>
  </si>
  <si>
    <t xml:space="preserve">Quarterly</t>
  </si>
  <si>
    <t xml:space="preserve">Potential</t>
  </si>
  <si>
    <t xml:space="preserve">G</t>
  </si>
  <si>
    <t xml:space="preserve">production reporting</t>
  </si>
  <si>
    <t xml:space="preserve">gro 7</t>
  </si>
  <si>
    <t xml:space="preserve">pro 7</t>
  </si>
  <si>
    <t xml:space="preserve">sec 7</t>
  </si>
  <si>
    <t xml:space="preserve">opt 7</t>
  </si>
  <si>
    <t xml:space="preserve">oth 7</t>
  </si>
  <si>
    <t xml:space="preserve">prj 7</t>
  </si>
  <si>
    <t xml:space="preserve">Regulator</t>
  </si>
  <si>
    <t xml:space="preserve">Project Management</t>
  </si>
  <si>
    <t xml:space="preserve">Semi-annually</t>
  </si>
  <si>
    <t xml:space="preserve">D</t>
  </si>
  <si>
    <t xml:space="preserve">business continuity</t>
  </si>
  <si>
    <t xml:space="preserve">gro 8</t>
  </si>
  <si>
    <t xml:space="preserve">pro 8</t>
  </si>
  <si>
    <t xml:space="preserve">sec 8</t>
  </si>
  <si>
    <t xml:space="preserve">opt 8</t>
  </si>
  <si>
    <t xml:space="preserve">oth 8</t>
  </si>
  <si>
    <t xml:space="preserve">prj 8</t>
  </si>
  <si>
    <t xml:space="preserve">Competitor</t>
  </si>
  <si>
    <t xml:space="preserve">MD</t>
  </si>
  <si>
    <t xml:space="preserve">Annually</t>
  </si>
  <si>
    <t xml:space="preserve">B</t>
  </si>
  <si>
    <t xml:space="preserve">activity xxx</t>
  </si>
  <si>
    <t xml:space="preserve">gro 9</t>
  </si>
  <si>
    <t xml:space="preserve">pro 9</t>
  </si>
  <si>
    <t xml:space="preserve">sec 9</t>
  </si>
  <si>
    <t xml:space="preserve">opt 9</t>
  </si>
  <si>
    <t xml:space="preserve">oth 9</t>
  </si>
  <si>
    <t xml:space="preserve">prj 9</t>
  </si>
  <si>
    <t xml:space="preserve">Investor</t>
  </si>
  <si>
    <t xml:space="preserve">Consultant</t>
  </si>
  <si>
    <t xml:space="preserve">ToDo</t>
  </si>
  <si>
    <t xml:space="preserve">E</t>
  </si>
  <si>
    <t xml:space="preserve">gro 10</t>
  </si>
  <si>
    <t xml:space="preserve">pro 10</t>
  </si>
  <si>
    <t xml:space="preserve">sec 10</t>
  </si>
  <si>
    <t xml:space="preserve">opt 10</t>
  </si>
  <si>
    <t xml:space="preserve">oth 10</t>
  </si>
  <si>
    <t xml:space="preserve">prj 10</t>
  </si>
  <si>
    <t xml:space="preserve">Technology</t>
  </si>
  <si>
    <t xml:space="preserve">continuous improvement</t>
  </si>
  <si>
    <t xml:space="preserve">production support</t>
  </si>
</sst>
</file>

<file path=xl/styles.xml><?xml version="1.0" encoding="utf-8"?>
<styleSheet xmlns="http://schemas.openxmlformats.org/spreadsheetml/2006/main">
  <numFmts count="16">
    <numFmt numFmtId="164" formatCode="General"/>
    <numFmt numFmtId="165" formatCode="dd\-mmm\-yy"/>
    <numFmt numFmtId="166" formatCode="0"/>
    <numFmt numFmtId="167" formatCode="mm/dd/yy"/>
    <numFmt numFmtId="168" formatCode="d\-mmm\-yy"/>
    <numFmt numFmtId="169" formatCode="General"/>
    <numFmt numFmtId="170" formatCode="mmm\-yy"/>
    <numFmt numFmtId="171" formatCode="0%"/>
    <numFmt numFmtId="172" formatCode="#,##0"/>
    <numFmt numFmtId="173" formatCode="#,##0.0"/>
    <numFmt numFmtId="174" formatCode="ddd\ dd\-mmm\-yy"/>
    <numFmt numFmtId="175" formatCode="dd/mm/yy\ hh:mm"/>
    <numFmt numFmtId="176" formatCode="dd\-mmm\-yyyy"/>
    <numFmt numFmtId="177" formatCode="#,##0.00"/>
    <numFmt numFmtId="178" formatCode="dd/mm/yy"/>
    <numFmt numFmtId="179" formatCode="hh:mm"/>
  </numFmts>
  <fonts count="34">
    <font>
      <sz val="10"/>
      <name val="Arial"/>
      <family val="2"/>
      <charset val="1"/>
    </font>
    <font>
      <sz val="10"/>
      <name val="Arial"/>
      <family val="0"/>
    </font>
    <font>
      <sz val="10"/>
      <name val="Arial"/>
      <family val="0"/>
    </font>
    <font>
      <sz val="10"/>
      <name val="Arial"/>
      <family val="0"/>
    </font>
    <font>
      <sz val="10"/>
      <color rgb="FF000000"/>
      <name val="Arial"/>
      <family val="2"/>
      <charset val="1"/>
    </font>
    <font>
      <sz val="10"/>
      <color rgb="FFFF0000"/>
      <name val="Arial"/>
      <family val="2"/>
      <charset val="1"/>
    </font>
    <font>
      <sz val="10"/>
      <color rgb="FF2A6099"/>
      <name val="Arial"/>
      <family val="2"/>
      <charset val="1"/>
    </font>
    <font>
      <sz val="10"/>
      <color rgb="FF666666"/>
      <name val="Arial"/>
      <family val="2"/>
      <charset val="1"/>
    </font>
    <font>
      <sz val="10"/>
      <color rgb="FF00A933"/>
      <name val="Arial"/>
      <family val="2"/>
      <charset val="1"/>
    </font>
    <font>
      <sz val="10"/>
      <color rgb="FFDDDDDD"/>
      <name val="Arial"/>
      <family val="2"/>
      <charset val="1"/>
    </font>
    <font>
      <sz val="10"/>
      <color rgb="FFB4C7DC"/>
      <name val="Arial"/>
      <family val="2"/>
      <charset val="1"/>
    </font>
    <font>
      <sz val="10"/>
      <color rgb="FFAFD095"/>
      <name val="Arial"/>
      <family val="2"/>
      <charset val="1"/>
    </font>
    <font>
      <sz val="10"/>
      <color rgb="FFCCCCCC"/>
      <name val="Arial"/>
      <family val="2"/>
      <charset val="1"/>
    </font>
    <font>
      <sz val="10"/>
      <color rgb="FFFFA6A6"/>
      <name val="Arial"/>
      <family val="2"/>
      <charset val="1"/>
    </font>
    <font>
      <b val="true"/>
      <sz val="10"/>
      <name val="Arial"/>
      <family val="2"/>
      <charset val="1"/>
    </font>
    <font>
      <sz val="10"/>
      <color rgb="FFFFB66C"/>
      <name val="Arial"/>
      <family val="2"/>
      <charset val="1"/>
    </font>
    <font>
      <sz val="10"/>
      <color rgb="FF729FCF"/>
      <name val="Arial"/>
      <family val="2"/>
      <charset val="1"/>
    </font>
    <font>
      <sz val="10"/>
      <color rgb="FFBBE33D"/>
      <name val="Arial"/>
      <family val="2"/>
      <charset val="1"/>
    </font>
    <font>
      <sz val="10"/>
      <color rgb="FFE0C2CD"/>
      <name val="Arial"/>
      <family val="2"/>
      <charset val="1"/>
    </font>
    <font>
      <sz val="10"/>
      <color rgb="FFDEE7E5"/>
      <name val="Arial"/>
      <family val="2"/>
      <charset val="1"/>
    </font>
    <font>
      <sz val="10"/>
      <color rgb="FFFFD7D7"/>
      <name val="Arial"/>
      <family val="2"/>
      <charset val="1"/>
    </font>
    <font>
      <sz val="10"/>
      <color rgb="FFE8F2A1"/>
      <name val="Arial"/>
      <family val="2"/>
      <charset val="1"/>
    </font>
    <font>
      <sz val="10"/>
      <color rgb="FFFFFFFF"/>
      <name val="Arial"/>
      <family val="2"/>
      <charset val="1"/>
    </font>
    <font>
      <sz val="10"/>
      <color rgb="FF808080"/>
      <name val="Arial"/>
      <family val="2"/>
      <charset val="1"/>
    </font>
    <font>
      <sz val="10"/>
      <color rgb="FF999999"/>
      <name val="Arial"/>
      <family val="2"/>
      <charset val="1"/>
    </font>
    <font>
      <sz val="10"/>
      <color rgb="FFFFBF00"/>
      <name val="Arial"/>
      <family val="2"/>
      <charset val="1"/>
    </font>
    <font>
      <sz val="7"/>
      <color rgb="FFFFFFFF"/>
      <name val="Arial"/>
      <family val="2"/>
      <charset val="1"/>
    </font>
    <font>
      <sz val="7"/>
      <name val="Arial"/>
      <family val="2"/>
      <charset val="1"/>
    </font>
    <font>
      <b val="true"/>
      <sz val="7"/>
      <color rgb="FFFFFFFF"/>
      <name val="Arial"/>
      <family val="2"/>
      <charset val="1"/>
    </font>
    <font>
      <sz val="12"/>
      <color rgb="FFFFFFFF"/>
      <name val="Arial"/>
      <family val="2"/>
      <charset val="1"/>
    </font>
    <font>
      <sz val="12"/>
      <name val="Arial"/>
      <family val="2"/>
      <charset val="1"/>
    </font>
    <font>
      <sz val="8"/>
      <color rgb="FFFFFFFF"/>
      <name val="Arial"/>
      <family val="2"/>
      <charset val="1"/>
    </font>
    <font>
      <sz val="10"/>
      <color rgb="FFC9211E"/>
      <name val="Arial"/>
      <family val="2"/>
      <charset val="1"/>
    </font>
    <font>
      <sz val="10"/>
      <color rgb="FFB2B2B2"/>
      <name val="Arial"/>
      <family val="2"/>
      <charset val="1"/>
    </font>
  </fonts>
  <fills count="27">
    <fill>
      <patternFill patternType="none"/>
    </fill>
    <fill>
      <patternFill patternType="gray125"/>
    </fill>
    <fill>
      <patternFill patternType="solid">
        <fgColor rgb="FF000000"/>
        <bgColor rgb="FF003300"/>
      </patternFill>
    </fill>
    <fill>
      <patternFill patternType="solid">
        <fgColor rgb="FFFFFFFF"/>
        <bgColor rgb="FFDEE6EF"/>
      </patternFill>
    </fill>
    <fill>
      <patternFill patternType="solid">
        <fgColor rgb="FF2A6099"/>
        <bgColor rgb="FF008080"/>
      </patternFill>
    </fill>
    <fill>
      <patternFill patternType="solid">
        <fgColor rgb="FF666666"/>
        <bgColor rgb="FF808080"/>
      </patternFill>
    </fill>
    <fill>
      <patternFill patternType="solid">
        <fgColor rgb="FF00A933"/>
        <bgColor rgb="FF008000"/>
      </patternFill>
    </fill>
    <fill>
      <patternFill patternType="solid">
        <fgColor rgb="FFDDDDDD"/>
        <bgColor rgb="FFDEE7E5"/>
      </patternFill>
    </fill>
    <fill>
      <patternFill patternType="solid">
        <fgColor rgb="FFB4C7DC"/>
        <bgColor rgb="FFCCCCCC"/>
      </patternFill>
    </fill>
    <fill>
      <patternFill patternType="solid">
        <fgColor rgb="FFAFD095"/>
        <bgColor rgb="FFCCCCCC"/>
      </patternFill>
    </fill>
    <fill>
      <patternFill patternType="solid">
        <fgColor rgb="FFCCCCCC"/>
        <bgColor rgb="FFE0C2CD"/>
      </patternFill>
    </fill>
    <fill>
      <patternFill patternType="solid">
        <fgColor rgb="FFFFA6A6"/>
        <bgColor rgb="FFFFB66C"/>
      </patternFill>
    </fill>
    <fill>
      <patternFill patternType="solid">
        <fgColor rgb="FFFFB66C"/>
        <bgColor rgb="FFFFA6A6"/>
      </patternFill>
    </fill>
    <fill>
      <patternFill patternType="solid">
        <fgColor rgb="FF729FCF"/>
        <bgColor rgb="FF5983B0"/>
      </patternFill>
    </fill>
    <fill>
      <patternFill patternType="solid">
        <fgColor rgb="FFBBE33D"/>
        <bgColor rgb="FFAFD095"/>
      </patternFill>
    </fill>
    <fill>
      <patternFill patternType="solid">
        <fgColor rgb="FFE0C2CD"/>
        <bgColor rgb="FFCCCCCC"/>
      </patternFill>
    </fill>
    <fill>
      <patternFill patternType="solid">
        <fgColor rgb="FFFF0000"/>
        <bgColor rgb="FFC9211E"/>
      </patternFill>
    </fill>
    <fill>
      <patternFill patternType="solid">
        <fgColor rgb="FFDEE7E5"/>
        <bgColor rgb="FFDEE6EF"/>
      </patternFill>
    </fill>
    <fill>
      <patternFill patternType="solid">
        <fgColor rgb="FFFFD7D7"/>
        <bgColor rgb="FFDDDDDD"/>
      </patternFill>
    </fill>
    <fill>
      <patternFill patternType="solid">
        <fgColor rgb="FFE8F2A1"/>
        <bgColor rgb="FFDEE7E5"/>
      </patternFill>
    </fill>
    <fill>
      <patternFill patternType="solid">
        <fgColor rgb="FF999999"/>
        <bgColor rgb="FF808080"/>
      </patternFill>
    </fill>
    <fill>
      <patternFill patternType="solid">
        <fgColor rgb="FF808080"/>
        <bgColor rgb="FF999999"/>
      </patternFill>
    </fill>
    <fill>
      <patternFill patternType="solid">
        <fgColor rgb="FF81D41A"/>
        <bgColor rgb="FFBBE33D"/>
      </patternFill>
    </fill>
    <fill>
      <patternFill patternType="solid">
        <fgColor rgb="FFA1467E"/>
        <bgColor rgb="FF993366"/>
      </patternFill>
    </fill>
    <fill>
      <patternFill patternType="solid">
        <fgColor rgb="FF333333"/>
        <bgColor rgb="FF333300"/>
      </patternFill>
    </fill>
    <fill>
      <patternFill patternType="solid">
        <fgColor rgb="FF5983B0"/>
        <bgColor rgb="FF808080"/>
      </patternFill>
    </fill>
    <fill>
      <patternFill patternType="solid">
        <fgColor rgb="FFDEE6EF"/>
        <bgColor rgb="FFDEE7E5"/>
      </patternFill>
    </fill>
  </fills>
  <borders count="14">
    <border diagonalUp="false" diagonalDown="false">
      <left/>
      <right/>
      <top/>
      <bottom/>
      <diagonal/>
    </border>
    <border diagonalUp="false" diagonalDown="false">
      <left/>
      <right/>
      <top style="medium">
        <color rgb="FFFFFFFF"/>
      </top>
      <bottom style="medium">
        <color rgb="FFFFFFFF"/>
      </bottom>
      <diagonal/>
    </border>
    <border diagonalUp="false" diagonalDown="false">
      <left/>
      <right/>
      <top style="double">
        <color rgb="FFFFFFFF"/>
      </top>
      <bottom style="double">
        <color rgb="FFFFFFFF"/>
      </bottom>
      <diagonal/>
    </border>
    <border diagonalUp="false" diagonalDown="false">
      <left style="thin"/>
      <right style="thin"/>
      <top style="thin"/>
      <bottom style="thin"/>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top style="thin"/>
      <bottom style="medium"/>
      <diagonal/>
    </border>
    <border diagonalUp="false" diagonalDown="false">
      <left/>
      <right/>
      <top style="thin"/>
      <bottom style="medium"/>
      <diagonal/>
    </border>
    <border diagonalUp="false" diagonalDown="false">
      <left/>
      <right style="thin"/>
      <top style="thin"/>
      <bottom style="medium"/>
      <diagonal/>
    </border>
    <border diagonalUp="false" diagonalDown="false">
      <left style="thin"/>
      <right style="medium"/>
      <top style="thin"/>
      <bottom style="medium"/>
      <diagonal/>
    </border>
    <border diagonalUp="false" diagonalDown="false">
      <left/>
      <right/>
      <top style="thin">
        <color rgb="FF808080"/>
      </top>
      <bottom style="thin">
        <color rgb="FF808080"/>
      </bottom>
      <diagonal/>
    </border>
  </borders>
  <cellStyleXfs count="6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5" fillId="3" borderId="0" applyFont="true" applyBorder="true" applyAlignment="true" applyProtection="false">
      <alignment horizontal="general" vertical="bottom" textRotation="0" wrapText="false" indent="0" shrinkToFit="false"/>
    </xf>
    <xf numFmtId="164" fontId="6" fillId="4" borderId="0" applyFont="true" applyBorder="false" applyAlignment="true" applyProtection="false">
      <alignment horizontal="general" vertical="bottom" textRotation="0" wrapText="false" indent="0" shrinkToFit="false"/>
    </xf>
    <xf numFmtId="164" fontId="7" fillId="5" borderId="0" applyFont="true" applyBorder="false" applyAlignment="true" applyProtection="false">
      <alignment horizontal="general" vertical="bottom" textRotation="0" wrapText="false" indent="0" shrinkToFit="false"/>
    </xf>
    <xf numFmtId="164" fontId="8" fillId="6" borderId="0" applyFont="true" applyBorder="false" applyAlignment="true" applyProtection="false">
      <alignment horizontal="general" vertical="bottom" textRotation="0" wrapText="false" indent="0" shrinkToFit="false"/>
    </xf>
    <xf numFmtId="164" fontId="9" fillId="7" borderId="0" applyFont="true" applyBorder="false" applyAlignment="true" applyProtection="false">
      <alignment horizontal="general" vertical="bottom" textRotation="0" wrapText="false" indent="0" shrinkToFit="false"/>
    </xf>
    <xf numFmtId="164" fontId="10" fillId="8" borderId="0" applyFont="true" applyBorder="false" applyAlignment="true" applyProtection="false">
      <alignment horizontal="general" vertical="bottom" textRotation="0" wrapText="false" indent="0" shrinkToFit="false"/>
    </xf>
    <xf numFmtId="164" fontId="11" fillId="9" borderId="0" applyFont="true" applyBorder="false" applyAlignment="true" applyProtection="false">
      <alignment horizontal="general" vertical="bottom" textRotation="0" wrapText="false" indent="0" shrinkToFit="false"/>
    </xf>
    <xf numFmtId="164" fontId="12" fillId="10" borderId="0" applyFont="true" applyBorder="false" applyAlignment="true" applyProtection="false">
      <alignment horizontal="general" vertical="bottom" textRotation="0" wrapText="false" indent="0" shrinkToFit="false"/>
    </xf>
    <xf numFmtId="164" fontId="13" fillId="11"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14" fillId="0" borderId="0" applyFont="true" applyBorder="false" applyAlignment="true" applyProtection="false">
      <alignment horizontal="general" vertical="bottom" textRotation="0" wrapText="false" indent="0" shrinkToFit="false"/>
    </xf>
    <xf numFmtId="164" fontId="14"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15" fillId="12" borderId="1" applyFont="true" applyBorder="true" applyAlignment="true" applyProtection="false">
      <alignment horizontal="general" vertical="bottom" textRotation="0" wrapText="false" indent="0" shrinkToFit="false"/>
    </xf>
    <xf numFmtId="164" fontId="16" fillId="13" borderId="1" applyFont="true" applyBorder="true" applyAlignment="true" applyProtection="false">
      <alignment horizontal="general" vertical="bottom" textRotation="0" wrapText="false" indent="0" shrinkToFit="false"/>
    </xf>
    <xf numFmtId="164" fontId="6" fillId="4" borderId="2" applyFont="true" applyBorder="true" applyAlignment="true" applyProtection="false">
      <alignment horizontal="general" vertical="bottom" textRotation="0" wrapText="false" indent="0" shrinkToFit="false"/>
    </xf>
    <xf numFmtId="164" fontId="17" fillId="14" borderId="2" applyFont="true" applyBorder="true" applyAlignment="true" applyProtection="false">
      <alignment horizontal="general" vertical="bottom" textRotation="0" wrapText="false" indent="0" shrinkToFit="false"/>
    </xf>
    <xf numFmtId="164" fontId="12" fillId="10" borderId="2" applyFont="true" applyBorder="true" applyAlignment="true" applyProtection="false">
      <alignment horizontal="general" vertical="bottom" textRotation="0" wrapText="false" indent="0" shrinkToFit="false"/>
    </xf>
    <xf numFmtId="164" fontId="10" fillId="8" borderId="2" applyFont="true" applyBorder="true" applyAlignment="true" applyProtection="false">
      <alignment horizontal="general" vertical="bottom" textRotation="0" wrapText="false" indent="0" shrinkToFit="false"/>
    </xf>
    <xf numFmtId="164" fontId="18" fillId="15" borderId="1" applyFont="true" applyBorder="true" applyAlignment="true" applyProtection="false">
      <alignment horizontal="general" vertical="bottom" textRotation="0" wrapText="false" indent="0" shrinkToFit="false"/>
    </xf>
    <xf numFmtId="164" fontId="5" fillId="16" borderId="2" applyFont="true" applyBorder="true" applyAlignment="true" applyProtection="false">
      <alignment horizontal="general" vertical="bottom" textRotation="0" wrapText="false" indent="0" shrinkToFit="false"/>
    </xf>
    <xf numFmtId="164" fontId="5" fillId="16" borderId="0" applyFont="true" applyBorder="false" applyAlignment="true" applyProtection="false">
      <alignment horizontal="general" vertical="bottom" textRotation="0" wrapText="false" indent="0" shrinkToFit="false"/>
    </xf>
    <xf numFmtId="164" fontId="19" fillId="17" borderId="0" applyFont="true" applyBorder="false" applyAlignment="true" applyProtection="false">
      <alignment horizontal="general" vertical="bottom" textRotation="0" wrapText="false" indent="0" shrinkToFit="false"/>
    </xf>
    <xf numFmtId="164" fontId="20" fillId="18"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5" fillId="16" borderId="0" applyFont="true" applyBorder="false" applyAlignment="true" applyProtection="false">
      <alignment horizontal="general" vertical="bottom" textRotation="0" wrapText="false" indent="0" shrinkToFit="false"/>
    </xf>
    <xf numFmtId="164" fontId="21" fillId="19"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22" fillId="16"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23" fillId="21"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24" fillId="20" borderId="0" applyFont="true" applyBorder="false" applyAlignment="true" applyProtection="false">
      <alignment horizontal="general" vertical="bottom" textRotation="0" wrapText="false" indent="0" shrinkToFit="false"/>
    </xf>
    <xf numFmtId="164" fontId="22" fillId="11" borderId="0" applyFont="true" applyBorder="false" applyAlignment="true" applyProtection="false">
      <alignment horizontal="general" vertical="bottom" textRotation="0" wrapText="false" indent="0" shrinkToFit="false"/>
    </xf>
    <xf numFmtId="164" fontId="10" fillId="8"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25"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cellStyleXfs>
  <cellXfs count="15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22" fillId="21"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4" fillId="3" borderId="0" xfId="0" applyFont="true" applyBorder="false" applyAlignment="true" applyProtection="true">
      <alignment horizontal="center" vertical="bottom" textRotation="0" wrapText="false" indent="0" shrinkToFit="false"/>
      <protection locked="true" hidden="false"/>
    </xf>
    <xf numFmtId="164" fontId="22" fillId="2" borderId="0" xfId="0" applyFont="true" applyBorder="false" applyAlignment="true" applyProtection="true">
      <alignment horizontal="center" vertical="bottom" textRotation="0" wrapText="false" indent="0" shrinkToFit="false"/>
      <protection locked="true" hidden="false"/>
    </xf>
    <xf numFmtId="164" fontId="22" fillId="4" borderId="0" xfId="0" applyFont="true" applyBorder="false" applyAlignment="true" applyProtection="true">
      <alignment horizontal="center" vertical="bottom" textRotation="0" wrapText="false" indent="0" shrinkToFit="false"/>
      <protection locked="true" hidden="false"/>
    </xf>
    <xf numFmtId="164" fontId="0" fillId="22" borderId="0" xfId="0" applyFont="true" applyBorder="false" applyAlignment="true" applyProtection="true">
      <alignment horizontal="center" vertical="bottom" textRotation="0" wrapText="false" indent="0" shrinkToFit="false"/>
      <protection locked="true" hidden="false"/>
    </xf>
    <xf numFmtId="164" fontId="22" fillId="23" borderId="0" xfId="0" applyFont="true" applyBorder="false" applyAlignment="true" applyProtection="true">
      <alignment horizontal="center" vertical="bottom" textRotation="0" wrapText="false" indent="0" shrinkToFit="false"/>
      <protection locked="true" hidden="false"/>
    </xf>
    <xf numFmtId="164" fontId="22" fillId="16" borderId="0" xfId="0" applyFont="true" applyBorder="fals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34" applyFont="true" applyBorder="false" applyAlignment="false" applyProtection="false">
      <alignment horizontal="general" vertical="bottom"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0" fillId="0" borderId="4" xfId="34" applyFont="true" applyBorder="true" applyAlignment="false" applyProtection="false">
      <alignment horizontal="general" vertical="bottom" textRotation="0" wrapText="false" indent="0" shrinkToFit="false"/>
      <protection locked="true" hidden="false"/>
    </xf>
    <xf numFmtId="164" fontId="0" fillId="0" borderId="5" xfId="34" applyFont="true" applyBorder="true" applyAlignment="false" applyProtection="false">
      <alignment horizontal="general" vertical="bottom" textRotation="0" wrapText="false" indent="0" shrinkToFit="false"/>
      <protection locked="true" hidden="false"/>
    </xf>
    <xf numFmtId="164" fontId="0" fillId="0" borderId="6" xfId="33" applyFont="true" applyBorder="true" applyAlignment="false" applyProtection="false">
      <alignment horizontal="general" vertical="bottom" textRotation="0" wrapText="false" indent="0" shrinkToFit="false"/>
      <protection locked="true" hidden="false"/>
    </xf>
    <xf numFmtId="164" fontId="0" fillId="0" borderId="7" xfId="32" applyFont="true" applyBorder="true" applyAlignment="true" applyProtection="false">
      <alignment horizontal="left" vertical="bottom" textRotation="0" wrapText="false" indent="1" shrinkToFit="false"/>
      <protection locked="true" hidden="false"/>
    </xf>
    <xf numFmtId="164" fontId="0" fillId="0" borderId="3" xfId="32" applyFont="true" applyBorder="true" applyAlignment="true" applyProtection="false">
      <alignment horizontal="left" vertical="bottom" textRotation="0" wrapText="false" indent="1" shrinkToFit="false"/>
      <protection locked="true" hidden="false"/>
    </xf>
    <xf numFmtId="165" fontId="0" fillId="0" borderId="3" xfId="32" applyFont="false" applyBorder="true" applyAlignment="true" applyProtection="false">
      <alignment horizontal="left" vertical="bottom" textRotation="0" wrapText="false" indent="1" shrinkToFit="false"/>
      <protection locked="true" hidden="false"/>
    </xf>
    <xf numFmtId="164" fontId="0" fillId="0" borderId="3" xfId="32" applyFont="true" applyBorder="true" applyAlignment="false" applyProtection="false">
      <alignment horizontal="left" vertical="bottom" textRotation="0" wrapText="false" indent="0" shrinkToFit="false"/>
      <protection locked="true" hidden="false"/>
    </xf>
    <xf numFmtId="166" fontId="0" fillId="0" borderId="8" xfId="37" applyFont="false" applyBorder="true" applyAlignment="false" applyProtection="false">
      <alignment horizontal="general" vertical="bottom" textRotation="0" wrapText="false" indent="0" shrinkToFit="false"/>
      <protection locked="true" hidden="false"/>
    </xf>
    <xf numFmtId="164" fontId="14" fillId="0" borderId="9" xfId="36" applyFont="true" applyBorder="true" applyAlignment="false" applyProtection="false">
      <alignment horizontal="left" vertical="bottom" textRotation="0" wrapText="false" indent="0" shrinkToFit="false"/>
      <protection locked="true" hidden="false"/>
    </xf>
    <xf numFmtId="164" fontId="14" fillId="0" borderId="10" xfId="36" applyFont="false" applyBorder="true" applyAlignment="false" applyProtection="false">
      <alignment horizontal="left" vertical="bottom" textRotation="0" wrapText="false" indent="0" shrinkToFit="false"/>
      <protection locked="true" hidden="false"/>
    </xf>
    <xf numFmtId="165" fontId="14" fillId="0" borderId="10" xfId="36" applyFont="false" applyBorder="true" applyAlignment="false" applyProtection="false">
      <alignment horizontal="left" vertical="bottom" textRotation="0" wrapText="false" indent="0" shrinkToFit="false"/>
      <protection locked="true" hidden="false"/>
    </xf>
    <xf numFmtId="164" fontId="14" fillId="0" borderId="11" xfId="36" applyFont="false" applyBorder="true" applyAlignment="false" applyProtection="false">
      <alignment horizontal="left" vertical="bottom" textRotation="0" wrapText="false" indent="0" shrinkToFit="false"/>
      <protection locked="true" hidden="false"/>
    </xf>
    <xf numFmtId="166" fontId="14" fillId="0" borderId="12" xfId="35" applyFont="fals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7" fontId="26" fillId="5" borderId="0" xfId="0" applyFont="true" applyBorder="true" applyAlignment="true" applyProtection="true">
      <alignment horizontal="left" vertical="top" textRotation="0" wrapText="true" indent="0" shrinkToFit="false"/>
      <protection locked="true" hidden="false"/>
    </xf>
    <xf numFmtId="164" fontId="26" fillId="5" borderId="0" xfId="0" applyFont="true" applyBorder="true" applyAlignment="true" applyProtection="true">
      <alignment horizontal="left" vertical="top" textRotation="0" wrapText="true" indent="0" shrinkToFit="false"/>
      <protection locked="true" hidden="false"/>
    </xf>
    <xf numFmtId="168" fontId="26" fillId="5" borderId="0" xfId="0" applyFont="true" applyBorder="true" applyAlignment="true" applyProtection="true">
      <alignment horizontal="center" vertical="top" textRotation="0" wrapText="true" indent="0" shrinkToFit="false"/>
      <protection locked="true" hidden="false"/>
    </xf>
    <xf numFmtId="164" fontId="26" fillId="5" borderId="0" xfId="0" applyFont="true" applyBorder="true" applyAlignment="true" applyProtection="true">
      <alignment horizontal="center" vertical="top" textRotation="0" wrapText="true" indent="0" shrinkToFit="false"/>
      <protection locked="true" hidden="false"/>
    </xf>
    <xf numFmtId="164" fontId="26" fillId="5" borderId="0" xfId="0" applyFont="true" applyBorder="true" applyAlignment="true" applyProtection="true">
      <alignment horizontal="general" vertical="top" textRotation="0" wrapText="true" indent="0" shrinkToFit="false"/>
      <protection locked="true" hidden="false"/>
    </xf>
    <xf numFmtId="164" fontId="27" fillId="0" borderId="0" xfId="0" applyFont="true" applyBorder="false" applyAlignment="true" applyProtection="true">
      <alignment horizontal="general" vertical="top" textRotation="0" wrapText="false" indent="0" shrinkToFit="false"/>
      <protection locked="true" hidden="false"/>
    </xf>
    <xf numFmtId="167" fontId="23" fillId="5" borderId="13" xfId="0" applyFont="true" applyBorder="true" applyAlignment="true" applyProtection="true">
      <alignment horizontal="center" vertical="top" textRotation="0" wrapText="true" indent="0" shrinkToFit="false"/>
      <protection locked="true" hidden="false"/>
    </xf>
    <xf numFmtId="169" fontId="23" fillId="5" borderId="13" xfId="0" applyFont="true" applyBorder="true" applyAlignment="true" applyProtection="true">
      <alignment horizontal="center" vertical="top" textRotation="0" wrapText="true" indent="0" shrinkToFit="false"/>
      <protection locked="true" hidden="false"/>
    </xf>
    <xf numFmtId="168" fontId="23" fillId="5" borderId="13" xfId="0" applyFont="true" applyBorder="true" applyAlignment="true" applyProtection="true">
      <alignment horizontal="center" vertical="top" textRotation="0" wrapText="true" indent="0" shrinkToFit="false"/>
      <protection locked="true" hidden="false"/>
    </xf>
    <xf numFmtId="164" fontId="23" fillId="5" borderId="13" xfId="0" applyFont="true" applyBorder="true" applyAlignment="true" applyProtection="true">
      <alignment horizontal="left" vertical="top" textRotation="0" wrapText="true" indent="0" shrinkToFit="false"/>
      <protection locked="true" hidden="false"/>
    </xf>
    <xf numFmtId="165" fontId="0" fillId="0" borderId="13" xfId="0" applyFont="true" applyBorder="true" applyAlignment="true" applyProtection="true">
      <alignment horizontal="center" vertical="top" textRotation="0" wrapText="false" indent="0" shrinkToFit="false"/>
      <protection locked="true" hidden="false"/>
    </xf>
    <xf numFmtId="164" fontId="26" fillId="5" borderId="0" xfId="0" applyFont="true" applyBorder="true" applyAlignment="true" applyProtection="true">
      <alignment horizontal="right" vertical="top" textRotation="0" wrapText="false" indent="0" shrinkToFit="false"/>
      <protection locked="true" hidden="false"/>
    </xf>
    <xf numFmtId="166" fontId="26" fillId="5" borderId="0" xfId="0" applyFont="true" applyBorder="true" applyAlignment="true" applyProtection="true">
      <alignment horizontal="left" vertical="top" textRotation="0" wrapText="false" indent="0" shrinkToFit="false"/>
      <protection locked="true" hidden="false"/>
    </xf>
    <xf numFmtId="164" fontId="22" fillId="5" borderId="0" xfId="0" applyFont="true" applyBorder="true" applyAlignment="true" applyProtection="true">
      <alignment horizontal="left" vertical="bottom" textRotation="0" wrapText="true" indent="0" shrinkToFit="false"/>
      <protection locked="true" hidden="false"/>
    </xf>
    <xf numFmtId="168" fontId="22" fillId="5" borderId="0" xfId="0" applyFont="true" applyBorder="true" applyAlignment="true" applyProtection="true">
      <alignment horizontal="center" vertical="bottom" textRotation="0" wrapText="true" indent="0" shrinkToFit="false"/>
      <protection locked="true" hidden="false"/>
    </xf>
    <xf numFmtId="164" fontId="22" fillId="5" borderId="0" xfId="0" applyFont="true" applyBorder="true" applyAlignment="true" applyProtection="true">
      <alignment horizontal="center" vertical="bottom" textRotation="0" wrapText="true" indent="0" shrinkToFit="false"/>
      <protection locked="true" hidden="false"/>
    </xf>
    <xf numFmtId="164" fontId="22" fillId="5" borderId="0" xfId="0" applyFont="true" applyBorder="true" applyAlignment="true" applyProtection="true">
      <alignment horizontal="center" vertical="bottom" textRotation="90" wrapText="true" indent="0" shrinkToFit="false"/>
      <protection locked="true" hidden="false"/>
    </xf>
    <xf numFmtId="164" fontId="22" fillId="5" borderId="0" xfId="0" applyFont="true" applyBorder="true" applyAlignment="true" applyProtection="true">
      <alignment horizontal="general" vertical="bottom" textRotation="90" wrapText="true" indent="0" shrinkToFit="false"/>
      <protection locked="true" hidden="false"/>
    </xf>
    <xf numFmtId="164" fontId="22" fillId="5" borderId="0" xfId="0" applyFont="true" applyBorder="true" applyAlignment="true" applyProtection="true">
      <alignment horizontal="general" vertical="bottom" textRotation="0" wrapText="true" indent="0" shrinkToFit="false"/>
      <protection locked="true" hidden="false"/>
    </xf>
    <xf numFmtId="165" fontId="22" fillId="5" borderId="0" xfId="0" applyFont="true" applyBorder="true" applyAlignment="true" applyProtection="true">
      <alignment horizontal="center" vertical="bottom" textRotation="0" wrapText="true" indent="0" shrinkToFit="false"/>
      <protection locked="true" hidden="false"/>
    </xf>
    <xf numFmtId="170" fontId="22" fillId="5" borderId="0" xfId="0" applyFont="true" applyBorder="true" applyAlignment="true" applyProtection="true">
      <alignment horizontal="center" vertical="bottom" textRotation="90" wrapText="true" indent="0" shrinkToFit="false"/>
      <protection locked="true" hidden="false"/>
    </xf>
    <xf numFmtId="164" fontId="23" fillId="5" borderId="13" xfId="0" applyFont="true" applyBorder="true" applyAlignment="true" applyProtection="true">
      <alignment horizontal="center" vertical="top" textRotation="0" wrapText="true" indent="0" shrinkToFit="false"/>
      <protection locked="true" hidden="false"/>
    </xf>
    <xf numFmtId="164" fontId="23" fillId="5" borderId="13" xfId="0" applyFont="true" applyBorder="true" applyAlignment="true" applyProtection="true">
      <alignment horizontal="general" vertical="top" textRotation="0" wrapText="true" indent="0" shrinkToFit="false"/>
      <protection locked="true" hidden="false"/>
    </xf>
    <xf numFmtId="170" fontId="23" fillId="5" borderId="13" xfId="0" applyFont="true" applyBorder="true" applyAlignment="true" applyProtection="true">
      <alignment horizontal="center" vertical="top" textRotation="0" wrapText="true" indent="0" shrinkToFit="false"/>
      <protection locked="true" hidden="false"/>
    </xf>
    <xf numFmtId="164" fontId="0" fillId="0" borderId="13" xfId="0" applyFont="false" applyBorder="true" applyAlignment="true" applyProtection="true">
      <alignment horizontal="left" vertical="top" textRotation="0" wrapText="false" indent="0" shrinkToFit="false"/>
      <protection locked="true" hidden="false"/>
    </xf>
    <xf numFmtId="164" fontId="23" fillId="0" borderId="13" xfId="0" applyFont="true" applyBorder="true" applyAlignment="true" applyProtection="true">
      <alignment horizontal="general" vertical="top" textRotation="0" wrapText="true" indent="0" shrinkToFit="false"/>
      <protection locked="true" hidden="false"/>
    </xf>
    <xf numFmtId="164" fontId="23" fillId="0" borderId="13" xfId="0" applyFont="true" applyBorder="true" applyAlignment="true" applyProtection="true">
      <alignment horizontal="general" vertical="top" textRotation="0" wrapText="false" indent="0" shrinkToFit="false"/>
      <protection locked="true" hidden="false"/>
    </xf>
    <xf numFmtId="168" fontId="23" fillId="0" borderId="13" xfId="0" applyFont="true" applyBorder="true" applyAlignment="true" applyProtection="true">
      <alignment horizontal="center" vertical="top" textRotation="0" wrapText="false" indent="0" shrinkToFit="false"/>
      <protection locked="true" hidden="false"/>
    </xf>
    <xf numFmtId="165" fontId="23" fillId="0" borderId="13" xfId="0" applyFont="true" applyBorder="true" applyAlignment="true" applyProtection="true">
      <alignment horizontal="center" vertical="top" textRotation="0" wrapText="false" indent="0" shrinkToFit="false"/>
      <protection locked="true" hidden="false"/>
    </xf>
    <xf numFmtId="166" fontId="23" fillId="0" borderId="13" xfId="0" applyFont="true" applyBorder="true" applyAlignment="true" applyProtection="true">
      <alignment horizontal="center" vertical="top" textRotation="0" wrapText="false" indent="0" shrinkToFit="false"/>
      <protection locked="true" hidden="false"/>
    </xf>
    <xf numFmtId="164" fontId="23" fillId="0" borderId="13" xfId="0" applyFont="true" applyBorder="true" applyAlignment="true" applyProtection="true">
      <alignment horizontal="center" vertical="top" textRotation="0" wrapText="false" indent="0" shrinkToFit="false"/>
      <protection locked="true" hidden="false"/>
    </xf>
    <xf numFmtId="164" fontId="23" fillId="0" borderId="13" xfId="0" applyFont="true" applyBorder="true" applyAlignment="true" applyProtection="true">
      <alignment horizontal="left" vertical="top" textRotation="0" wrapText="false" indent="0" shrinkToFit="false"/>
      <protection locked="true" hidden="false"/>
    </xf>
    <xf numFmtId="164" fontId="0" fillId="0" borderId="13" xfId="0" applyFont="true" applyBorder="true" applyAlignment="true" applyProtection="true">
      <alignment horizontal="center" vertical="top" textRotation="0" wrapText="false" indent="0" shrinkToFit="false"/>
      <protection locked="true" hidden="false"/>
    </xf>
    <xf numFmtId="165" fontId="0" fillId="0" borderId="13" xfId="0" applyFont="true" applyBorder="true" applyAlignment="true" applyProtection="true">
      <alignment horizontal="left" vertical="top" textRotation="0" wrapText="false" indent="0" shrinkToFit="false"/>
      <protection locked="true" hidden="false"/>
    </xf>
    <xf numFmtId="164" fontId="0" fillId="0" borderId="13" xfId="0" applyFont="true" applyBorder="true" applyAlignment="true" applyProtection="true">
      <alignment horizontal="general" vertical="top" textRotation="0" wrapText="false" indent="0" shrinkToFit="false"/>
      <protection locked="true" hidden="false"/>
    </xf>
    <xf numFmtId="164" fontId="0" fillId="0" borderId="13" xfId="0" applyFont="true" applyBorder="true" applyAlignment="true" applyProtection="true">
      <alignment horizontal="general" vertical="top" textRotation="0" wrapText="true" indent="0" shrinkToFit="false"/>
      <protection locked="true" hidden="false"/>
    </xf>
    <xf numFmtId="171" fontId="22" fillId="0" borderId="13" xfId="0" applyFont="true" applyBorder="true" applyAlignment="true" applyProtection="true">
      <alignment horizontal="center" vertical="top" textRotation="0" wrapText="false" indent="0" shrinkToFit="false"/>
      <protection locked="true" hidden="false"/>
    </xf>
    <xf numFmtId="172" fontId="0" fillId="0" borderId="13" xfId="0" applyFont="true" applyBorder="true" applyAlignment="true" applyProtection="true">
      <alignment horizontal="center" vertical="top" textRotation="0" wrapText="false" indent="0" shrinkToFit="false"/>
      <protection locked="true" hidden="false"/>
    </xf>
    <xf numFmtId="173" fontId="0" fillId="0" borderId="13" xfId="0" applyFont="true" applyBorder="true" applyAlignment="true" applyProtection="true">
      <alignment horizontal="center" vertical="top" textRotation="0" wrapText="false" indent="0" shrinkToFit="false"/>
      <protection locked="true" hidden="false"/>
    </xf>
    <xf numFmtId="173" fontId="23" fillId="0" borderId="13" xfId="0" applyFont="true" applyBorder="true" applyAlignment="true" applyProtection="true">
      <alignment horizontal="center" vertical="top" textRotation="0" wrapText="false" indent="0" shrinkToFit="false"/>
      <protection locked="true" hidden="false"/>
    </xf>
    <xf numFmtId="165" fontId="0" fillId="0" borderId="13" xfId="0" applyFont="false" applyBorder="true" applyAlignment="true" applyProtection="true">
      <alignment horizontal="center" vertical="top" textRotation="0" wrapText="false" indent="0" shrinkToFit="false"/>
      <protection locked="true" hidden="false"/>
    </xf>
    <xf numFmtId="165" fontId="0" fillId="0" borderId="0" xfId="0" applyFont="false" applyBorder="false" applyAlignment="true" applyProtection="true">
      <alignment horizontal="center" vertical="bottom" textRotation="0" wrapText="false" indent="0" shrinkToFit="false"/>
      <protection locked="true" hidden="false"/>
    </xf>
    <xf numFmtId="165" fontId="26" fillId="5" borderId="0" xfId="0" applyFont="true" applyBorder="true" applyAlignment="true" applyProtection="true">
      <alignment horizontal="left" vertical="top" textRotation="0" wrapText="true" indent="0" shrinkToFit="false"/>
      <protection locked="true" hidden="false"/>
    </xf>
    <xf numFmtId="165" fontId="23" fillId="5" borderId="13" xfId="0" applyFont="true" applyBorder="true" applyAlignment="true" applyProtection="true">
      <alignment horizontal="center" vertical="top" textRotation="0" wrapText="true" indent="0" shrinkToFit="false"/>
      <protection locked="true" hidden="false"/>
    </xf>
    <xf numFmtId="169" fontId="23" fillId="0" borderId="13" xfId="0" applyFont="true" applyBorder="true" applyAlignment="true" applyProtection="true">
      <alignment horizontal="left" vertical="top" textRotation="0" wrapText="true" indent="0" shrinkToFit="false"/>
      <protection locked="true" hidden="false"/>
    </xf>
    <xf numFmtId="174" fontId="0" fillId="0" borderId="13" xfId="0" applyFont="true" applyBorder="true" applyAlignment="true" applyProtection="true">
      <alignment horizontal="center" vertical="top" textRotation="0" wrapText="false" indent="0" shrinkToFit="false"/>
      <protection locked="true" hidden="false"/>
    </xf>
    <xf numFmtId="165" fontId="0" fillId="0" borderId="13" xfId="0" applyFont="true" applyBorder="true" applyAlignment="true" applyProtection="true">
      <alignment horizontal="center" vertical="top" textRotation="0" wrapText="true" indent="0" shrinkToFit="false"/>
      <protection locked="true" hidden="false"/>
    </xf>
    <xf numFmtId="164" fontId="26" fillId="5" borderId="0" xfId="0" applyFont="true" applyBorder="true" applyAlignment="true" applyProtection="true">
      <alignment horizontal="left" vertical="top" textRotation="0" wrapText="false" indent="0" shrinkToFit="false"/>
      <protection locked="true" hidden="false"/>
    </xf>
    <xf numFmtId="175" fontId="23" fillId="0" borderId="13" xfId="0" applyFont="true" applyBorder="true" applyAlignment="true" applyProtection="true">
      <alignment horizontal="general" vertical="top" textRotation="0" wrapText="true" indent="0" shrinkToFit="false"/>
      <protection locked="true" hidden="false"/>
    </xf>
    <xf numFmtId="175" fontId="23" fillId="0" borderId="13" xfId="0" applyFont="true" applyBorder="true" applyAlignment="true" applyProtection="true">
      <alignment horizontal="general" vertical="top" textRotation="0" wrapText="false" indent="0" shrinkToFit="false"/>
      <protection locked="true" hidden="false"/>
    </xf>
    <xf numFmtId="176" fontId="0" fillId="0" borderId="0" xfId="0" applyFont="false" applyBorder="false" applyAlignment="true" applyProtection="true">
      <alignment horizontal="center" vertical="bottom" textRotation="0" wrapText="false" indent="0" shrinkToFit="false"/>
      <protection locked="true" hidden="false"/>
    </xf>
    <xf numFmtId="164" fontId="26" fillId="0" borderId="0" xfId="0" applyFont="true" applyBorder="false" applyAlignment="true" applyProtection="true">
      <alignment horizontal="general" vertical="top" textRotation="0" wrapText="false" indent="0" shrinkToFit="false"/>
      <protection locked="true" hidden="false"/>
    </xf>
    <xf numFmtId="167" fontId="26" fillId="5" borderId="0" xfId="0" applyFont="true" applyBorder="true" applyAlignment="true" applyProtection="true">
      <alignment horizontal="center" vertical="top" textRotation="0" wrapText="true" indent="0" shrinkToFit="false"/>
      <protection locked="true" hidden="false"/>
    </xf>
    <xf numFmtId="165" fontId="26" fillId="5" borderId="0" xfId="0" applyFont="true" applyBorder="true" applyAlignment="true" applyProtection="true">
      <alignment horizontal="center" vertical="top" textRotation="0" wrapText="true" indent="0" shrinkToFit="false"/>
      <protection locked="true" hidden="false"/>
    </xf>
    <xf numFmtId="176" fontId="26" fillId="5" borderId="0" xfId="0" applyFont="true" applyBorder="true" applyAlignment="true" applyProtection="true">
      <alignment horizontal="center" vertical="top" textRotation="0" wrapText="true" indent="0" shrinkToFit="false"/>
      <protection locked="true" hidden="false"/>
    </xf>
    <xf numFmtId="167" fontId="29" fillId="5" borderId="0" xfId="0" applyFont="true" applyBorder="true" applyAlignment="true" applyProtection="true">
      <alignment horizontal="left" vertical="top" textRotation="0" wrapText="true" indent="0" shrinkToFit="false"/>
      <protection locked="true" hidden="false"/>
    </xf>
    <xf numFmtId="164" fontId="29" fillId="5" borderId="0" xfId="0" applyFont="true" applyBorder="true" applyAlignment="true" applyProtection="true">
      <alignment horizontal="center" vertical="top" textRotation="0" wrapText="true" indent="0" shrinkToFit="false"/>
      <protection locked="true" hidden="false"/>
    </xf>
    <xf numFmtId="164" fontId="29" fillId="5" borderId="0" xfId="0" applyFont="true" applyBorder="true" applyAlignment="true" applyProtection="true">
      <alignment horizontal="left" vertical="top" textRotation="0" wrapText="true" indent="0" shrinkToFit="false"/>
      <protection locked="true" hidden="false"/>
    </xf>
    <xf numFmtId="167" fontId="29" fillId="5" borderId="0" xfId="0" applyFont="true" applyBorder="true" applyAlignment="true" applyProtection="true">
      <alignment horizontal="center" vertical="top" textRotation="0" wrapText="true" indent="0" shrinkToFit="false"/>
      <protection locked="true" hidden="false"/>
    </xf>
    <xf numFmtId="164" fontId="29" fillId="5" borderId="0" xfId="0" applyFont="true" applyBorder="true" applyAlignment="true" applyProtection="true">
      <alignment horizontal="general" vertical="top" textRotation="0" wrapText="true" indent="0" shrinkToFit="false"/>
      <protection locked="true" hidden="false"/>
    </xf>
    <xf numFmtId="165" fontId="29" fillId="5" borderId="0" xfId="0" applyFont="true" applyBorder="true" applyAlignment="true" applyProtection="true">
      <alignment horizontal="center" vertical="top" textRotation="0" wrapText="true" indent="0" shrinkToFit="false"/>
      <protection locked="true" hidden="false"/>
    </xf>
    <xf numFmtId="164" fontId="29" fillId="24" borderId="0" xfId="0" applyFont="true" applyBorder="true" applyAlignment="true" applyProtection="true">
      <alignment horizontal="left" vertical="top" textRotation="0" wrapText="true" indent="0" shrinkToFit="false"/>
      <protection locked="true" hidden="false"/>
    </xf>
    <xf numFmtId="176" fontId="29" fillId="5" borderId="0" xfId="0" applyFont="true" applyBorder="true" applyAlignment="true" applyProtection="true">
      <alignment horizontal="center" vertical="top" textRotation="0" wrapText="true" indent="0" shrinkToFit="false"/>
      <protection locked="true" hidden="false"/>
    </xf>
    <xf numFmtId="164" fontId="30" fillId="0" borderId="0" xfId="0" applyFont="true" applyBorder="false" applyAlignment="true" applyProtection="true">
      <alignment horizontal="general" vertical="top" textRotation="0" wrapText="false" indent="0" shrinkToFit="false"/>
      <protection locked="true" hidden="false"/>
    </xf>
    <xf numFmtId="164" fontId="29" fillId="0" borderId="0" xfId="0" applyFont="true" applyBorder="false" applyAlignment="true" applyProtection="true">
      <alignment horizontal="general" vertical="top" textRotation="0" wrapText="false" indent="0" shrinkToFit="false"/>
      <protection locked="true" hidden="false"/>
    </xf>
    <xf numFmtId="165" fontId="31" fillId="5" borderId="0" xfId="0" applyFont="true" applyBorder="true" applyAlignment="true" applyProtection="true">
      <alignment horizontal="left" vertical="bottom" textRotation="90" wrapText="false" indent="0" shrinkToFit="false"/>
      <protection locked="true" hidden="false"/>
    </xf>
    <xf numFmtId="176" fontId="22" fillId="5" borderId="0" xfId="0" applyFont="true" applyBorder="true" applyAlignment="true" applyProtection="true">
      <alignment horizontal="center" vertical="bottom" textRotation="0" wrapText="true" indent="0" shrinkToFit="false"/>
      <protection locked="true" hidden="false"/>
    </xf>
    <xf numFmtId="165" fontId="23" fillId="5" borderId="13" xfId="0" applyFont="true" applyBorder="true" applyAlignment="true" applyProtection="true">
      <alignment horizontal="left" vertical="top" textRotation="0" wrapText="true" indent="0" shrinkToFit="false"/>
      <protection locked="true" hidden="false"/>
    </xf>
    <xf numFmtId="176" fontId="23" fillId="5" borderId="13" xfId="0" applyFont="true" applyBorder="true" applyAlignment="true" applyProtection="true">
      <alignment horizontal="left" vertical="top" textRotation="0" wrapText="true" indent="0" shrinkToFit="false"/>
      <protection locked="true" hidden="false"/>
    </xf>
    <xf numFmtId="167" fontId="23" fillId="0" borderId="13" xfId="0" applyFont="true" applyBorder="true" applyAlignment="true" applyProtection="true">
      <alignment horizontal="center" vertical="top" textRotation="0" wrapText="false" indent="0" shrinkToFit="false"/>
      <protection locked="true" hidden="false"/>
    </xf>
    <xf numFmtId="164" fontId="4" fillId="0" borderId="13" xfId="0" applyFont="true" applyBorder="true" applyAlignment="true" applyProtection="true">
      <alignment horizontal="center" vertical="top" textRotation="0" wrapText="false" indent="0" shrinkToFit="false"/>
      <protection locked="true" hidden="false"/>
    </xf>
    <xf numFmtId="164" fontId="4" fillId="0" borderId="13" xfId="0" applyFont="true" applyBorder="true" applyAlignment="true" applyProtection="true">
      <alignment horizontal="left" vertical="top" textRotation="0" wrapText="false" indent="0" shrinkToFit="false"/>
      <protection locked="true" hidden="false"/>
    </xf>
    <xf numFmtId="177" fontId="0" fillId="0" borderId="13" xfId="0" applyFont="false" applyBorder="true" applyAlignment="true" applyProtection="true">
      <alignment horizontal="center" vertical="top" textRotation="0" wrapText="false" indent="0" shrinkToFit="false"/>
      <protection locked="true" hidden="false"/>
    </xf>
    <xf numFmtId="164" fontId="0" fillId="0" borderId="13" xfId="0" applyFont="true" applyBorder="true" applyAlignment="true" applyProtection="true">
      <alignment horizontal="left" vertical="top" textRotation="0" wrapText="true" indent="0" shrinkToFit="false"/>
      <protection locked="true" hidden="false"/>
    </xf>
    <xf numFmtId="171" fontId="23" fillId="0" borderId="13" xfId="0" applyFont="true" applyBorder="true" applyAlignment="true" applyProtection="true">
      <alignment horizontal="center" vertical="top" textRotation="0" wrapText="false" indent="0" shrinkToFit="false"/>
      <protection locked="true" hidden="false"/>
    </xf>
    <xf numFmtId="166" fontId="32" fillId="0" borderId="13" xfId="0" applyFont="true" applyBorder="true" applyAlignment="true" applyProtection="true">
      <alignment horizontal="left" vertical="top" textRotation="0" wrapText="false" indent="0" shrinkToFit="false"/>
      <protection locked="true" hidden="false"/>
    </xf>
    <xf numFmtId="166" fontId="0" fillId="0" borderId="13" xfId="0" applyFont="false" applyBorder="true" applyAlignment="true" applyProtection="true">
      <alignment horizontal="left" vertical="top" textRotation="0" wrapText="false" indent="0" shrinkToFit="false"/>
      <protection locked="true" hidden="false"/>
    </xf>
    <xf numFmtId="176" fontId="23" fillId="0" borderId="13" xfId="0" applyFont="true" applyBorder="true" applyAlignment="true" applyProtection="true">
      <alignment horizontal="center" vertical="top" textRotation="0" wrapText="false" indent="0" shrinkToFit="false"/>
      <protection locked="true" hidden="false"/>
    </xf>
    <xf numFmtId="172" fontId="23" fillId="0" borderId="13" xfId="0" applyFont="true" applyBorder="true" applyAlignment="true" applyProtection="true">
      <alignment horizontal="center" vertical="top" textRotation="0" wrapText="false" indent="0" shrinkToFit="false"/>
      <protection locked="true" hidden="false"/>
    </xf>
    <xf numFmtId="177" fontId="23" fillId="0" borderId="13" xfId="0" applyFont="true" applyBorder="true" applyAlignment="true" applyProtection="true">
      <alignment horizontal="center" vertical="top" textRotation="0" wrapText="false" indent="0" shrinkToFit="false"/>
      <protection locked="true" hidden="false"/>
    </xf>
    <xf numFmtId="165" fontId="22" fillId="5" borderId="0" xfId="0" applyFont="true" applyBorder="true" applyAlignment="true" applyProtection="true">
      <alignment horizontal="center" vertical="bottom" textRotation="90" wrapText="true" indent="0" shrinkToFit="false"/>
      <protection locked="true" hidden="false"/>
    </xf>
    <xf numFmtId="178" fontId="23" fillId="5" borderId="13" xfId="0" applyFont="true" applyBorder="true" applyAlignment="true" applyProtection="true">
      <alignment horizontal="center" vertical="top" textRotation="0" wrapText="true" indent="0" shrinkToFit="false"/>
      <protection locked="true" hidden="false"/>
    </xf>
    <xf numFmtId="164" fontId="33" fillId="0" borderId="13" xfId="0" applyFont="true" applyBorder="true" applyAlignment="true" applyProtection="true">
      <alignment horizontal="left" vertical="top" textRotation="0" wrapText="false" indent="0" shrinkToFit="false"/>
      <protection locked="true" hidden="false"/>
    </xf>
    <xf numFmtId="164" fontId="0" fillId="0" borderId="13" xfId="0" applyFont="true" applyBorder="true" applyAlignment="true" applyProtection="true">
      <alignment horizontal="left" vertical="top" textRotation="0" wrapText="false" indent="0" shrinkToFit="false"/>
      <protection locked="true" hidden="false"/>
    </xf>
    <xf numFmtId="168" fontId="0" fillId="0" borderId="13" xfId="0" applyFont="false" applyBorder="true" applyAlignment="true" applyProtection="true">
      <alignment horizontal="left" vertical="top" textRotation="0" wrapText="false" indent="0" shrinkToFit="false"/>
      <protection locked="true" hidden="false"/>
    </xf>
    <xf numFmtId="173" fontId="33" fillId="0" borderId="13" xfId="0" applyFont="true" applyBorder="true" applyAlignment="true" applyProtection="true">
      <alignment horizontal="center" vertical="top" textRotation="0" wrapText="false" indent="0" shrinkToFit="false"/>
      <protection locked="true" hidden="false"/>
    </xf>
    <xf numFmtId="168" fontId="0" fillId="4" borderId="13" xfId="0" applyFont="false" applyBorder="true" applyAlignment="true" applyProtection="true">
      <alignment horizontal="center" vertical="top" textRotation="0" wrapText="false" indent="0" shrinkToFit="false"/>
      <protection locked="true" hidden="false"/>
    </xf>
    <xf numFmtId="173" fontId="0" fillId="0" borderId="13" xfId="0" applyFont="false" applyBorder="true" applyAlignment="true" applyProtection="true">
      <alignment horizontal="center" vertical="top" textRotation="0" wrapText="false" indent="0" shrinkToFit="false"/>
      <protection locked="true" hidden="false"/>
    </xf>
    <xf numFmtId="168" fontId="0" fillId="8" borderId="13" xfId="0" applyFont="false" applyBorder="true" applyAlignment="true" applyProtection="true">
      <alignment horizontal="center" vertical="top" textRotation="0" wrapText="false" indent="0" shrinkToFit="false"/>
      <protection locked="true" hidden="false"/>
    </xf>
    <xf numFmtId="168" fontId="0" fillId="10" borderId="13" xfId="0" applyFont="false" applyBorder="true" applyAlignment="true" applyProtection="true">
      <alignment horizontal="center" vertical="top" textRotation="0" wrapText="false" indent="0" shrinkToFit="false"/>
      <protection locked="true" hidden="false"/>
    </xf>
    <xf numFmtId="168" fontId="0" fillId="0" borderId="13" xfId="0" applyFont="false" applyBorder="true" applyAlignment="true" applyProtection="true">
      <alignment horizontal="center" vertical="top" textRotation="0" wrapText="false" indent="0"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22" fillId="5" borderId="0" xfId="0" applyFont="true" applyBorder="true" applyAlignment="true" applyProtection="true">
      <alignment horizontal="right" vertical="bottom" textRotation="0" wrapText="true" indent="0" shrinkToFit="false"/>
      <protection locked="true" hidden="false"/>
    </xf>
    <xf numFmtId="165" fontId="22" fillId="5" borderId="0" xfId="0" applyFont="true" applyBorder="true" applyAlignment="true" applyProtection="true">
      <alignment horizontal="left" vertical="bottom" textRotation="0" wrapText="true" indent="0" shrinkToFit="false"/>
      <protection locked="true" hidden="false"/>
    </xf>
    <xf numFmtId="164" fontId="23" fillId="5" borderId="13" xfId="0" applyFont="true" applyBorder="true" applyAlignment="true" applyProtection="true">
      <alignment horizontal="right" vertical="top" textRotation="0" wrapText="true" indent="0" shrinkToFit="false"/>
      <protection locked="true" hidden="false"/>
    </xf>
    <xf numFmtId="164" fontId="0" fillId="0" borderId="13" xfId="0" applyFont="true" applyBorder="true" applyAlignment="true" applyProtection="true">
      <alignment horizontal="right" vertical="top" textRotation="0" wrapText="false" indent="0" shrinkToFit="false"/>
      <protection locked="true" hidden="false"/>
    </xf>
    <xf numFmtId="164" fontId="0" fillId="0" borderId="13" xfId="0" applyFont="false" applyBorder="true" applyAlignment="true" applyProtection="true">
      <alignment horizontal="center" vertical="top" textRotation="0" wrapText="false" indent="0" shrinkToFit="false"/>
      <protection locked="true" hidden="false"/>
    </xf>
    <xf numFmtId="165" fontId="26" fillId="5" borderId="0" xfId="0" applyFont="true" applyBorder="true" applyAlignment="true" applyProtection="true">
      <alignment horizontal="right" vertical="top" textRotation="0" wrapText="true" indent="0" shrinkToFit="false"/>
      <protection locked="true" hidden="false"/>
    </xf>
    <xf numFmtId="165" fontId="22" fillId="5" borderId="0" xfId="0" applyFont="true" applyBorder="true" applyAlignment="true" applyProtection="true">
      <alignment horizontal="right" vertical="bottom" textRotation="0" wrapText="true" indent="0" shrinkToFit="false"/>
      <protection locked="true" hidden="false"/>
    </xf>
    <xf numFmtId="165" fontId="23" fillId="5" borderId="13" xfId="0" applyFont="true" applyBorder="true" applyAlignment="true" applyProtection="true">
      <alignment horizontal="right" vertical="top" textRotation="0" wrapText="true" indent="0" shrinkToFit="false"/>
      <protection locked="true" hidden="false"/>
    </xf>
    <xf numFmtId="165" fontId="0" fillId="0" borderId="13" xfId="0" applyFont="true" applyBorder="true" applyAlignment="true" applyProtection="true">
      <alignment horizontal="right" vertical="top" textRotation="0" wrapText="false" indent="0" shrinkToFit="false"/>
      <protection locked="true" hidden="false"/>
    </xf>
    <xf numFmtId="179" fontId="0" fillId="0" borderId="0" xfId="0" applyFont="false" applyBorder="false" applyAlignment="true" applyProtection="true">
      <alignment horizontal="center" vertical="bottom" textRotation="0" wrapText="false" indent="0" shrinkToFit="false"/>
      <protection locked="true" hidden="false"/>
    </xf>
    <xf numFmtId="179" fontId="26" fillId="5" borderId="0" xfId="0" applyFont="true" applyBorder="true" applyAlignment="true" applyProtection="true">
      <alignment horizontal="center" vertical="top" textRotation="0" wrapText="true" indent="0" shrinkToFit="false"/>
      <protection locked="true" hidden="false"/>
    </xf>
    <xf numFmtId="179" fontId="22" fillId="5" borderId="0" xfId="0" applyFont="true" applyBorder="true" applyAlignment="true" applyProtection="true">
      <alignment horizontal="center" vertical="bottom" textRotation="0" wrapText="true" indent="0" shrinkToFit="false"/>
      <protection locked="true" hidden="false"/>
    </xf>
    <xf numFmtId="179" fontId="23" fillId="5" borderId="13" xfId="0" applyFont="true" applyBorder="true" applyAlignment="true" applyProtection="true">
      <alignment horizontal="center" vertical="top" textRotation="0" wrapText="true" indent="0" shrinkToFit="false"/>
      <protection locked="true" hidden="false"/>
    </xf>
    <xf numFmtId="179" fontId="0" fillId="0" borderId="13" xfId="0" applyFont="true" applyBorder="true" applyAlignment="true" applyProtection="true">
      <alignment horizontal="center" vertical="top" textRotation="0" wrapText="false" indent="0" shrinkToFit="false"/>
      <protection locked="true" hidden="false"/>
    </xf>
    <xf numFmtId="164" fontId="0" fillId="25" borderId="13" xfId="0" applyFont="true" applyBorder="true" applyAlignment="true" applyProtection="true">
      <alignment horizontal="center" vertical="top" textRotation="0" wrapText="false" indent="0" shrinkToFit="false"/>
      <protection locked="true" hidden="false"/>
    </xf>
    <xf numFmtId="164" fontId="0" fillId="13" borderId="13" xfId="0" applyFont="true" applyBorder="true" applyAlignment="true" applyProtection="true">
      <alignment horizontal="center" vertical="top" textRotation="0" wrapText="false" indent="0" shrinkToFit="false"/>
      <protection locked="true" hidden="false"/>
    </xf>
    <xf numFmtId="164" fontId="0" fillId="8" borderId="13" xfId="0" applyFont="true" applyBorder="true" applyAlignment="true" applyProtection="true">
      <alignment horizontal="left" vertical="top" textRotation="0" wrapText="false" indent="0" shrinkToFit="false"/>
      <protection locked="true" hidden="false"/>
    </xf>
    <xf numFmtId="164" fontId="0" fillId="26" borderId="13" xfId="0" applyFont="true" applyBorder="true" applyAlignment="true" applyProtection="true">
      <alignment horizontal="left" vertical="top" textRotation="0" wrapText="false" indent="0" shrinkToFit="false"/>
      <protection locked="true" hidden="false"/>
    </xf>
    <xf numFmtId="164" fontId="26" fillId="21" borderId="0" xfId="0" applyFont="true" applyBorder="false" applyAlignment="true" applyProtection="true">
      <alignment horizontal="general" vertical="top" textRotation="0" wrapText="true" indent="0" shrinkToFit="false"/>
      <protection locked="true" hidden="false"/>
    </xf>
    <xf numFmtId="164" fontId="26" fillId="21" borderId="0" xfId="0" applyFont="true" applyBorder="false" applyAlignment="true" applyProtection="true">
      <alignment horizontal="center" vertical="top" textRotation="0" wrapText="true" indent="0" shrinkToFit="false"/>
      <protection locked="true" hidden="false"/>
    </xf>
    <xf numFmtId="164" fontId="26" fillId="21" borderId="0" xfId="0" applyFont="true" applyBorder="false" applyAlignment="true" applyProtection="true">
      <alignment horizontal="left" vertical="top" textRotation="0" wrapText="true" indent="0" shrinkToFit="false"/>
      <protection locked="true" hidden="false"/>
    </xf>
    <xf numFmtId="164" fontId="26" fillId="21" borderId="0" xfId="0" applyFont="true" applyBorder="false" applyAlignment="true" applyProtection="true">
      <alignment horizontal="right"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26" fillId="21" borderId="0" xfId="0" applyFont="true" applyBorder="false" applyAlignment="true" applyProtection="true">
      <alignment horizontal="general" vertical="bottom" textRotation="0" wrapText="true" indent="0" shrinkToFit="false"/>
      <protection locked="true" hidden="false"/>
    </xf>
    <xf numFmtId="164" fontId="26" fillId="21" borderId="0" xfId="0" applyFont="true" applyBorder="false" applyAlignment="true" applyProtection="true">
      <alignment horizontal="center" vertical="bottom" textRotation="0" wrapText="true" indent="0" shrinkToFit="false"/>
      <protection locked="true" hidden="false"/>
    </xf>
    <xf numFmtId="164" fontId="26" fillId="21" borderId="0" xfId="0" applyFont="true" applyBorder="false" applyAlignment="true" applyProtection="true">
      <alignment horizontal="left" vertical="bottom" textRotation="0" wrapText="true" indent="0" shrinkToFit="false"/>
      <protection locked="true" hidden="false"/>
    </xf>
    <xf numFmtId="164" fontId="26" fillId="21" borderId="0" xfId="0" applyFont="true" applyBorder="false" applyAlignment="true" applyProtection="true">
      <alignment horizontal="right"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22" fillId="21" borderId="0" xfId="0" applyFont="true" applyBorder="false" applyAlignment="true" applyProtection="true">
      <alignment horizontal="general" vertical="bottom" textRotation="0" wrapText="true" indent="0" shrinkToFit="false"/>
      <protection locked="true" hidden="false"/>
    </xf>
    <xf numFmtId="164" fontId="22" fillId="21" borderId="0" xfId="0" applyFont="true" applyBorder="false" applyAlignment="true" applyProtection="true">
      <alignment horizontal="center" vertical="bottom" textRotation="0" wrapText="true" indent="0" shrinkToFit="false"/>
      <protection locked="true" hidden="false"/>
    </xf>
    <xf numFmtId="164" fontId="22" fillId="21" borderId="0" xfId="0" applyFont="true" applyBorder="false" applyAlignment="true" applyProtection="true">
      <alignment horizontal="left" vertical="bottom" textRotation="0" wrapText="true" indent="0" shrinkToFit="false"/>
      <protection locked="true" hidden="false"/>
    </xf>
    <xf numFmtId="164" fontId="22" fillId="21" borderId="0" xfId="0" applyFont="true" applyBorder="false" applyAlignment="true" applyProtection="true">
      <alignment horizontal="right" vertical="bottom" textRotation="0" wrapText="true" indent="0" shrinkToFit="false"/>
      <protection locked="true" hidden="false"/>
    </xf>
    <xf numFmtId="164" fontId="23" fillId="21" borderId="0" xfId="0" applyFont="true" applyBorder="false" applyAlignment="true" applyProtection="true">
      <alignment horizontal="general" vertical="bottom" textRotation="0" wrapText="true" indent="0" shrinkToFit="false"/>
      <protection locked="true" hidden="false"/>
    </xf>
    <xf numFmtId="164" fontId="23" fillId="21" borderId="0" xfId="0" applyFont="true" applyBorder="false" applyAlignment="true" applyProtection="true">
      <alignment horizontal="left" vertical="bottom" textRotation="0" wrapText="tru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cellXfs>
  <cellStyles count="52">
    <cellStyle name="Normal" xfId="0" builtinId="0"/>
    <cellStyle name="Comma" xfId="15" builtinId="3"/>
    <cellStyle name="Comma [0]" xfId="16" builtinId="6"/>
    <cellStyle name="Currency" xfId="17" builtinId="4"/>
    <cellStyle name="Currency [0]" xfId="18" builtinId="7"/>
    <cellStyle name="Percent" xfId="19" builtinId="5"/>
    <cellStyle name="Black" xfId="20"/>
    <cellStyle name="BlackBG" xfId="21"/>
    <cellStyle name="CurrentMonthIndicator" xfId="22"/>
    <cellStyle name="Dark" xfId="23"/>
    <cellStyle name="DarkGrey" xfId="24"/>
    <cellStyle name="Green" xfId="25"/>
    <cellStyle name="Grey" xfId="26"/>
    <cellStyle name="Light" xfId="27"/>
    <cellStyle name="LightGreen" xfId="28"/>
    <cellStyle name="LightGrey" xfId="29"/>
    <cellStyle name="LightRed" xfId="30"/>
    <cellStyle name="Mid" xfId="31"/>
    <cellStyle name="Pivot Table Category" xfId="32"/>
    <cellStyle name="Pivot Table Corner" xfId="33"/>
    <cellStyle name="Pivot Table Field" xfId="34"/>
    <cellStyle name="Pivot Table Result" xfId="35"/>
    <cellStyle name="Pivot Table Title" xfId="36"/>
    <cellStyle name="Pivot Table Value" xfId="37"/>
    <cellStyle name="Planning_Amber" xfId="38"/>
    <cellStyle name="Planning_Blue" xfId="39"/>
    <cellStyle name="Planning_DarkBlue" xfId="40"/>
    <cellStyle name="Planning_Green" xfId="41"/>
    <cellStyle name="Planning_Grey" xfId="42"/>
    <cellStyle name="Planning_LightBlue" xfId="43"/>
    <cellStyle name="Planning_LightPurple" xfId="44"/>
    <cellStyle name="Planning_Red" xfId="45"/>
    <cellStyle name="Red" xfId="46"/>
    <cellStyle name="SoftGreen" xfId="47"/>
    <cellStyle name="SoftRed" xfId="48"/>
    <cellStyle name="Started" xfId="49"/>
    <cellStyle name="Untitled1" xfId="50"/>
    <cellStyle name="Untitled10" xfId="51"/>
    <cellStyle name="Untitled11" xfId="52"/>
    <cellStyle name="Untitled12" xfId="53"/>
    <cellStyle name="Untitled13" xfId="54"/>
    <cellStyle name="Untitled2" xfId="55"/>
    <cellStyle name="Untitled3" xfId="56"/>
    <cellStyle name="Untitled4" xfId="57"/>
    <cellStyle name="Untitled5" xfId="58"/>
    <cellStyle name="Untitled6" xfId="59"/>
    <cellStyle name="Untitled7" xfId="60"/>
    <cellStyle name="Untitled8" xfId="61"/>
    <cellStyle name="Untitled9" xfId="62"/>
    <cellStyle name="Red Text" xfId="63"/>
    <cellStyle name="Amber text" xfId="64"/>
    <cellStyle name="Green Text" xfId="65"/>
  </cellStyles>
  <dxfs count="37">
    <dxf>
      <fill>
        <patternFill patternType="solid">
          <fgColor rgb="FF666666"/>
          <bgColor rgb="FF000000"/>
        </patternFill>
      </fill>
    </dxf>
    <dxf>
      <fill>
        <patternFill patternType="solid">
          <bgColor rgb="FF000000"/>
        </patternFill>
      </fill>
    </dxf>
    <dxf>
      <fill>
        <patternFill patternType="solid">
          <fgColor rgb="FF808080"/>
          <bgColor rgb="FF000000"/>
        </patternFill>
      </fill>
    </dxf>
    <dxf>
      <fill>
        <patternFill patternType="solid">
          <fgColor rgb="FF00A933"/>
          <bgColor rgb="FF000000"/>
        </patternFill>
      </fill>
    </dxf>
    <dxf>
      <fill>
        <patternFill patternType="solid">
          <fgColor rgb="FFFFFFFF"/>
          <bgColor rgb="FF000000"/>
        </patternFill>
      </fill>
    </dxf>
    <dxf>
      <font>
        <name val="Arial"/>
        <charset val="1"/>
        <family val="2"/>
        <b val="1"/>
      </font>
    </dxf>
    <dxf>
      <font>
        <name val="Arial"/>
        <charset val="1"/>
        <family val="2"/>
        <color rgb="FFCCCCCC"/>
      </font>
      <fill>
        <patternFill>
          <bgColor rgb="FFCCCCCC"/>
        </patternFill>
      </fill>
    </dxf>
    <dxf>
      <font>
        <name val="Arial"/>
        <charset val="1"/>
        <family val="2"/>
        <color rgb="FF666666"/>
      </font>
      <fill>
        <patternFill>
          <bgColor rgb="FF666666"/>
        </patternFill>
      </fill>
    </dxf>
    <dxf>
      <font>
        <name val="Arial"/>
        <charset val="1"/>
        <family val="2"/>
        <color rgb="FFFF0000"/>
      </font>
      <fill>
        <patternFill>
          <bgColor rgb="FFFFFFFF"/>
        </patternFill>
      </fill>
      <border diagonalUp="false" diagonalDown="false">
        <left/>
        <right/>
        <top/>
        <bottom/>
        <diagonal/>
      </border>
    </dxf>
    <dxf>
      <fill>
        <patternFill patternType="solid">
          <fgColor rgb="FFFF0000"/>
          <bgColor rgb="FF000000"/>
        </patternFill>
      </fill>
    </dxf>
    <dxf>
      <font>
        <name val="Arial"/>
        <charset val="1"/>
        <family val="2"/>
        <color rgb="FFFF0000"/>
      </font>
    </dxf>
    <dxf>
      <font>
        <name val="Arial"/>
        <charset val="1"/>
        <family val="2"/>
        <color rgb="FFFFBF00"/>
      </font>
    </dxf>
    <dxf>
      <font>
        <name val="Arial"/>
        <charset val="1"/>
        <family val="2"/>
        <b val="1"/>
      </font>
      <alignment horizontal="general" vertical="bottom" textRotation="0" wrapText="false" indent="0" shrinkToFit="false"/>
    </dxf>
    <dxf>
      <font>
        <name val="Arial"/>
        <charset val="1"/>
        <family val="2"/>
        <color rgb="FF00A933"/>
      </font>
    </dxf>
    <dxf>
      <fill>
        <patternFill patternType="solid">
          <fgColor rgb="FFB3320F"/>
          <bgColor rgb="FF000000"/>
        </patternFill>
      </fill>
    </dxf>
    <dxf>
      <fill>
        <patternFill patternType="solid">
          <fgColor rgb="FF000000"/>
          <bgColor rgb="FF000000"/>
        </patternFill>
      </fill>
    </dxf>
    <dxf>
      <fill>
        <patternFill patternType="solid">
          <fgColor rgb="FFC02A0C"/>
          <bgColor rgb="FF000000"/>
        </patternFill>
      </fill>
    </dxf>
    <dxf>
      <fill>
        <patternFill patternType="solid">
          <fgColor rgb="FFFFA6A6"/>
          <bgColor rgb="FF000000"/>
        </patternFill>
      </fill>
    </dxf>
    <dxf>
      <fill>
        <patternFill patternType="solid">
          <fgColor rgb="FFFFD7D7"/>
          <bgColor rgb="FF000000"/>
        </patternFill>
      </fill>
    </dxf>
    <dxf>
      <fill>
        <patternFill patternType="solid">
          <fgColor rgb="FFC9211E"/>
          <bgColor rgb="FF000000"/>
        </patternFill>
      </fill>
    </dxf>
    <dxf>
      <font>
        <name val="Arial"/>
        <charset val="1"/>
        <family val="2"/>
        <color rgb="FF000000"/>
      </font>
      <fill>
        <patternFill>
          <bgColor rgb="FF000000"/>
        </patternFill>
      </fill>
    </dxf>
    <dxf>
      <font>
        <name val="Arial"/>
        <charset val="1"/>
        <family val="2"/>
        <color rgb="FF2A6099"/>
      </font>
      <fill>
        <patternFill>
          <bgColor rgb="FF2A6099"/>
        </patternFill>
      </fill>
    </dxf>
    <dxf>
      <font>
        <name val="Arial"/>
        <charset val="1"/>
        <family val="2"/>
        <color rgb="FFB4C7DC"/>
      </font>
      <fill>
        <patternFill>
          <bgColor rgb="FFB4C7DC"/>
        </patternFill>
      </fill>
    </dxf>
    <dxf>
      <font>
        <name val="Arial"/>
        <charset val="1"/>
        <family val="2"/>
        <color rgb="FFFF0000"/>
      </font>
      <fill>
        <patternFill>
          <bgColor rgb="FFFF0000"/>
        </patternFill>
      </fill>
    </dxf>
    <dxf>
      <font>
        <name val="Arial"/>
        <charset val="1"/>
        <family val="2"/>
        <color rgb="FF00A933"/>
      </font>
      <fill>
        <patternFill>
          <bgColor rgb="FF00A933"/>
        </patternFill>
      </fill>
    </dxf>
    <dxf>
      <font>
        <name val="Arial"/>
        <charset val="1"/>
        <family val="2"/>
        <color rgb="FFFFA6A6"/>
      </font>
      <fill>
        <patternFill>
          <bgColor rgb="FFFFA6A6"/>
        </patternFill>
      </fill>
    </dxf>
    <dxf>
      <font>
        <name val="Arial"/>
        <charset val="1"/>
        <family val="2"/>
        <color rgb="FFAFD095"/>
      </font>
      <fill>
        <patternFill>
          <bgColor rgb="FFAFD095"/>
        </patternFill>
      </fill>
    </dxf>
    <dxf>
      <font>
        <name val="Arial"/>
        <charset val="1"/>
        <family val="2"/>
        <color rgb="FFDDDDDD"/>
      </font>
      <fill>
        <patternFill>
          <bgColor rgb="FFDDDDDD"/>
        </patternFill>
      </fill>
    </dxf>
    <dxf>
      <font>
        <name val="Arial"/>
        <charset val="1"/>
        <family val="2"/>
        <color rgb="FFDEE7E5"/>
      </font>
      <fill>
        <patternFill>
          <bgColor rgb="FFDEE7E5"/>
        </patternFill>
      </fill>
    </dxf>
    <dxf>
      <font>
        <name val="Arial"/>
        <charset val="1"/>
        <family val="2"/>
        <color rgb="FFFFD7D7"/>
      </font>
      <fill>
        <patternFill>
          <bgColor rgb="FFFFD7D7"/>
        </patternFill>
      </fill>
    </dxf>
    <dxf>
      <fill>
        <patternFill patternType="solid">
          <fgColor rgb="FFB2B2B2"/>
          <bgColor rgb="FF000000"/>
        </patternFill>
      </fill>
    </dxf>
    <dxf>
      <fill>
        <patternFill patternType="solid">
          <fgColor rgb="FF2A6099"/>
          <bgColor rgb="FF000000"/>
        </patternFill>
      </fill>
    </dxf>
    <dxf>
      <fill>
        <patternFill patternType="solid">
          <fgColor rgb="FFB4C7DC"/>
          <bgColor rgb="FF000000"/>
        </patternFill>
      </fill>
    </dxf>
    <dxf>
      <fill>
        <patternFill patternType="solid">
          <fgColor rgb="FFCCCCCC"/>
          <bgColor rgb="FF000000"/>
        </patternFill>
      </fill>
    </dxf>
    <dxf>
      <fill>
        <patternFill patternType="solid">
          <fgColor rgb="FF5983B0"/>
          <bgColor rgb="FF000000"/>
        </patternFill>
      </fill>
    </dxf>
    <dxf>
      <fill>
        <patternFill patternType="solid">
          <fgColor rgb="FF729FCF"/>
          <bgColor rgb="FF000000"/>
        </patternFill>
      </fill>
    </dxf>
    <dxf>
      <fill>
        <patternFill patternType="solid">
          <fgColor rgb="FFDEE6EF"/>
          <bgColor rgb="FF000000"/>
        </patternFill>
      </fill>
    </dxf>
  </dxfs>
  <colors>
    <indexedColors>
      <rgbColor rgb="FF000000"/>
      <rgbColor rgb="FFFFFFFF"/>
      <rgbColor rgb="FFFF0000"/>
      <rgbColor rgb="FF00FF00"/>
      <rgbColor rgb="FF0000FF"/>
      <rgbColor rgb="FFBBE33D"/>
      <rgbColor rgb="FFFF00FF"/>
      <rgbColor rgb="FF00FFFF"/>
      <rgbColor rgb="FF800000"/>
      <rgbColor rgb="FF008000"/>
      <rgbColor rgb="FF000080"/>
      <rgbColor rgb="FF808000"/>
      <rgbColor rgb="FF800080"/>
      <rgbColor rgb="FF008080"/>
      <rgbColor rgb="FFCCCCCC"/>
      <rgbColor rgb="FF808080"/>
      <rgbColor rgb="FF729FCF"/>
      <rgbColor rgb="FFA1467E"/>
      <rgbColor rgb="FFE0C2CD"/>
      <rgbColor rgb="FFDEE6EF"/>
      <rgbColor rgb="FF660066"/>
      <rgbColor rgb="FFFFB66C"/>
      <rgbColor rgb="FF2A6099"/>
      <rgbColor rgb="FFB4C7DC"/>
      <rgbColor rgb="FF000080"/>
      <rgbColor rgb="FFFF00FF"/>
      <rgbColor rgb="FFFFFF00"/>
      <rgbColor rgb="FF00FFFF"/>
      <rgbColor rgb="FF800080"/>
      <rgbColor rgb="FF800000"/>
      <rgbColor rgb="FF008080"/>
      <rgbColor rgb="FF0000FF"/>
      <rgbColor rgb="FF00CCFF"/>
      <rgbColor rgb="FFDDDDDD"/>
      <rgbColor rgb="FFDEE7E5"/>
      <rgbColor rgb="FFE8F2A1"/>
      <rgbColor rgb="FFAFD095"/>
      <rgbColor rgb="FFFFA6A6"/>
      <rgbColor rgb="FFB2B2B2"/>
      <rgbColor rgb="FFFFD7D7"/>
      <rgbColor rgb="FF5983B0"/>
      <rgbColor rgb="FF33CCCC"/>
      <rgbColor rgb="FF81D41A"/>
      <rgbColor rgb="FFFFBF00"/>
      <rgbColor rgb="FFFF8000"/>
      <rgbColor rgb="FFFF6600"/>
      <rgbColor rgb="FF666666"/>
      <rgbColor rgb="FF999999"/>
      <rgbColor rgb="FF003366"/>
      <rgbColor rgb="FF00A933"/>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Relationship Id="rId21" Type="http://schemas.openxmlformats.org/officeDocument/2006/relationships/pivotCacheDefinition" Target="pivotCache/pivotCacheDefinition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r:id="rId1" recordCount="35" createdVersion="3">
  <cacheSource type="worksheet">
    <worksheetSource ref="A20:DZ55" sheet="01.10.Projects"/>
  </cacheSource>
  <cacheFields count="130">
    <cacheField name="A" numFmtId="0">
      <sharedItems containsString="0" containsBlank="1" count="1">
        <m/>
      </sharedItems>
    </cacheField>
    <cacheField name="Item Type" numFmtId="0">
      <sharedItems containsMixedTypes="1" containsNumber="1" containsInteger="1" minValue="0" maxValue="0" count="6">
        <n v="0"/>
        <s v="Action"/>
        <s v="Chg Goal"/>
        <s v="Project"/>
        <s v="Stream"/>
        <s v="Venture"/>
      </sharedItems>
    </cacheField>
    <cacheField name="Lvl" numFmtId="0">
      <sharedItems containsSemiMixedTypes="0" containsString="0" containsNumber="1" containsInteger="1" minValue="10000000" maxValue="90000000" count="6">
        <n v="10000000"/>
        <n v="12000000"/>
        <n v="12100000"/>
        <n v="12110000"/>
        <n v="12111000"/>
        <n v="90000000"/>
      </sharedItems>
    </cacheField>
    <cacheField name="Sort" numFmtId="0">
      <sharedItems count="2">
        <s v="0"/>
        <s v="2"/>
      </sharedItems>
    </cacheField>
    <cacheField name="Self" numFmtId="0">
      <sharedItems count="8">
        <s v=""/>
        <s v="Action        Some Action for the Study"/>
        <s v="Chg GoalDMM"/>
        <s v="Chg GoalEMM"/>
        <s v="ProjectSome Study Project for sub-cat 1"/>
        <s v="ProjectSome Study Project for sub-cat 2"/>
        <s v="Stream    Some Stream of the project"/>
        <s v="VNT"/>
      </sharedItems>
    </cacheField>
    <cacheField name="Self Pty" numFmtId="0">
      <sharedItems containsSemiMixedTypes="0" containsNonDate="0" containsDate="1" containsString="0" minDate="1899-12-30T00:00:00" maxDate="2025-01-01T00:00:00" count="2">
        <d v="1899-12-30T00:00:00"/>
        <d v="2025-01-01T00:00:00"/>
      </sharedItems>
    </cacheField>
    <cacheField name="Self+1" numFmtId="0">
      <sharedItems containsMixedTypes="1" containsNumber="1" containsInteger="1" minValue="0" maxValue="0" count="7">
        <n v="0"/>
        <s v="Chg GoalDMM"/>
        <s v="Chg GoalEMM"/>
        <s v="ProjectSome Study Project for sub-cat 1"/>
        <s v="ProjectSome Study Project for sub-cat 2"/>
        <s v="Stream    Some Stream of the project"/>
        <s v="VNT"/>
      </sharedItems>
    </cacheField>
    <cacheField name="Self+1 Pty" numFmtId="0">
      <sharedItems containsSemiMixedTypes="0" containsNonDate="0" containsDate="1" containsString="0" minDate="1899-12-30T00:00:00" maxDate="2025-01-01T00:00:00" count="2">
        <d v="1899-12-30T00:00:00"/>
        <d v="2025-01-01T00:00:00"/>
      </sharedItems>
    </cacheField>
    <cacheField name="Self+2" numFmtId="0">
      <sharedItems containsMixedTypes="1" containsNumber="1" containsInteger="1" minValue="0" maxValue="0" count="6">
        <n v="0"/>
        <s v=""/>
        <s v="Chg GoalDMM"/>
        <s v="Chg GoalEMM"/>
        <s v="ProjectSome Study Project for sub-cat 2"/>
        <s v="VNT"/>
      </sharedItems>
    </cacheField>
    <cacheField name="Self+2 Pty" numFmtId="0">
      <sharedItems containsSemiMixedTypes="0" containsNonDate="0" containsDate="1" containsString="0" minDate="1899-12-30T00:00:00" maxDate="2025-01-01T00:00:00" count="2">
        <d v="1899-12-30T00:00:00"/>
        <d v="2025-01-01T00:00:00"/>
      </sharedItems>
    </cacheField>
    <cacheField name="Self+3" numFmtId="0">
      <sharedItems containsMixedTypes="1" containsNumber="1" containsInteger="1" minValue="0" maxValue="0" count="3">
        <n v="0"/>
        <s v="Chg GoalDMM"/>
        <s v="VNT"/>
      </sharedItems>
    </cacheField>
    <cacheField name="Self+3 Pty" numFmtId="0">
      <sharedItems containsSemiMixedTypes="0" containsString="0" containsNumber="1" containsInteger="1" minValue="0" maxValue="0" count="1">
        <n v="0"/>
      </sharedItems>
    </cacheField>
    <cacheField name="Report Status" numFmtId="0">
      <sharedItems count="1">
        <s v="Ongoing"/>
      </sharedItems>
    </cacheField>
    <cacheField name="Status" numFmtId="0">
      <sharedItems containsMixedTypes="1" containsNumber="1" containsInteger="1" minValue="0" maxValue="0" count="4">
        <n v="0"/>
        <s v="Chg Goal"/>
        <s v="Overdue"/>
        <s v="Venture"/>
      </sharedItems>
    </cacheField>
    <cacheField name="Tasks Open" numFmtId="0">
      <sharedItems containsSemiMixedTypes="0" containsString="0" containsNumber="1" containsInteger="1" minValue="0" maxValue="2" count="2">
        <n v="0"/>
        <n v="2"/>
      </sharedItems>
    </cacheField>
    <cacheField name="Tasks Started" numFmtId="0">
      <sharedItems containsSemiMixedTypes="0" containsString="0" containsNumber="1" containsInteger="1" minValue="0" maxValue="1" count="2">
        <n v="0"/>
        <n v="1"/>
      </sharedItems>
    </cacheField>
    <cacheField name="Tasks Pending" numFmtId="0">
      <sharedItems containsSemiMixedTypes="0" containsString="0" containsNumber="1" containsInteger="1" minValue="0" maxValue="1" count="2">
        <n v="0"/>
        <n v="1"/>
      </sharedItems>
    </cacheField>
    <cacheField name="Tasks Urgent" numFmtId="0">
      <sharedItems containsSemiMixedTypes="0" containsString="0" containsNumber="1" containsInteger="1" minValue="0" maxValue="1" count="2">
        <n v="0"/>
        <n v="1"/>
      </sharedItems>
    </cacheField>
    <cacheField name="Tasks Done" numFmtId="0">
      <sharedItems containsSemiMixedTypes="0" containsString="0" containsNumber="1" containsInteger="1" minValue="0" maxValue="1" count="2">
        <n v="0"/>
        <n v="1"/>
      </sharedItems>
    </cacheField>
    <cacheField name="Tasks Total" numFmtId="0">
      <sharedItems containsSemiMixedTypes="0" containsString="0" containsNumber="1" containsInteger="1" minValue="0" maxValue="6" count="2">
        <n v="0"/>
        <n v="6"/>
      </sharedItems>
    </cacheField>
    <cacheField name="Target Drill / Action Effort" numFmtId="0">
      <sharedItems containsSemiMixedTypes="0" containsString="0" containsNumber="1" containsInteger="1" minValue="0" maxValue="3" count="2">
        <n v="0"/>
        <n v="3"/>
      </sharedItems>
    </cacheField>
    <cacheField name="Target Sub / Stream Effort" numFmtId="0">
      <sharedItems containsSemiMixedTypes="0" containsString="0" containsNumber="1" containsInteger="1" minValue="0" maxValue="2" count="2">
        <n v="0"/>
        <n v="2"/>
      </sharedItems>
    </cacheField>
    <cacheField name="Target Routine / Project Effort" numFmtId="0">
      <sharedItems containsSemiMixedTypes="0" containsString="0" containsNumber="1" containsInteger="1" minValue="0" maxValue="3" count="2">
        <n v="0"/>
        <n v="3"/>
      </sharedItems>
    </cacheField>
    <cacheField name="Target Venture Effort" numFmtId="0">
      <sharedItems containsSemiMixedTypes="0" containsString="0" containsNumber="1" containsInteger="1" minValue="0" maxValue="0" count="1">
        <n v="0"/>
      </sharedItems>
    </cacheField>
    <cacheField name="Column Y" numFmtId="0">
      <sharedItems containsSemiMixedTypes="0" containsString="0" containsNumber="1" minValue="0" maxValue="2.5" count="2">
        <n v="0"/>
        <n v="2.5"/>
      </sharedItems>
    </cacheField>
    <cacheField name="Actual Sub / Stream Effort" numFmtId="0">
      <sharedItems containsSemiMixedTypes="0" containsString="0" containsNumber="1" minValue="0" maxValue="1.5" count="2">
        <n v="0"/>
        <n v="1.5"/>
      </sharedItems>
    </cacheField>
    <cacheField name="Actual Routine / Project Effort" numFmtId="0">
      <sharedItems containsSemiMixedTypes="0" containsString="0" containsNumber="1" containsInteger="1" minValue="0" maxValue="2" count="2">
        <n v="0"/>
        <n v="2"/>
      </sharedItems>
    </cacheField>
    <cacheField name="Actual Venture Effort" numFmtId="0">
      <sharedItems containsSemiMixedTypes="0" containsString="0" containsNumber="1" containsInteger="1" minValue="0" maxValue="0" count="1">
        <n v="0"/>
      </sharedItems>
    </cacheField>
    <cacheField name="Key" numFmtId="0">
      <sharedItems count="8">
        <s v=""/>
        <s v="Action        Some Action for the Study"/>
        <s v="Chg GoalDMM"/>
        <s v="Chg GoalEMM"/>
        <s v="ProjectSome Study Project for sub-cat 1"/>
        <s v="ProjectSome Study Project for sub-cat 2"/>
        <s v="Stream    Some Stream of the project"/>
        <s v="VNT"/>
      </sharedItems>
    </cacheField>
    <cacheField name="Sort2" numFmtId="0">
      <sharedItems count="10">
        <s v="  -  0N0VNT"/>
        <s v="  -  2N0Chg GoalDMM"/>
        <s v="  -  2N0Chg GoalDMM45658ProjectSome Study Project for sub-cat 2"/>
        <s v="  -  2N0Chg GoalDMM45658ProjectSome Study Project for sub-cat 245658Stream    Some Stream of the project"/>
        <s v="  -  2N0Chg GoalDMM45658ProjectSome Study Project for sub-cat 245658Stream    Some Stream of the project45658Action        Some Action for the Study"/>
        <s v="  -  2N0Chg GoalEMM"/>
        <s v="  -  2N0Chg GoalEMM45658ProjectSome Study Project for sub-cat 1"/>
        <s v="  -  2N0Chg GoalEMM45658ProjectSome Study Project for sub-cat 145658Stream    Some Stream of the project"/>
        <s v="  -  2N0VNT0Chg GoalEMM45658ProjectSome Study Project for sub-cat 145658Action        Some Action for the Study"/>
        <s v="  -  ZZZ"/>
      </sharedItems>
    </cacheField>
    <cacheField name="Active?" numFmtId="0">
      <sharedItems count="1">
        <s v="Y"/>
      </sharedItems>
    </cacheField>
    <cacheField name="Rep ?" numFmtId="0">
      <sharedItems count="1">
        <s v="N"/>
      </sharedItems>
    </cacheField>
    <cacheField name="Force Rep?" numFmtId="0">
      <sharedItems containsString="0" containsBlank="1" count="1">
        <m/>
      </sharedItems>
    </cacheField>
    <cacheField name="Tag" numFmtId="0">
      <sharedItems containsString="0" containsBlank="1" count="1">
        <m/>
      </sharedItems>
    </cacheField>
    <cacheField name="Planning Type" numFmtId="0">
      <sharedItems containsBlank="1" count="6">
        <s v="Action"/>
        <s v="Chg Goal"/>
        <s v="Project"/>
        <s v="Stream"/>
        <s v="Venture"/>
        <m/>
      </sharedItems>
    </cacheField>
    <cacheField name="Name" numFmtId="0">
      <sharedItems containsBlank="1" count="8">
        <s v="        Some Action for the Study"/>
        <s v="    Some Stream of the project"/>
        <s v="DMM"/>
        <s v="EMM"/>
        <s v="Some Study Project for sub-cat 1"/>
        <s v="Some Study Project for sub-cat 2"/>
        <s v="VNT"/>
        <m/>
      </sharedItems>
    </cacheField>
    <cacheField name="Overview" numFmtId="0">
      <sharedItems containsBlank="1" count="5">
        <s v="Represents the entire Venture.  An overview is presented in below Sub  =1.01 Maintain Context."/>
        <s v="Some Action Overview"/>
        <s v="Some Project Overview"/>
        <s v="Some Stream Overview"/>
        <m/>
      </sharedItems>
    </cacheField>
    <cacheField name="Start Date" numFmtId="0">
      <sharedItems containsNonDate="0" containsDate="1" containsString="0" containsBlank="1" minDate="2025-01-01T00:00:00" maxDate="2025-01-01T00:00:00" count="2">
        <d v="2025-01-01T00:00:00"/>
        <m/>
      </sharedItems>
    </cacheField>
    <cacheField name="End Date" numFmtId="0">
      <sharedItems containsNonDate="0" containsDate="1" containsString="0" containsBlank="1" minDate="2025-12-31T00:00:00" maxDate="2025-12-31T00:00:00" count="2">
        <d v="2025-12-31T00:00:00"/>
        <m/>
      </sharedItems>
    </cacheField>
    <cacheField name="Hold Date" numFmtId="0">
      <sharedItems containsString="0" containsBlank="1" count="1">
        <m/>
      </sharedItems>
    </cacheField>
    <cacheField name="Complete Date" numFmtId="0">
      <sharedItems containsString="0" containsBlank="1" count="1">
        <m/>
      </sharedItems>
    </cacheField>
    <cacheField name="Target Effort" numFmtId="0">
      <sharedItems containsString="0" containsBlank="1" containsNumber="1" containsInteger="1" minValue="1" maxValue="3" count="4">
        <n v="1"/>
        <n v="2"/>
        <n v="3"/>
        <m/>
      </sharedItems>
    </cacheField>
    <cacheField name="Actual Effort" numFmtId="0">
      <sharedItems containsString="0" containsBlank="1" containsNumber="1" minValue="0.5" maxValue="2.5" count="4">
        <n v="0.5"/>
        <n v="1.5"/>
        <n v="2.5"/>
        <m/>
      </sharedItems>
    </cacheField>
    <cacheField name="Whom By" numFmtId="0">
      <sharedItems containsBlank="1" count="2">
        <s v="SE"/>
        <m/>
      </sharedItems>
    </cacheField>
    <cacheField name="Whom For" numFmtId="0">
      <sharedItems containsBlank="1" count="2">
        <s v="STE"/>
        <m/>
      </sharedItems>
    </cacheField>
    <cacheField name="Whom For2" numFmtId="0">
      <sharedItems containsBlank="1" count="7">
        <s v="Chg GoalDMM"/>
        <s v="Chg GoalEMM"/>
        <s v="ProjectSome Study Project for sub-cat 1"/>
        <s v="ProjectSome Study Project for sub-cat 2"/>
        <s v="Stream    Some Stream of the project"/>
        <s v="VNT"/>
        <m/>
      </sharedItems>
    </cacheField>
    <cacheField name="Goal" numFmtId="0">
      <sharedItems containsBlank="1" count="4">
        <s v="gro"/>
        <s v="r&amp;d"/>
        <s v="sec"/>
        <m/>
      </sharedItems>
    </cacheField>
    <cacheField name="Sub-Goal" numFmtId="0">
      <sharedItems containsBlank="1" count="3">
        <s v="gro 2"/>
        <s v="sec 1"/>
        <m/>
      </sharedItems>
    </cacheField>
    <cacheField name="Target Revenue Increase" numFmtId="0">
      <sharedItems containsString="0" containsBlank="1" count="1">
        <m/>
      </sharedItems>
    </cacheField>
    <cacheField name="Target Cost Savings" numFmtId="0">
      <sharedItems containsString="0" containsBlank="1" count="1">
        <m/>
      </sharedItems>
    </cacheField>
    <cacheField name="Target Risk Avoidance" numFmtId="0">
      <sharedItems containsString="0" containsBlank="1" count="1">
        <m/>
      </sharedItems>
    </cacheField>
    <cacheField name="Target Project Cost" numFmtId="0">
      <sharedItems containsString="0" containsBlank="1" count="1">
        <m/>
      </sharedItems>
    </cacheField>
    <cacheField name="Actual Project Cost" numFmtId="0">
      <sharedItems containsString="0" containsBlank="1" count="1">
        <m/>
      </sharedItems>
    </cacheField>
    <cacheField name="Reference" numFmtId="0">
      <sharedItems containsString="0" containsBlank="1" count="1">
        <m/>
      </sharedItems>
    </cacheField>
    <cacheField name="Notes" numFmtId="0">
      <sharedItems containsBlank="1" count="2">
        <s v="01-01-22: init"/>
        <m/>
      </sharedItems>
    </cacheField>
    <cacheField name="Whom By2" numFmtId="0">
      <sharedItems containsBlank="1" count="2">
        <s v=". ss&#10;/ ss&#10;x ll&#10;~ hh&#10;! uu&#10;. Task"/>
        <m/>
      </sharedItems>
    </cacheField>
    <cacheField name="Tasks Left " numFmtId="0">
      <sharedItems containsSemiMixedTypes="0" containsString="0" containsNumber="1" containsInteger="1" minValue="0" maxValue="5" count="2">
        <n v="0"/>
        <n v="5"/>
      </sharedItems>
    </cacheField>
    <cacheField name="Task Progress" numFmtId="0">
      <sharedItems containsSemiMixedTypes="0" containsString="0" containsNumber="1" minValue="0.25" maxValue="1" count="2">
        <n v="0.25"/>
        <n v="1"/>
      </sharedItems>
    </cacheField>
    <cacheField name="Total Target Effort" numFmtId="0">
      <sharedItems containsMixedTypes="1" containsNumber="1" containsInteger="1" minValue="0" maxValue="3" count="4">
        <n v="0"/>
        <n v="2"/>
        <n v="3"/>
        <s v=""/>
      </sharedItems>
    </cacheField>
    <cacheField name="Total Actual Effort" numFmtId="0">
      <sharedItems containsMixedTypes="1" containsNumber="1" minValue="0" maxValue="2.5" count="5">
        <n v="0"/>
        <n v="1.5"/>
        <n v="2"/>
        <n v="2.5"/>
        <s v=""/>
      </sharedItems>
    </cacheField>
    <cacheField name="Effort %" numFmtId="0">
      <sharedItems containsMixedTypes="1" containsNumber="1" minValue="0" maxValue="0.833333333333333" count="5">
        <n v="0"/>
        <n v="0.666666666666667"/>
        <n v="0.75"/>
        <n v="0.833333333333333"/>
        <s v=""/>
      </sharedItems>
    </cacheField>
    <cacheField name="Column BJ" numFmtId="0">
      <sharedItems count="5">
        <s v=""/>
        <s v="Black"/>
        <s v="LightRed"/>
        <s v="Red"/>
        <s v="SoftRed"/>
      </sharedItems>
    </cacheField>
    <cacheField name="Column BK" numFmtId="0">
      <sharedItems count="5">
        <s v=""/>
        <s v="Black"/>
        <s v="LightRed"/>
        <s v="Red"/>
        <s v="SoftRed"/>
      </sharedItems>
    </cacheField>
    <cacheField name="Column BL" numFmtId="0">
      <sharedItems count="5">
        <s v=""/>
        <s v="Black"/>
        <s v="LightRed"/>
        <s v="Red"/>
        <s v="SoftRed"/>
      </sharedItems>
    </cacheField>
    <cacheField name="Column BM" numFmtId="0">
      <sharedItems count="5">
        <s v=""/>
        <s v="Black"/>
        <s v="LightRed"/>
        <s v="Red"/>
        <s v="SoftRed"/>
      </sharedItems>
    </cacheField>
    <cacheField name="Column BN" numFmtId="0">
      <sharedItems count="5">
        <s v=""/>
        <s v="Black"/>
        <s v="LightRed"/>
        <s v="Red"/>
        <s v="SoftRed"/>
      </sharedItems>
    </cacheField>
    <cacheField name="Column BO" numFmtId="0">
      <sharedItems count="5">
        <s v=""/>
        <s v="Black"/>
        <s v="LightRed"/>
        <s v="Red"/>
        <s v="SoftRed"/>
      </sharedItems>
    </cacheField>
    <cacheField name="Column BP" numFmtId="0">
      <sharedItems count="5">
        <s v=""/>
        <s v="Black"/>
        <s v="LightRed"/>
        <s v="Red"/>
        <s v="SoftRed"/>
      </sharedItems>
    </cacheField>
    <cacheField name="Column BQ" numFmtId="0">
      <sharedItems count="5">
        <s v=""/>
        <s v="Black"/>
        <s v="LightRed"/>
        <s v="Red"/>
        <s v="SoftRed"/>
      </sharedItems>
    </cacheField>
    <cacheField name="Column BR" numFmtId="0">
      <sharedItems count="5">
        <s v=""/>
        <s v="Black"/>
        <s v="LightRed"/>
        <s v="Red"/>
        <s v="SoftRed"/>
      </sharedItems>
    </cacheField>
    <cacheField name="Column BS" numFmtId="0">
      <sharedItems count="5">
        <s v=""/>
        <s v="Black"/>
        <s v="LightRed"/>
        <s v="Red"/>
        <s v="SoftRed"/>
      </sharedItems>
    </cacheField>
    <cacheField name="Column BT" numFmtId="0">
      <sharedItems count="5">
        <s v=""/>
        <s v="Black"/>
        <s v="LightRed"/>
        <s v="Red"/>
        <s v="SoftRed"/>
      </sharedItems>
    </cacheField>
    <cacheField name="Column BU" numFmtId="0">
      <sharedItems count="5">
        <s v=""/>
        <s v="Black"/>
        <s v="LightRed"/>
        <s v="Red"/>
        <s v="SoftRed"/>
      </sharedItems>
    </cacheField>
    <cacheField name="Column BV" numFmtId="0">
      <sharedItems count="5">
        <s v=""/>
        <s v="Black"/>
        <s v="LightRed"/>
        <s v="Red"/>
        <s v="SoftRed"/>
      </sharedItems>
    </cacheField>
    <cacheField name="Column BW" numFmtId="0">
      <sharedItems count="5">
        <s v=""/>
        <s v="Black"/>
        <s v="LightRed"/>
        <s v="Red"/>
        <s v="SoftRed"/>
      </sharedItems>
    </cacheField>
    <cacheField name="Column BX" numFmtId="0">
      <sharedItems count="5">
        <s v=""/>
        <s v="Black"/>
        <s v="LightRed"/>
        <s v="Red"/>
        <s v="SoftRed"/>
      </sharedItems>
    </cacheField>
    <cacheField name="Column BY" numFmtId="0">
      <sharedItems count="5">
        <s v=""/>
        <s v="Black"/>
        <s v="LightRed"/>
        <s v="Red"/>
        <s v="SoftRed"/>
      </sharedItems>
    </cacheField>
    <cacheField name="Column BZ" numFmtId="0">
      <sharedItems count="5">
        <s v=""/>
        <s v="Black"/>
        <s v="LightRed"/>
        <s v="Red"/>
        <s v="SoftRed"/>
      </sharedItems>
    </cacheField>
    <cacheField name="Column CA" numFmtId="0">
      <sharedItems count="5">
        <s v=""/>
        <s v="Black"/>
        <s v="LightRed"/>
        <s v="Red"/>
        <s v="SoftRed"/>
      </sharedItems>
    </cacheField>
    <cacheField name="Column CB" numFmtId="0">
      <sharedItems count="5">
        <s v=""/>
        <s v="Black"/>
        <s v="LightRed"/>
        <s v="Red"/>
        <s v="SoftRed"/>
      </sharedItems>
    </cacheField>
    <cacheField name="Column CC" numFmtId="0">
      <sharedItems count="5">
        <s v=""/>
        <s v="Black"/>
        <s v="LightRed"/>
        <s v="Red"/>
        <s v="SoftRed"/>
      </sharedItems>
    </cacheField>
    <cacheField name="Column CD" numFmtId="0">
      <sharedItems count="5">
        <s v=""/>
        <s v="Black"/>
        <s v="LightRed"/>
        <s v="Red"/>
        <s v="SoftRed"/>
      </sharedItems>
    </cacheField>
    <cacheField name="Column CE" numFmtId="0">
      <sharedItems count="5">
        <s v=""/>
        <s v="Black"/>
        <s v="LightRed"/>
        <s v="Red"/>
        <s v="SoftRed"/>
      </sharedItems>
    </cacheField>
    <cacheField name="Column CF" numFmtId="0">
      <sharedItems count="5">
        <s v=""/>
        <s v="Black"/>
        <s v="LightRed"/>
        <s v="Red"/>
        <s v="SoftRed"/>
      </sharedItems>
    </cacheField>
    <cacheField name="Column CG" numFmtId="0">
      <sharedItems count="5">
        <s v=""/>
        <s v="Black"/>
        <s v="LightRed"/>
        <s v="Red"/>
        <s v="SoftRed"/>
      </sharedItems>
    </cacheField>
    <cacheField name="Column CH" numFmtId="0">
      <sharedItems count="5">
        <s v=""/>
        <s v="Black"/>
        <s v="LightRed"/>
        <s v="Red"/>
        <s v="SoftRed"/>
      </sharedItems>
    </cacheField>
    <cacheField name="Column CI" numFmtId="0">
      <sharedItems count="5">
        <s v=""/>
        <s v="Black"/>
        <s v="LightRed"/>
        <s v="Red"/>
        <s v="SoftRed"/>
      </sharedItems>
    </cacheField>
    <cacheField name="Column CJ" numFmtId="0">
      <sharedItems count="5">
        <s v=""/>
        <s v="Black"/>
        <s v="LightRed"/>
        <s v="Red"/>
        <s v="SoftRed"/>
      </sharedItems>
    </cacheField>
    <cacheField name="Column CK" numFmtId="0">
      <sharedItems count="1">
        <s v=""/>
      </sharedItems>
    </cacheField>
    <cacheField name="Column CL" numFmtId="0">
      <sharedItems count="1">
        <s v=""/>
      </sharedItems>
    </cacheField>
    <cacheField name="Column CM" numFmtId="0">
      <sharedItems count="1">
        <s v=""/>
      </sharedItems>
    </cacheField>
    <cacheField name="Column CN" numFmtId="0">
      <sharedItems count="1">
        <s v=""/>
      </sharedItems>
    </cacheField>
    <cacheField name="Column CO" numFmtId="0">
      <sharedItems count="1">
        <s v=""/>
      </sharedItems>
    </cacheField>
    <cacheField name="Column CP" numFmtId="0">
      <sharedItems count="1">
        <s v=""/>
      </sharedItems>
    </cacheField>
    <cacheField name="Column CQ" numFmtId="0">
      <sharedItems count="1">
        <s v=""/>
      </sharedItems>
    </cacheField>
    <cacheField name="Column CR" numFmtId="0">
      <sharedItems count="1">
        <s v=""/>
      </sharedItems>
    </cacheField>
    <cacheField name="Column CS" numFmtId="0">
      <sharedItems count="1">
        <s v=""/>
      </sharedItems>
    </cacheField>
    <cacheField name="Column CT" numFmtId="0">
      <sharedItems count="1">
        <s v=""/>
      </sharedItems>
    </cacheField>
    <cacheField name="Column CU" numFmtId="0">
      <sharedItems count="1">
        <s v=""/>
      </sharedItems>
    </cacheField>
    <cacheField name="Column CV" numFmtId="0">
      <sharedItems count="1">
        <s v=""/>
      </sharedItems>
    </cacheField>
    <cacheField name="Column CW" numFmtId="0">
      <sharedItems count="1">
        <s v=""/>
      </sharedItems>
    </cacheField>
    <cacheField name="Column CX" numFmtId="0">
      <sharedItems count="1">
        <s v=""/>
      </sharedItems>
    </cacheField>
    <cacheField name="Column CY" numFmtId="0">
      <sharedItems count="1">
        <s v=""/>
      </sharedItems>
    </cacheField>
    <cacheField name="Column CZ" numFmtId="0">
      <sharedItems count="1">
        <s v=""/>
      </sharedItems>
    </cacheField>
    <cacheField name="Column DA" numFmtId="0">
      <sharedItems count="1">
        <s v=""/>
      </sharedItems>
    </cacheField>
    <cacheField name="Column DB" numFmtId="0">
      <sharedItems count="1">
        <s v=""/>
      </sharedItems>
    </cacheField>
    <cacheField name="Column DC" numFmtId="0">
      <sharedItems count="1">
        <s v=""/>
      </sharedItems>
    </cacheField>
    <cacheField name="Column DD" numFmtId="0">
      <sharedItems count="1">
        <s v=""/>
      </sharedItems>
    </cacheField>
    <cacheField name="Column DE" numFmtId="0">
      <sharedItems count="1">
        <s v=""/>
      </sharedItems>
    </cacheField>
    <cacheField name="Column DF" numFmtId="0">
      <sharedItems count="2">
        <s v=""/>
        <s v="Red"/>
      </sharedItems>
    </cacheField>
    <cacheField name="Column DG" numFmtId="0">
      <sharedItems count="1">
        <s v=""/>
      </sharedItems>
    </cacheField>
    <cacheField name="Column DH" numFmtId="0">
      <sharedItems count="1">
        <s v=""/>
      </sharedItems>
    </cacheField>
    <cacheField name="Column DI" numFmtId="0">
      <sharedItems count="1">
        <s v=""/>
      </sharedItems>
    </cacheField>
    <cacheField name="First Note" numFmtId="0">
      <sharedItems count="2">
        <s v=""/>
        <s v="01-01-22: init"/>
      </sharedItems>
    </cacheField>
    <cacheField name="Last Note" numFmtId="0">
      <sharedItems count="2">
        <s v=""/>
        <s v="01-01-22: init"/>
      </sharedItems>
    </cacheField>
    <cacheField name="Last Task" numFmtId="0">
      <sharedItems count="2">
        <s v=""/>
        <s v=". Task"/>
      </sharedItems>
    </cacheField>
    <cacheField name="First Note Date" numFmtId="0">
      <sharedItems containsDate="1" containsMixedTypes="1" minDate="2022-01-01T00:00:00" maxDate="2022-01-01T00:00:00" count="2">
        <d v="2022-01-01T00:00:00"/>
        <s v="none"/>
      </sharedItems>
    </cacheField>
    <cacheField name="Last Note Date" numFmtId="0">
      <sharedItems containsDate="1" containsMixedTypes="1" minDate="2022-01-01T00:00:00" maxDate="2022-01-01T00:00:00" count="2">
        <d v="2022-01-01T00:00:00"/>
        <s v="none"/>
      </sharedItems>
    </cacheField>
    <cacheField name="Created Date" numFmtId="0">
      <sharedItems containsSemiMixedTypes="0" containsNonDate="0" containsDate="1" containsString="0" minDate="1900-01-01T00:00:00" maxDate="2022-01-01T00:00:00" count="2">
        <d v="1900-01-01T00:00:00"/>
        <d v="2022-01-01T00:00:00"/>
      </sharedItems>
    </cacheField>
    <cacheField name="Updated Date" numFmtId="0">
      <sharedItems containsSemiMixedTypes="0" containsNonDate="0" containsDate="1" containsString="0" minDate="1900-01-01T00:00:00" maxDate="2022-01-01T00:00:00" count="2">
        <d v="1900-01-01T00:00:00"/>
        <d v="2022-01-01T00:00:00"/>
      </sharedItems>
    </cacheField>
    <cacheField name="Days since Creation" numFmtId="0">
      <sharedItems containsSemiMixedTypes="0" containsString="0" containsNumber="1" containsInteger="1" minValue="1757" maxValue="46317" count="2">
        <n v="1757"/>
        <n v="46317"/>
      </sharedItems>
    </cacheField>
    <cacheField name="Days since Update Date" numFmtId="0">
      <sharedItems containsSemiMixedTypes="0" containsString="0" containsNumber="1" containsInteger="1" minValue="1757" maxValue="46317" count="2">
        <n v="1757"/>
        <n v="46317"/>
      </sharedItems>
    </cacheField>
    <cacheField name="WK since Updated" numFmtId="0">
      <sharedItems containsSemiMixedTypes="0" containsString="0" containsNumber="1" containsInteger="1" minValue="251" maxValue="6616" count="2">
        <n v="251"/>
        <n v="6616"/>
      </sharedItems>
    </cacheField>
    <cacheField name="Days Overdue" numFmtId="0">
      <sharedItems containsSemiMixedTypes="0" containsString="0" containsNumber="1" containsInteger="1" minValue="0" maxValue="297" count="2">
        <n v="0"/>
        <n v="297"/>
      </sharedItems>
    </cacheField>
    <cacheField name="Days to End Date" numFmtId="0">
      <sharedItems containsSemiMixedTypes="0" containsString="0" containsNumber="1" containsInteger="1" minValue="-297" maxValue="0" count="2">
        <n v="-297"/>
        <n v="0"/>
      </sharedItems>
    </cacheField>
    <cacheField name="Run / Chg" numFmtId="0">
      <sharedItems count="3">
        <s v=""/>
        <s v="Chg"/>
        <s v="Run"/>
      </sharedItems>
    </cacheField>
    <cacheField name="Color" numFmtId="0">
      <sharedItems count="5">
        <s v=""/>
        <s v="Black"/>
        <s v="LightRed"/>
        <s v="Red"/>
        <s v="SoftRed"/>
      </sharedItems>
    </cacheField>
    <cacheField name="Dynamic Gannt Chart Start" numFmtId="0">
      <sharedItems containsSemiMixedTypes="0" containsNonDate="0" containsDate="1" containsString="0" minDate="2025-01-01T00:00:00" maxDate="2025-01-01T00:00:00" count="1">
        <d v="2025-01-01T00:00:00"/>
      </sharedItems>
    </cacheField>
    <cacheField name="Dynamic Cantt Chart End" numFmtId="0">
      <sharedItems containsSemiMixedTypes="0" containsNonDate="0" containsDate="1" containsString="0" minDate="2025-12-31T00:00:00" maxDate="2026-12-31T00:00:00" count="2">
        <d v="2025-12-31T00:00:00"/>
        <d v="2026-12-31T00:00:00"/>
      </sharedItems>
    </cacheField>
    <cacheField name="Z" numFmtId="0">
      <sharedItems count="1">
        <s v="x"/>
      </sharedItems>
    </cacheField>
  </cacheFields>
</pivotCacheDefinition>
</file>

<file path=xl/pivotCache/pivotCacheRecords1.xml><?xml version="1.0" encoding="utf-8"?>
<pivotCacheRecords xmlns="http://schemas.openxmlformats.org/spreadsheetml/2006/main" xmlns:r="http://schemas.openxmlformats.org/officeDocument/2006/relationships" count="35">
  <r>
    <x v="0"/>
    <x v="5"/>
    <x v="0"/>
    <x v="0"/>
    <x v="7"/>
    <x v="0"/>
    <x v="6"/>
    <x v="0"/>
    <x v="0"/>
    <x v="0"/>
    <x v="0"/>
    <x v="0"/>
    <x v="0"/>
    <x v="3"/>
    <x v="1"/>
    <x v="1"/>
    <x v="1"/>
    <x v="1"/>
    <x v="1"/>
    <x v="1"/>
    <x v="0"/>
    <x v="0"/>
    <x v="0"/>
    <x v="0"/>
    <x v="0"/>
    <x v="0"/>
    <x v="0"/>
    <x v="0"/>
    <x v="7"/>
    <x v="0"/>
    <x v="0"/>
    <x v="0"/>
    <x v="0"/>
    <x v="0"/>
    <x v="4"/>
    <x v="6"/>
    <x v="0"/>
    <x v="0"/>
    <x v="0"/>
    <x v="0"/>
    <x v="0"/>
    <x v="3"/>
    <x v="3"/>
    <x v="0"/>
    <x v="0"/>
    <x v="5"/>
    <x v="3"/>
    <x v="2"/>
    <x v="0"/>
    <x v="0"/>
    <x v="0"/>
    <x v="0"/>
    <x v="0"/>
    <x v="0"/>
    <x v="0"/>
    <x v="0"/>
    <x v="1"/>
    <x v="0"/>
    <x v="0"/>
    <x v="0"/>
    <x v="0"/>
    <x v="0"/>
    <x v="0"/>
    <x v="0"/>
    <x v="0"/>
    <x v="0"/>
    <x v="0"/>
    <x v="0"/>
    <x v="0"/>
    <x v="0"/>
    <x v="0"/>
    <x v="0"/>
    <x v="0"/>
    <x v="0"/>
    <x v="0"/>
    <x v="0"/>
    <x v="0"/>
    <x v="0"/>
    <x v="0"/>
    <x v="0"/>
    <x v="0"/>
    <x v="0"/>
    <x v="0"/>
    <x v="0"/>
    <x v="0"/>
    <x v="0"/>
    <x v="0"/>
    <x v="0"/>
    <x v="0"/>
    <x v="0"/>
    <x v="0"/>
    <x v="0"/>
    <x v="0"/>
    <x v="0"/>
    <x v="0"/>
    <x v="0"/>
    <x v="0"/>
    <x v="0"/>
    <x v="0"/>
    <x v="0"/>
    <x v="0"/>
    <x v="0"/>
    <x v="0"/>
    <x v="0"/>
    <x v="0"/>
    <x v="0"/>
    <x v="0"/>
    <x v="0"/>
    <x v="0"/>
    <x v="1"/>
    <x v="0"/>
    <x v="0"/>
    <x v="0"/>
    <x v="1"/>
    <x v="1"/>
    <x v="1"/>
    <x v="0"/>
    <x v="0"/>
    <x v="1"/>
    <x v="1"/>
    <x v="0"/>
    <x v="0"/>
    <x v="0"/>
    <x v="0"/>
    <x v="1"/>
    <x v="2"/>
    <x v="3"/>
    <x v="0"/>
    <x v="0"/>
    <x v="0"/>
  </r>
  <r>
    <x v="0"/>
    <x v="2"/>
    <x v="1"/>
    <x v="1"/>
    <x v="2"/>
    <x v="0"/>
    <x v="6"/>
    <x v="0"/>
    <x v="5"/>
    <x v="0"/>
    <x v="2"/>
    <x v="0"/>
    <x v="0"/>
    <x v="1"/>
    <x v="0"/>
    <x v="0"/>
    <x v="0"/>
    <x v="0"/>
    <x v="0"/>
    <x v="0"/>
    <x v="0"/>
    <x v="0"/>
    <x v="0"/>
    <x v="0"/>
    <x v="0"/>
    <x v="0"/>
    <x v="0"/>
    <x v="0"/>
    <x v="2"/>
    <x v="1"/>
    <x v="0"/>
    <x v="0"/>
    <x v="0"/>
    <x v="0"/>
    <x v="1"/>
    <x v="2"/>
    <x v="4"/>
    <x v="0"/>
    <x v="0"/>
    <x v="0"/>
    <x v="0"/>
    <x v="3"/>
    <x v="3"/>
    <x v="1"/>
    <x v="1"/>
    <x v="5"/>
    <x v="3"/>
    <x v="2"/>
    <x v="0"/>
    <x v="0"/>
    <x v="0"/>
    <x v="0"/>
    <x v="0"/>
    <x v="0"/>
    <x v="1"/>
    <x v="1"/>
    <x v="0"/>
    <x v="1"/>
    <x v="0"/>
    <x v="0"/>
    <x v="0"/>
    <x v="1"/>
    <x v="1"/>
    <x v="1"/>
    <x v="1"/>
    <x v="1"/>
    <x v="1"/>
    <x v="1"/>
    <x v="1"/>
    <x v="1"/>
    <x v="1"/>
    <x v="1"/>
    <x v="1"/>
    <x v="1"/>
    <x v="1"/>
    <x v="1"/>
    <x v="1"/>
    <x v="1"/>
    <x v="1"/>
    <x v="1"/>
    <x v="1"/>
    <x v="1"/>
    <x v="1"/>
    <x v="1"/>
    <x v="1"/>
    <x v="1"/>
    <x v="1"/>
    <x v="1"/>
    <x v="0"/>
    <x v="0"/>
    <x v="0"/>
    <x v="0"/>
    <x v="0"/>
    <x v="0"/>
    <x v="0"/>
    <x v="0"/>
    <x v="0"/>
    <x v="0"/>
    <x v="0"/>
    <x v="0"/>
    <x v="0"/>
    <x v="0"/>
    <x v="0"/>
    <x v="0"/>
    <x v="0"/>
    <x v="0"/>
    <x v="0"/>
    <x v="0"/>
    <x v="0"/>
    <x v="0"/>
    <x v="0"/>
    <x v="0"/>
    <x v="0"/>
    <x v="0"/>
    <x v="0"/>
    <x v="0"/>
    <x v="1"/>
    <x v="1"/>
    <x v="0"/>
    <x v="0"/>
    <x v="1"/>
    <x v="1"/>
    <x v="1"/>
    <x v="0"/>
    <x v="1"/>
    <x v="1"/>
    <x v="1"/>
    <x v="0"/>
    <x v="0"/>
    <x v="0"/>
  </r>
  <r>
    <x v="0"/>
    <x v="3"/>
    <x v="2"/>
    <x v="1"/>
    <x v="5"/>
    <x v="1"/>
    <x v="1"/>
    <x v="0"/>
    <x v="5"/>
    <x v="0"/>
    <x v="2"/>
    <x v="0"/>
    <x v="0"/>
    <x v="2"/>
    <x v="0"/>
    <x v="0"/>
    <x v="0"/>
    <x v="0"/>
    <x v="0"/>
    <x v="0"/>
    <x v="0"/>
    <x v="0"/>
    <x v="0"/>
    <x v="0"/>
    <x v="0"/>
    <x v="0"/>
    <x v="0"/>
    <x v="0"/>
    <x v="5"/>
    <x v="2"/>
    <x v="0"/>
    <x v="0"/>
    <x v="0"/>
    <x v="0"/>
    <x v="2"/>
    <x v="5"/>
    <x v="2"/>
    <x v="0"/>
    <x v="0"/>
    <x v="0"/>
    <x v="0"/>
    <x v="3"/>
    <x v="3"/>
    <x v="0"/>
    <x v="0"/>
    <x v="0"/>
    <x v="2"/>
    <x v="1"/>
    <x v="0"/>
    <x v="0"/>
    <x v="0"/>
    <x v="0"/>
    <x v="0"/>
    <x v="0"/>
    <x v="0"/>
    <x v="1"/>
    <x v="0"/>
    <x v="1"/>
    <x v="0"/>
    <x v="0"/>
    <x v="0"/>
    <x v="3"/>
    <x v="3"/>
    <x v="3"/>
    <x v="3"/>
    <x v="3"/>
    <x v="3"/>
    <x v="3"/>
    <x v="3"/>
    <x v="3"/>
    <x v="3"/>
    <x v="3"/>
    <x v="3"/>
    <x v="3"/>
    <x v="3"/>
    <x v="3"/>
    <x v="3"/>
    <x v="3"/>
    <x v="3"/>
    <x v="3"/>
    <x v="3"/>
    <x v="3"/>
    <x v="3"/>
    <x v="3"/>
    <x v="3"/>
    <x v="3"/>
    <x v="3"/>
    <x v="3"/>
    <x v="0"/>
    <x v="0"/>
    <x v="0"/>
    <x v="0"/>
    <x v="0"/>
    <x v="0"/>
    <x v="0"/>
    <x v="0"/>
    <x v="0"/>
    <x v="0"/>
    <x v="0"/>
    <x v="0"/>
    <x v="0"/>
    <x v="0"/>
    <x v="0"/>
    <x v="0"/>
    <x v="0"/>
    <x v="0"/>
    <x v="0"/>
    <x v="0"/>
    <x v="0"/>
    <x v="0"/>
    <x v="0"/>
    <x v="0"/>
    <x v="0"/>
    <x v="1"/>
    <x v="1"/>
    <x v="0"/>
    <x v="0"/>
    <x v="0"/>
    <x v="1"/>
    <x v="1"/>
    <x v="0"/>
    <x v="0"/>
    <x v="0"/>
    <x v="1"/>
    <x v="0"/>
    <x v="1"/>
    <x v="3"/>
    <x v="0"/>
    <x v="0"/>
    <x v="0"/>
  </r>
  <r>
    <x v="0"/>
    <x v="4"/>
    <x v="3"/>
    <x v="1"/>
    <x v="6"/>
    <x v="1"/>
    <x v="4"/>
    <x v="1"/>
    <x v="2"/>
    <x v="0"/>
    <x v="2"/>
    <x v="0"/>
    <x v="0"/>
    <x v="2"/>
    <x v="0"/>
    <x v="0"/>
    <x v="0"/>
    <x v="0"/>
    <x v="0"/>
    <x v="0"/>
    <x v="0"/>
    <x v="0"/>
    <x v="0"/>
    <x v="0"/>
    <x v="0"/>
    <x v="0"/>
    <x v="0"/>
    <x v="0"/>
    <x v="6"/>
    <x v="3"/>
    <x v="0"/>
    <x v="0"/>
    <x v="0"/>
    <x v="0"/>
    <x v="3"/>
    <x v="1"/>
    <x v="3"/>
    <x v="0"/>
    <x v="0"/>
    <x v="0"/>
    <x v="0"/>
    <x v="3"/>
    <x v="3"/>
    <x v="0"/>
    <x v="0"/>
    <x v="3"/>
    <x v="2"/>
    <x v="1"/>
    <x v="0"/>
    <x v="0"/>
    <x v="0"/>
    <x v="0"/>
    <x v="0"/>
    <x v="0"/>
    <x v="0"/>
    <x v="1"/>
    <x v="0"/>
    <x v="1"/>
    <x v="0"/>
    <x v="0"/>
    <x v="0"/>
    <x v="2"/>
    <x v="2"/>
    <x v="2"/>
    <x v="2"/>
    <x v="2"/>
    <x v="2"/>
    <x v="2"/>
    <x v="2"/>
    <x v="2"/>
    <x v="2"/>
    <x v="2"/>
    <x v="2"/>
    <x v="2"/>
    <x v="2"/>
    <x v="2"/>
    <x v="2"/>
    <x v="2"/>
    <x v="2"/>
    <x v="2"/>
    <x v="2"/>
    <x v="2"/>
    <x v="2"/>
    <x v="2"/>
    <x v="2"/>
    <x v="2"/>
    <x v="2"/>
    <x v="2"/>
    <x v="0"/>
    <x v="0"/>
    <x v="0"/>
    <x v="0"/>
    <x v="0"/>
    <x v="0"/>
    <x v="0"/>
    <x v="0"/>
    <x v="0"/>
    <x v="0"/>
    <x v="0"/>
    <x v="0"/>
    <x v="0"/>
    <x v="0"/>
    <x v="0"/>
    <x v="0"/>
    <x v="0"/>
    <x v="0"/>
    <x v="0"/>
    <x v="0"/>
    <x v="0"/>
    <x v="0"/>
    <x v="0"/>
    <x v="0"/>
    <x v="0"/>
    <x v="1"/>
    <x v="1"/>
    <x v="0"/>
    <x v="0"/>
    <x v="0"/>
    <x v="1"/>
    <x v="1"/>
    <x v="0"/>
    <x v="0"/>
    <x v="0"/>
    <x v="1"/>
    <x v="1"/>
    <x v="1"/>
    <x v="2"/>
    <x v="0"/>
    <x v="0"/>
    <x v="0"/>
  </r>
  <r>
    <x v="0"/>
    <x v="1"/>
    <x v="4"/>
    <x v="1"/>
    <x v="1"/>
    <x v="1"/>
    <x v="5"/>
    <x v="1"/>
    <x v="4"/>
    <x v="1"/>
    <x v="1"/>
    <x v="0"/>
    <x v="0"/>
    <x v="2"/>
    <x v="0"/>
    <x v="0"/>
    <x v="0"/>
    <x v="0"/>
    <x v="0"/>
    <x v="0"/>
    <x v="0"/>
    <x v="0"/>
    <x v="0"/>
    <x v="0"/>
    <x v="0"/>
    <x v="0"/>
    <x v="0"/>
    <x v="0"/>
    <x v="1"/>
    <x v="4"/>
    <x v="0"/>
    <x v="0"/>
    <x v="0"/>
    <x v="0"/>
    <x v="0"/>
    <x v="0"/>
    <x v="1"/>
    <x v="0"/>
    <x v="0"/>
    <x v="0"/>
    <x v="0"/>
    <x v="3"/>
    <x v="3"/>
    <x v="0"/>
    <x v="0"/>
    <x v="4"/>
    <x v="2"/>
    <x v="1"/>
    <x v="0"/>
    <x v="0"/>
    <x v="0"/>
    <x v="0"/>
    <x v="0"/>
    <x v="0"/>
    <x v="0"/>
    <x v="1"/>
    <x v="0"/>
    <x v="1"/>
    <x v="0"/>
    <x v="0"/>
    <x v="0"/>
    <x v="4"/>
    <x v="4"/>
    <x v="4"/>
    <x v="4"/>
    <x v="4"/>
    <x v="4"/>
    <x v="4"/>
    <x v="4"/>
    <x v="4"/>
    <x v="4"/>
    <x v="4"/>
    <x v="4"/>
    <x v="4"/>
    <x v="4"/>
    <x v="4"/>
    <x v="4"/>
    <x v="4"/>
    <x v="4"/>
    <x v="4"/>
    <x v="4"/>
    <x v="4"/>
    <x v="4"/>
    <x v="4"/>
    <x v="4"/>
    <x v="4"/>
    <x v="4"/>
    <x v="4"/>
    <x v="0"/>
    <x v="0"/>
    <x v="0"/>
    <x v="0"/>
    <x v="0"/>
    <x v="0"/>
    <x v="0"/>
    <x v="0"/>
    <x v="0"/>
    <x v="0"/>
    <x v="0"/>
    <x v="0"/>
    <x v="0"/>
    <x v="0"/>
    <x v="0"/>
    <x v="0"/>
    <x v="0"/>
    <x v="0"/>
    <x v="0"/>
    <x v="0"/>
    <x v="0"/>
    <x v="0"/>
    <x v="0"/>
    <x v="0"/>
    <x v="0"/>
    <x v="1"/>
    <x v="1"/>
    <x v="0"/>
    <x v="0"/>
    <x v="0"/>
    <x v="1"/>
    <x v="1"/>
    <x v="0"/>
    <x v="0"/>
    <x v="0"/>
    <x v="1"/>
    <x v="1"/>
    <x v="1"/>
    <x v="4"/>
    <x v="0"/>
    <x v="0"/>
    <x v="0"/>
  </r>
  <r>
    <x v="0"/>
    <x v="2"/>
    <x v="1"/>
    <x v="1"/>
    <x v="3"/>
    <x v="0"/>
    <x v="6"/>
    <x v="0"/>
    <x v="5"/>
    <x v="0"/>
    <x v="2"/>
    <x v="0"/>
    <x v="0"/>
    <x v="1"/>
    <x v="0"/>
    <x v="0"/>
    <x v="0"/>
    <x v="0"/>
    <x v="0"/>
    <x v="0"/>
    <x v="0"/>
    <x v="0"/>
    <x v="0"/>
    <x v="0"/>
    <x v="0"/>
    <x v="0"/>
    <x v="0"/>
    <x v="0"/>
    <x v="3"/>
    <x v="5"/>
    <x v="0"/>
    <x v="0"/>
    <x v="0"/>
    <x v="0"/>
    <x v="1"/>
    <x v="3"/>
    <x v="4"/>
    <x v="0"/>
    <x v="0"/>
    <x v="0"/>
    <x v="0"/>
    <x v="3"/>
    <x v="3"/>
    <x v="1"/>
    <x v="1"/>
    <x v="5"/>
    <x v="1"/>
    <x v="2"/>
    <x v="0"/>
    <x v="0"/>
    <x v="0"/>
    <x v="0"/>
    <x v="0"/>
    <x v="0"/>
    <x v="1"/>
    <x v="1"/>
    <x v="0"/>
    <x v="1"/>
    <x v="0"/>
    <x v="0"/>
    <x v="0"/>
    <x v="1"/>
    <x v="1"/>
    <x v="1"/>
    <x v="1"/>
    <x v="1"/>
    <x v="1"/>
    <x v="1"/>
    <x v="1"/>
    <x v="1"/>
    <x v="1"/>
    <x v="1"/>
    <x v="1"/>
    <x v="1"/>
    <x v="1"/>
    <x v="1"/>
    <x v="1"/>
    <x v="1"/>
    <x v="1"/>
    <x v="1"/>
    <x v="1"/>
    <x v="1"/>
    <x v="1"/>
    <x v="1"/>
    <x v="1"/>
    <x v="1"/>
    <x v="1"/>
    <x v="1"/>
    <x v="0"/>
    <x v="0"/>
    <x v="0"/>
    <x v="0"/>
    <x v="0"/>
    <x v="0"/>
    <x v="0"/>
    <x v="0"/>
    <x v="0"/>
    <x v="0"/>
    <x v="0"/>
    <x v="0"/>
    <x v="0"/>
    <x v="0"/>
    <x v="0"/>
    <x v="0"/>
    <x v="0"/>
    <x v="0"/>
    <x v="0"/>
    <x v="0"/>
    <x v="0"/>
    <x v="0"/>
    <x v="0"/>
    <x v="0"/>
    <x v="0"/>
    <x v="0"/>
    <x v="0"/>
    <x v="0"/>
    <x v="1"/>
    <x v="1"/>
    <x v="0"/>
    <x v="0"/>
    <x v="1"/>
    <x v="1"/>
    <x v="1"/>
    <x v="0"/>
    <x v="1"/>
    <x v="1"/>
    <x v="1"/>
    <x v="0"/>
    <x v="0"/>
    <x v="0"/>
  </r>
  <r>
    <x v="0"/>
    <x v="3"/>
    <x v="2"/>
    <x v="1"/>
    <x v="4"/>
    <x v="1"/>
    <x v="2"/>
    <x v="0"/>
    <x v="5"/>
    <x v="0"/>
    <x v="2"/>
    <x v="0"/>
    <x v="0"/>
    <x v="2"/>
    <x v="0"/>
    <x v="0"/>
    <x v="0"/>
    <x v="0"/>
    <x v="0"/>
    <x v="0"/>
    <x v="0"/>
    <x v="0"/>
    <x v="1"/>
    <x v="0"/>
    <x v="0"/>
    <x v="0"/>
    <x v="1"/>
    <x v="0"/>
    <x v="4"/>
    <x v="6"/>
    <x v="0"/>
    <x v="0"/>
    <x v="0"/>
    <x v="0"/>
    <x v="2"/>
    <x v="4"/>
    <x v="2"/>
    <x v="0"/>
    <x v="0"/>
    <x v="0"/>
    <x v="0"/>
    <x v="0"/>
    <x v="0"/>
    <x v="0"/>
    <x v="0"/>
    <x v="1"/>
    <x v="0"/>
    <x v="0"/>
    <x v="0"/>
    <x v="0"/>
    <x v="0"/>
    <x v="0"/>
    <x v="0"/>
    <x v="0"/>
    <x v="0"/>
    <x v="1"/>
    <x v="0"/>
    <x v="1"/>
    <x v="2"/>
    <x v="2"/>
    <x v="1"/>
    <x v="3"/>
    <x v="3"/>
    <x v="3"/>
    <x v="3"/>
    <x v="3"/>
    <x v="3"/>
    <x v="3"/>
    <x v="3"/>
    <x v="3"/>
    <x v="3"/>
    <x v="3"/>
    <x v="3"/>
    <x v="3"/>
    <x v="3"/>
    <x v="3"/>
    <x v="3"/>
    <x v="3"/>
    <x v="3"/>
    <x v="3"/>
    <x v="3"/>
    <x v="3"/>
    <x v="3"/>
    <x v="3"/>
    <x v="3"/>
    <x v="3"/>
    <x v="3"/>
    <x v="3"/>
    <x v="0"/>
    <x v="0"/>
    <x v="0"/>
    <x v="0"/>
    <x v="0"/>
    <x v="0"/>
    <x v="0"/>
    <x v="0"/>
    <x v="0"/>
    <x v="0"/>
    <x v="0"/>
    <x v="0"/>
    <x v="0"/>
    <x v="0"/>
    <x v="0"/>
    <x v="0"/>
    <x v="0"/>
    <x v="0"/>
    <x v="0"/>
    <x v="0"/>
    <x v="0"/>
    <x v="0"/>
    <x v="0"/>
    <x v="0"/>
    <x v="0"/>
    <x v="1"/>
    <x v="1"/>
    <x v="0"/>
    <x v="0"/>
    <x v="0"/>
    <x v="1"/>
    <x v="1"/>
    <x v="0"/>
    <x v="0"/>
    <x v="0"/>
    <x v="1"/>
    <x v="0"/>
    <x v="1"/>
    <x v="3"/>
    <x v="0"/>
    <x v="0"/>
    <x v="0"/>
  </r>
  <r>
    <x v="0"/>
    <x v="4"/>
    <x v="3"/>
    <x v="1"/>
    <x v="6"/>
    <x v="1"/>
    <x v="3"/>
    <x v="1"/>
    <x v="3"/>
    <x v="0"/>
    <x v="2"/>
    <x v="0"/>
    <x v="0"/>
    <x v="2"/>
    <x v="0"/>
    <x v="0"/>
    <x v="0"/>
    <x v="0"/>
    <x v="0"/>
    <x v="0"/>
    <x v="0"/>
    <x v="1"/>
    <x v="0"/>
    <x v="0"/>
    <x v="0"/>
    <x v="1"/>
    <x v="0"/>
    <x v="0"/>
    <x v="6"/>
    <x v="7"/>
    <x v="0"/>
    <x v="0"/>
    <x v="0"/>
    <x v="0"/>
    <x v="3"/>
    <x v="1"/>
    <x v="3"/>
    <x v="0"/>
    <x v="0"/>
    <x v="0"/>
    <x v="0"/>
    <x v="1"/>
    <x v="1"/>
    <x v="0"/>
    <x v="0"/>
    <x v="2"/>
    <x v="2"/>
    <x v="1"/>
    <x v="0"/>
    <x v="0"/>
    <x v="0"/>
    <x v="0"/>
    <x v="0"/>
    <x v="0"/>
    <x v="0"/>
    <x v="1"/>
    <x v="0"/>
    <x v="1"/>
    <x v="1"/>
    <x v="1"/>
    <x v="2"/>
    <x v="2"/>
    <x v="2"/>
    <x v="2"/>
    <x v="2"/>
    <x v="2"/>
    <x v="2"/>
    <x v="2"/>
    <x v="2"/>
    <x v="2"/>
    <x v="2"/>
    <x v="2"/>
    <x v="2"/>
    <x v="2"/>
    <x v="2"/>
    <x v="2"/>
    <x v="2"/>
    <x v="2"/>
    <x v="2"/>
    <x v="2"/>
    <x v="2"/>
    <x v="2"/>
    <x v="2"/>
    <x v="2"/>
    <x v="2"/>
    <x v="2"/>
    <x v="2"/>
    <x v="2"/>
    <x v="0"/>
    <x v="0"/>
    <x v="0"/>
    <x v="0"/>
    <x v="0"/>
    <x v="0"/>
    <x v="0"/>
    <x v="0"/>
    <x v="0"/>
    <x v="0"/>
    <x v="0"/>
    <x v="0"/>
    <x v="0"/>
    <x v="0"/>
    <x v="0"/>
    <x v="0"/>
    <x v="0"/>
    <x v="0"/>
    <x v="0"/>
    <x v="0"/>
    <x v="0"/>
    <x v="0"/>
    <x v="0"/>
    <x v="0"/>
    <x v="0"/>
    <x v="1"/>
    <x v="1"/>
    <x v="0"/>
    <x v="0"/>
    <x v="0"/>
    <x v="1"/>
    <x v="1"/>
    <x v="0"/>
    <x v="0"/>
    <x v="0"/>
    <x v="1"/>
    <x v="1"/>
    <x v="1"/>
    <x v="2"/>
    <x v="0"/>
    <x v="0"/>
    <x v="0"/>
  </r>
  <r>
    <x v="0"/>
    <x v="1"/>
    <x v="4"/>
    <x v="1"/>
    <x v="1"/>
    <x v="1"/>
    <x v="3"/>
    <x v="1"/>
    <x v="3"/>
    <x v="0"/>
    <x v="2"/>
    <x v="0"/>
    <x v="0"/>
    <x v="2"/>
    <x v="0"/>
    <x v="0"/>
    <x v="0"/>
    <x v="0"/>
    <x v="0"/>
    <x v="0"/>
    <x v="1"/>
    <x v="0"/>
    <x v="0"/>
    <x v="0"/>
    <x v="1"/>
    <x v="0"/>
    <x v="0"/>
    <x v="0"/>
    <x v="1"/>
    <x v="8"/>
    <x v="0"/>
    <x v="0"/>
    <x v="0"/>
    <x v="0"/>
    <x v="0"/>
    <x v="0"/>
    <x v="1"/>
    <x v="0"/>
    <x v="0"/>
    <x v="0"/>
    <x v="0"/>
    <x v="2"/>
    <x v="2"/>
    <x v="0"/>
    <x v="0"/>
    <x v="2"/>
    <x v="2"/>
    <x v="1"/>
    <x v="0"/>
    <x v="0"/>
    <x v="0"/>
    <x v="0"/>
    <x v="0"/>
    <x v="0"/>
    <x v="0"/>
    <x v="1"/>
    <x v="0"/>
    <x v="1"/>
    <x v="2"/>
    <x v="3"/>
    <x v="3"/>
    <x v="4"/>
    <x v="4"/>
    <x v="4"/>
    <x v="4"/>
    <x v="4"/>
    <x v="4"/>
    <x v="4"/>
    <x v="4"/>
    <x v="4"/>
    <x v="4"/>
    <x v="4"/>
    <x v="4"/>
    <x v="4"/>
    <x v="4"/>
    <x v="4"/>
    <x v="4"/>
    <x v="4"/>
    <x v="4"/>
    <x v="4"/>
    <x v="4"/>
    <x v="4"/>
    <x v="4"/>
    <x v="4"/>
    <x v="4"/>
    <x v="4"/>
    <x v="4"/>
    <x v="4"/>
    <x v="0"/>
    <x v="0"/>
    <x v="0"/>
    <x v="0"/>
    <x v="0"/>
    <x v="0"/>
    <x v="0"/>
    <x v="0"/>
    <x v="0"/>
    <x v="0"/>
    <x v="0"/>
    <x v="0"/>
    <x v="0"/>
    <x v="0"/>
    <x v="0"/>
    <x v="0"/>
    <x v="0"/>
    <x v="0"/>
    <x v="0"/>
    <x v="0"/>
    <x v="0"/>
    <x v="0"/>
    <x v="0"/>
    <x v="0"/>
    <x v="0"/>
    <x v="1"/>
    <x v="1"/>
    <x v="0"/>
    <x v="0"/>
    <x v="0"/>
    <x v="1"/>
    <x v="1"/>
    <x v="0"/>
    <x v="0"/>
    <x v="0"/>
    <x v="1"/>
    <x v="1"/>
    <x v="1"/>
    <x v="4"/>
    <x v="0"/>
    <x v="0"/>
    <x v="0"/>
  </r>
  <r>
    <x v="0"/>
    <x v="0"/>
    <x v="5"/>
    <x v="0"/>
    <x v="0"/>
    <x v="0"/>
    <x v="0"/>
    <x v="0"/>
    <x v="1"/>
    <x v="0"/>
    <x v="0"/>
    <x v="0"/>
    <x v="0"/>
    <x v="0"/>
    <x v="0"/>
    <x v="0"/>
    <x v="0"/>
    <x v="0"/>
    <x v="0"/>
    <x v="0"/>
    <x v="0"/>
    <x v="0"/>
    <x v="0"/>
    <x v="0"/>
    <x v="0"/>
    <x v="0"/>
    <x v="0"/>
    <x v="0"/>
    <x v="0"/>
    <x v="9"/>
    <x v="0"/>
    <x v="0"/>
    <x v="0"/>
    <x v="0"/>
    <x v="5"/>
    <x v="7"/>
    <x v="4"/>
    <x v="1"/>
    <x v="1"/>
    <x v="0"/>
    <x v="0"/>
    <x v="3"/>
    <x v="3"/>
    <x v="1"/>
    <x v="1"/>
    <x v="6"/>
    <x v="3"/>
    <x v="2"/>
    <x v="0"/>
    <x v="0"/>
    <x v="0"/>
    <x v="0"/>
    <x v="0"/>
    <x v="0"/>
    <x v="1"/>
    <x v="1"/>
    <x v="0"/>
    <x v="1"/>
    <x v="3"/>
    <x v="4"/>
    <x v="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0"/>
    <x v="1"/>
    <x v="1"/>
    <x v="1"/>
    <x v="0"/>
    <x v="1"/>
    <x v="0"/>
    <x v="0"/>
    <x v="0"/>
    <x v="1"/>
    <x v="0"/>
  </r>
  <r>
    <x v="0"/>
    <x v="0"/>
    <x v="5"/>
    <x v="0"/>
    <x v="0"/>
    <x v="0"/>
    <x v="0"/>
    <x v="0"/>
    <x v="1"/>
    <x v="0"/>
    <x v="0"/>
    <x v="0"/>
    <x v="0"/>
    <x v="0"/>
    <x v="0"/>
    <x v="0"/>
    <x v="0"/>
    <x v="0"/>
    <x v="0"/>
    <x v="0"/>
    <x v="0"/>
    <x v="0"/>
    <x v="0"/>
    <x v="0"/>
    <x v="0"/>
    <x v="0"/>
    <x v="0"/>
    <x v="0"/>
    <x v="0"/>
    <x v="9"/>
    <x v="0"/>
    <x v="0"/>
    <x v="0"/>
    <x v="0"/>
    <x v="5"/>
    <x v="7"/>
    <x v="4"/>
    <x v="1"/>
    <x v="1"/>
    <x v="0"/>
    <x v="0"/>
    <x v="3"/>
    <x v="3"/>
    <x v="1"/>
    <x v="1"/>
    <x v="6"/>
    <x v="3"/>
    <x v="2"/>
    <x v="0"/>
    <x v="0"/>
    <x v="0"/>
    <x v="0"/>
    <x v="0"/>
    <x v="0"/>
    <x v="1"/>
    <x v="1"/>
    <x v="0"/>
    <x v="1"/>
    <x v="3"/>
    <x v="4"/>
    <x v="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0"/>
    <x v="1"/>
    <x v="1"/>
    <x v="1"/>
    <x v="0"/>
    <x v="1"/>
    <x v="0"/>
    <x v="0"/>
    <x v="0"/>
    <x v="1"/>
    <x v="0"/>
  </r>
  <r>
    <x v="0"/>
    <x v="0"/>
    <x v="5"/>
    <x v="0"/>
    <x v="0"/>
    <x v="0"/>
    <x v="0"/>
    <x v="0"/>
    <x v="1"/>
    <x v="0"/>
    <x v="0"/>
    <x v="0"/>
    <x v="0"/>
    <x v="0"/>
    <x v="0"/>
    <x v="0"/>
    <x v="0"/>
    <x v="0"/>
    <x v="0"/>
    <x v="0"/>
    <x v="0"/>
    <x v="0"/>
    <x v="0"/>
    <x v="0"/>
    <x v="0"/>
    <x v="0"/>
    <x v="0"/>
    <x v="0"/>
    <x v="0"/>
    <x v="9"/>
    <x v="0"/>
    <x v="0"/>
    <x v="0"/>
    <x v="0"/>
    <x v="5"/>
    <x v="7"/>
    <x v="4"/>
    <x v="1"/>
    <x v="1"/>
    <x v="0"/>
    <x v="0"/>
    <x v="3"/>
    <x v="3"/>
    <x v="1"/>
    <x v="1"/>
    <x v="6"/>
    <x v="3"/>
    <x v="2"/>
    <x v="0"/>
    <x v="0"/>
    <x v="0"/>
    <x v="0"/>
    <x v="0"/>
    <x v="0"/>
    <x v="1"/>
    <x v="1"/>
    <x v="0"/>
    <x v="1"/>
    <x v="3"/>
    <x v="4"/>
    <x v="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0"/>
    <x v="1"/>
    <x v="1"/>
    <x v="1"/>
    <x v="0"/>
    <x v="1"/>
    <x v="0"/>
    <x v="0"/>
    <x v="0"/>
    <x v="1"/>
    <x v="0"/>
  </r>
  <r>
    <x v="0"/>
    <x v="0"/>
    <x v="5"/>
    <x v="0"/>
    <x v="0"/>
    <x v="0"/>
    <x v="0"/>
    <x v="0"/>
    <x v="1"/>
    <x v="0"/>
    <x v="0"/>
    <x v="0"/>
    <x v="0"/>
    <x v="0"/>
    <x v="0"/>
    <x v="0"/>
    <x v="0"/>
    <x v="0"/>
    <x v="0"/>
    <x v="0"/>
    <x v="0"/>
    <x v="0"/>
    <x v="0"/>
    <x v="0"/>
    <x v="0"/>
    <x v="0"/>
    <x v="0"/>
    <x v="0"/>
    <x v="0"/>
    <x v="9"/>
    <x v="0"/>
    <x v="0"/>
    <x v="0"/>
    <x v="0"/>
    <x v="5"/>
    <x v="7"/>
    <x v="4"/>
    <x v="1"/>
    <x v="1"/>
    <x v="0"/>
    <x v="0"/>
    <x v="3"/>
    <x v="3"/>
    <x v="1"/>
    <x v="1"/>
    <x v="6"/>
    <x v="3"/>
    <x v="2"/>
    <x v="0"/>
    <x v="0"/>
    <x v="0"/>
    <x v="0"/>
    <x v="0"/>
    <x v="0"/>
    <x v="1"/>
    <x v="1"/>
    <x v="0"/>
    <x v="1"/>
    <x v="3"/>
    <x v="4"/>
    <x v="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0"/>
    <x v="1"/>
    <x v="1"/>
    <x v="1"/>
    <x v="0"/>
    <x v="1"/>
    <x v="0"/>
    <x v="0"/>
    <x v="0"/>
    <x v="1"/>
    <x v="0"/>
  </r>
  <r>
    <x v="0"/>
    <x v="0"/>
    <x v="5"/>
    <x v="0"/>
    <x v="0"/>
    <x v="0"/>
    <x v="0"/>
    <x v="0"/>
    <x v="1"/>
    <x v="0"/>
    <x v="0"/>
    <x v="0"/>
    <x v="0"/>
    <x v="0"/>
    <x v="0"/>
    <x v="0"/>
    <x v="0"/>
    <x v="0"/>
    <x v="0"/>
    <x v="0"/>
    <x v="0"/>
    <x v="0"/>
    <x v="0"/>
    <x v="0"/>
    <x v="0"/>
    <x v="0"/>
    <x v="0"/>
    <x v="0"/>
    <x v="0"/>
    <x v="9"/>
    <x v="0"/>
    <x v="0"/>
    <x v="0"/>
    <x v="0"/>
    <x v="5"/>
    <x v="7"/>
    <x v="4"/>
    <x v="1"/>
    <x v="1"/>
    <x v="0"/>
    <x v="0"/>
    <x v="3"/>
    <x v="3"/>
    <x v="1"/>
    <x v="1"/>
    <x v="6"/>
    <x v="3"/>
    <x v="2"/>
    <x v="0"/>
    <x v="0"/>
    <x v="0"/>
    <x v="0"/>
    <x v="0"/>
    <x v="0"/>
    <x v="1"/>
    <x v="1"/>
    <x v="0"/>
    <x v="1"/>
    <x v="3"/>
    <x v="4"/>
    <x v="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0"/>
    <x v="1"/>
    <x v="1"/>
    <x v="1"/>
    <x v="0"/>
    <x v="1"/>
    <x v="0"/>
    <x v="0"/>
    <x v="0"/>
    <x v="1"/>
    <x v="0"/>
  </r>
  <r>
    <x v="0"/>
    <x v="0"/>
    <x v="5"/>
    <x v="0"/>
    <x v="0"/>
    <x v="0"/>
    <x v="0"/>
    <x v="0"/>
    <x v="1"/>
    <x v="0"/>
    <x v="0"/>
    <x v="0"/>
    <x v="0"/>
    <x v="0"/>
    <x v="0"/>
    <x v="0"/>
    <x v="0"/>
    <x v="0"/>
    <x v="0"/>
    <x v="0"/>
    <x v="0"/>
    <x v="0"/>
    <x v="0"/>
    <x v="0"/>
    <x v="0"/>
    <x v="0"/>
    <x v="0"/>
    <x v="0"/>
    <x v="0"/>
    <x v="9"/>
    <x v="0"/>
    <x v="0"/>
    <x v="0"/>
    <x v="0"/>
    <x v="5"/>
    <x v="7"/>
    <x v="4"/>
    <x v="1"/>
    <x v="1"/>
    <x v="0"/>
    <x v="0"/>
    <x v="3"/>
    <x v="3"/>
    <x v="1"/>
    <x v="1"/>
    <x v="6"/>
    <x v="3"/>
    <x v="2"/>
    <x v="0"/>
    <x v="0"/>
    <x v="0"/>
    <x v="0"/>
    <x v="0"/>
    <x v="0"/>
    <x v="1"/>
    <x v="1"/>
    <x v="0"/>
    <x v="1"/>
    <x v="3"/>
    <x v="4"/>
    <x v="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0"/>
    <x v="1"/>
    <x v="1"/>
    <x v="1"/>
    <x v="0"/>
    <x v="1"/>
    <x v="0"/>
    <x v="0"/>
    <x v="0"/>
    <x v="1"/>
    <x v="0"/>
  </r>
  <r>
    <x v="0"/>
    <x v="0"/>
    <x v="5"/>
    <x v="0"/>
    <x v="0"/>
    <x v="0"/>
    <x v="0"/>
    <x v="0"/>
    <x v="1"/>
    <x v="0"/>
    <x v="0"/>
    <x v="0"/>
    <x v="0"/>
    <x v="0"/>
    <x v="0"/>
    <x v="0"/>
    <x v="0"/>
    <x v="0"/>
    <x v="0"/>
    <x v="0"/>
    <x v="0"/>
    <x v="0"/>
    <x v="0"/>
    <x v="0"/>
    <x v="0"/>
    <x v="0"/>
    <x v="0"/>
    <x v="0"/>
    <x v="0"/>
    <x v="9"/>
    <x v="0"/>
    <x v="0"/>
    <x v="0"/>
    <x v="0"/>
    <x v="5"/>
    <x v="7"/>
    <x v="4"/>
    <x v="1"/>
    <x v="1"/>
    <x v="0"/>
    <x v="0"/>
    <x v="3"/>
    <x v="3"/>
    <x v="1"/>
    <x v="1"/>
    <x v="6"/>
    <x v="3"/>
    <x v="2"/>
    <x v="0"/>
    <x v="0"/>
    <x v="0"/>
    <x v="0"/>
    <x v="0"/>
    <x v="0"/>
    <x v="1"/>
    <x v="1"/>
    <x v="0"/>
    <x v="1"/>
    <x v="3"/>
    <x v="4"/>
    <x v="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0"/>
    <x v="1"/>
    <x v="1"/>
    <x v="1"/>
    <x v="0"/>
    <x v="1"/>
    <x v="0"/>
    <x v="0"/>
    <x v="0"/>
    <x v="1"/>
    <x v="0"/>
  </r>
  <r>
    <x v="0"/>
    <x v="0"/>
    <x v="5"/>
    <x v="0"/>
    <x v="0"/>
    <x v="0"/>
    <x v="0"/>
    <x v="0"/>
    <x v="1"/>
    <x v="0"/>
    <x v="0"/>
    <x v="0"/>
    <x v="0"/>
    <x v="0"/>
    <x v="0"/>
    <x v="0"/>
    <x v="0"/>
    <x v="0"/>
    <x v="0"/>
    <x v="0"/>
    <x v="0"/>
    <x v="0"/>
    <x v="0"/>
    <x v="0"/>
    <x v="0"/>
    <x v="0"/>
    <x v="0"/>
    <x v="0"/>
    <x v="0"/>
    <x v="9"/>
    <x v="0"/>
    <x v="0"/>
    <x v="0"/>
    <x v="0"/>
    <x v="5"/>
    <x v="7"/>
    <x v="4"/>
    <x v="1"/>
    <x v="1"/>
    <x v="0"/>
    <x v="0"/>
    <x v="3"/>
    <x v="3"/>
    <x v="1"/>
    <x v="1"/>
    <x v="6"/>
    <x v="3"/>
    <x v="2"/>
    <x v="0"/>
    <x v="0"/>
    <x v="0"/>
    <x v="0"/>
    <x v="0"/>
    <x v="0"/>
    <x v="1"/>
    <x v="1"/>
    <x v="0"/>
    <x v="1"/>
    <x v="3"/>
    <x v="4"/>
    <x v="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0"/>
    <x v="1"/>
    <x v="1"/>
    <x v="1"/>
    <x v="0"/>
    <x v="1"/>
    <x v="0"/>
    <x v="0"/>
    <x v="0"/>
    <x v="1"/>
    <x v="0"/>
  </r>
  <r>
    <x v="0"/>
    <x v="0"/>
    <x v="5"/>
    <x v="0"/>
    <x v="0"/>
    <x v="0"/>
    <x v="0"/>
    <x v="0"/>
    <x v="1"/>
    <x v="0"/>
    <x v="0"/>
    <x v="0"/>
    <x v="0"/>
    <x v="0"/>
    <x v="0"/>
    <x v="0"/>
    <x v="0"/>
    <x v="0"/>
    <x v="0"/>
    <x v="0"/>
    <x v="0"/>
    <x v="0"/>
    <x v="0"/>
    <x v="0"/>
    <x v="0"/>
    <x v="0"/>
    <x v="0"/>
    <x v="0"/>
    <x v="0"/>
    <x v="9"/>
    <x v="0"/>
    <x v="0"/>
    <x v="0"/>
    <x v="0"/>
    <x v="5"/>
    <x v="7"/>
    <x v="4"/>
    <x v="1"/>
    <x v="1"/>
    <x v="0"/>
    <x v="0"/>
    <x v="3"/>
    <x v="3"/>
    <x v="1"/>
    <x v="1"/>
    <x v="6"/>
    <x v="3"/>
    <x v="2"/>
    <x v="0"/>
    <x v="0"/>
    <x v="0"/>
    <x v="0"/>
    <x v="0"/>
    <x v="0"/>
    <x v="1"/>
    <x v="1"/>
    <x v="0"/>
    <x v="1"/>
    <x v="3"/>
    <x v="4"/>
    <x v="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0"/>
    <x v="1"/>
    <x v="1"/>
    <x v="1"/>
    <x v="0"/>
    <x v="1"/>
    <x v="0"/>
    <x v="0"/>
    <x v="0"/>
    <x v="1"/>
    <x v="0"/>
  </r>
  <r>
    <x v="0"/>
    <x v="0"/>
    <x v="5"/>
    <x v="0"/>
    <x v="0"/>
    <x v="0"/>
    <x v="0"/>
    <x v="0"/>
    <x v="1"/>
    <x v="0"/>
    <x v="0"/>
    <x v="0"/>
    <x v="0"/>
    <x v="0"/>
    <x v="0"/>
    <x v="0"/>
    <x v="0"/>
    <x v="0"/>
    <x v="0"/>
    <x v="0"/>
    <x v="0"/>
    <x v="0"/>
    <x v="0"/>
    <x v="0"/>
    <x v="0"/>
    <x v="0"/>
    <x v="0"/>
    <x v="0"/>
    <x v="0"/>
    <x v="9"/>
    <x v="0"/>
    <x v="0"/>
    <x v="0"/>
    <x v="0"/>
    <x v="5"/>
    <x v="7"/>
    <x v="4"/>
    <x v="1"/>
    <x v="1"/>
    <x v="0"/>
    <x v="0"/>
    <x v="3"/>
    <x v="3"/>
    <x v="1"/>
    <x v="1"/>
    <x v="6"/>
    <x v="3"/>
    <x v="2"/>
    <x v="0"/>
    <x v="0"/>
    <x v="0"/>
    <x v="0"/>
    <x v="0"/>
    <x v="0"/>
    <x v="1"/>
    <x v="1"/>
    <x v="0"/>
    <x v="1"/>
    <x v="3"/>
    <x v="4"/>
    <x v="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0"/>
    <x v="1"/>
    <x v="1"/>
    <x v="1"/>
    <x v="0"/>
    <x v="1"/>
    <x v="0"/>
    <x v="0"/>
    <x v="0"/>
    <x v="1"/>
    <x v="0"/>
  </r>
  <r>
    <x v="0"/>
    <x v="0"/>
    <x v="5"/>
    <x v="0"/>
    <x v="0"/>
    <x v="0"/>
    <x v="0"/>
    <x v="0"/>
    <x v="1"/>
    <x v="0"/>
    <x v="0"/>
    <x v="0"/>
    <x v="0"/>
    <x v="0"/>
    <x v="0"/>
    <x v="0"/>
    <x v="0"/>
    <x v="0"/>
    <x v="0"/>
    <x v="0"/>
    <x v="0"/>
    <x v="0"/>
    <x v="0"/>
    <x v="0"/>
    <x v="0"/>
    <x v="0"/>
    <x v="0"/>
    <x v="0"/>
    <x v="0"/>
    <x v="9"/>
    <x v="0"/>
    <x v="0"/>
    <x v="0"/>
    <x v="0"/>
    <x v="5"/>
    <x v="7"/>
    <x v="4"/>
    <x v="1"/>
    <x v="1"/>
    <x v="0"/>
    <x v="0"/>
    <x v="3"/>
    <x v="3"/>
    <x v="1"/>
    <x v="1"/>
    <x v="6"/>
    <x v="3"/>
    <x v="2"/>
    <x v="0"/>
    <x v="0"/>
    <x v="0"/>
    <x v="0"/>
    <x v="0"/>
    <x v="0"/>
    <x v="1"/>
    <x v="1"/>
    <x v="0"/>
    <x v="1"/>
    <x v="3"/>
    <x v="4"/>
    <x v="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0"/>
    <x v="1"/>
    <x v="1"/>
    <x v="1"/>
    <x v="0"/>
    <x v="1"/>
    <x v="0"/>
    <x v="0"/>
    <x v="0"/>
    <x v="1"/>
    <x v="0"/>
  </r>
  <r>
    <x v="0"/>
    <x v="0"/>
    <x v="5"/>
    <x v="0"/>
    <x v="0"/>
    <x v="0"/>
    <x v="0"/>
    <x v="0"/>
    <x v="1"/>
    <x v="0"/>
    <x v="0"/>
    <x v="0"/>
    <x v="0"/>
    <x v="0"/>
    <x v="0"/>
    <x v="0"/>
    <x v="0"/>
    <x v="0"/>
    <x v="0"/>
    <x v="0"/>
    <x v="0"/>
    <x v="0"/>
    <x v="0"/>
    <x v="0"/>
    <x v="0"/>
    <x v="0"/>
    <x v="0"/>
    <x v="0"/>
    <x v="0"/>
    <x v="9"/>
    <x v="0"/>
    <x v="0"/>
    <x v="0"/>
    <x v="0"/>
    <x v="5"/>
    <x v="7"/>
    <x v="4"/>
    <x v="1"/>
    <x v="1"/>
    <x v="0"/>
    <x v="0"/>
    <x v="3"/>
    <x v="3"/>
    <x v="1"/>
    <x v="1"/>
    <x v="6"/>
    <x v="3"/>
    <x v="2"/>
    <x v="0"/>
    <x v="0"/>
    <x v="0"/>
    <x v="0"/>
    <x v="0"/>
    <x v="0"/>
    <x v="1"/>
    <x v="1"/>
    <x v="0"/>
    <x v="1"/>
    <x v="3"/>
    <x v="4"/>
    <x v="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0"/>
    <x v="1"/>
    <x v="1"/>
    <x v="1"/>
    <x v="0"/>
    <x v="1"/>
    <x v="0"/>
    <x v="0"/>
    <x v="0"/>
    <x v="1"/>
    <x v="0"/>
  </r>
  <r>
    <x v="0"/>
    <x v="0"/>
    <x v="5"/>
    <x v="0"/>
    <x v="0"/>
    <x v="0"/>
    <x v="0"/>
    <x v="0"/>
    <x v="1"/>
    <x v="0"/>
    <x v="0"/>
    <x v="0"/>
    <x v="0"/>
    <x v="0"/>
    <x v="0"/>
    <x v="0"/>
    <x v="0"/>
    <x v="0"/>
    <x v="0"/>
    <x v="0"/>
    <x v="0"/>
    <x v="0"/>
    <x v="0"/>
    <x v="0"/>
    <x v="0"/>
    <x v="0"/>
    <x v="0"/>
    <x v="0"/>
    <x v="0"/>
    <x v="9"/>
    <x v="0"/>
    <x v="0"/>
    <x v="0"/>
    <x v="0"/>
    <x v="5"/>
    <x v="7"/>
    <x v="4"/>
    <x v="1"/>
    <x v="1"/>
    <x v="0"/>
    <x v="0"/>
    <x v="3"/>
    <x v="3"/>
    <x v="1"/>
    <x v="1"/>
    <x v="6"/>
    <x v="3"/>
    <x v="2"/>
    <x v="0"/>
    <x v="0"/>
    <x v="0"/>
    <x v="0"/>
    <x v="0"/>
    <x v="0"/>
    <x v="1"/>
    <x v="1"/>
    <x v="0"/>
    <x v="1"/>
    <x v="3"/>
    <x v="4"/>
    <x v="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0"/>
    <x v="1"/>
    <x v="1"/>
    <x v="1"/>
    <x v="0"/>
    <x v="1"/>
    <x v="0"/>
    <x v="0"/>
    <x v="0"/>
    <x v="1"/>
    <x v="0"/>
  </r>
  <r>
    <x v="0"/>
    <x v="0"/>
    <x v="5"/>
    <x v="0"/>
    <x v="0"/>
    <x v="0"/>
    <x v="0"/>
    <x v="0"/>
    <x v="1"/>
    <x v="0"/>
    <x v="0"/>
    <x v="0"/>
    <x v="0"/>
    <x v="0"/>
    <x v="0"/>
    <x v="0"/>
    <x v="0"/>
    <x v="0"/>
    <x v="0"/>
    <x v="0"/>
    <x v="0"/>
    <x v="0"/>
    <x v="0"/>
    <x v="0"/>
    <x v="0"/>
    <x v="0"/>
    <x v="0"/>
    <x v="0"/>
    <x v="0"/>
    <x v="9"/>
    <x v="0"/>
    <x v="0"/>
    <x v="0"/>
    <x v="0"/>
    <x v="5"/>
    <x v="7"/>
    <x v="4"/>
    <x v="1"/>
    <x v="1"/>
    <x v="0"/>
    <x v="0"/>
    <x v="3"/>
    <x v="3"/>
    <x v="1"/>
    <x v="1"/>
    <x v="6"/>
    <x v="3"/>
    <x v="2"/>
    <x v="0"/>
    <x v="0"/>
    <x v="0"/>
    <x v="0"/>
    <x v="0"/>
    <x v="0"/>
    <x v="1"/>
    <x v="1"/>
    <x v="0"/>
    <x v="1"/>
    <x v="3"/>
    <x v="4"/>
    <x v="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0"/>
    <x v="1"/>
    <x v="1"/>
    <x v="1"/>
    <x v="0"/>
    <x v="1"/>
    <x v="0"/>
    <x v="0"/>
    <x v="0"/>
    <x v="1"/>
    <x v="0"/>
  </r>
  <r>
    <x v="0"/>
    <x v="0"/>
    <x v="5"/>
    <x v="0"/>
    <x v="0"/>
    <x v="0"/>
    <x v="0"/>
    <x v="0"/>
    <x v="1"/>
    <x v="0"/>
    <x v="0"/>
    <x v="0"/>
    <x v="0"/>
    <x v="0"/>
    <x v="0"/>
    <x v="0"/>
    <x v="0"/>
    <x v="0"/>
    <x v="0"/>
    <x v="0"/>
    <x v="0"/>
    <x v="0"/>
    <x v="0"/>
    <x v="0"/>
    <x v="0"/>
    <x v="0"/>
    <x v="0"/>
    <x v="0"/>
    <x v="0"/>
    <x v="9"/>
    <x v="0"/>
    <x v="0"/>
    <x v="0"/>
    <x v="0"/>
    <x v="5"/>
    <x v="7"/>
    <x v="4"/>
    <x v="1"/>
    <x v="1"/>
    <x v="0"/>
    <x v="0"/>
    <x v="3"/>
    <x v="3"/>
    <x v="1"/>
    <x v="1"/>
    <x v="6"/>
    <x v="3"/>
    <x v="2"/>
    <x v="0"/>
    <x v="0"/>
    <x v="0"/>
    <x v="0"/>
    <x v="0"/>
    <x v="0"/>
    <x v="1"/>
    <x v="1"/>
    <x v="0"/>
    <x v="1"/>
    <x v="3"/>
    <x v="4"/>
    <x v="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0"/>
    <x v="1"/>
    <x v="1"/>
    <x v="1"/>
    <x v="0"/>
    <x v="1"/>
    <x v="0"/>
    <x v="0"/>
    <x v="0"/>
    <x v="1"/>
    <x v="0"/>
  </r>
  <r>
    <x v="0"/>
    <x v="0"/>
    <x v="5"/>
    <x v="0"/>
    <x v="0"/>
    <x v="0"/>
    <x v="0"/>
    <x v="0"/>
    <x v="1"/>
    <x v="0"/>
    <x v="0"/>
    <x v="0"/>
    <x v="0"/>
    <x v="0"/>
    <x v="0"/>
    <x v="0"/>
    <x v="0"/>
    <x v="0"/>
    <x v="0"/>
    <x v="0"/>
    <x v="0"/>
    <x v="0"/>
    <x v="0"/>
    <x v="0"/>
    <x v="0"/>
    <x v="0"/>
    <x v="0"/>
    <x v="0"/>
    <x v="0"/>
    <x v="9"/>
    <x v="0"/>
    <x v="0"/>
    <x v="0"/>
    <x v="0"/>
    <x v="5"/>
    <x v="7"/>
    <x v="4"/>
    <x v="1"/>
    <x v="1"/>
    <x v="0"/>
    <x v="0"/>
    <x v="3"/>
    <x v="3"/>
    <x v="1"/>
    <x v="1"/>
    <x v="6"/>
    <x v="3"/>
    <x v="2"/>
    <x v="0"/>
    <x v="0"/>
    <x v="0"/>
    <x v="0"/>
    <x v="0"/>
    <x v="0"/>
    <x v="1"/>
    <x v="1"/>
    <x v="0"/>
    <x v="1"/>
    <x v="3"/>
    <x v="4"/>
    <x v="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0"/>
    <x v="1"/>
    <x v="1"/>
    <x v="1"/>
    <x v="0"/>
    <x v="1"/>
    <x v="0"/>
    <x v="0"/>
    <x v="0"/>
    <x v="1"/>
    <x v="0"/>
  </r>
  <r>
    <x v="0"/>
    <x v="0"/>
    <x v="5"/>
    <x v="0"/>
    <x v="0"/>
    <x v="0"/>
    <x v="0"/>
    <x v="0"/>
    <x v="1"/>
    <x v="0"/>
    <x v="0"/>
    <x v="0"/>
    <x v="0"/>
    <x v="0"/>
    <x v="0"/>
    <x v="0"/>
    <x v="0"/>
    <x v="0"/>
    <x v="0"/>
    <x v="0"/>
    <x v="0"/>
    <x v="0"/>
    <x v="0"/>
    <x v="0"/>
    <x v="0"/>
    <x v="0"/>
    <x v="0"/>
    <x v="0"/>
    <x v="0"/>
    <x v="9"/>
    <x v="0"/>
    <x v="0"/>
    <x v="0"/>
    <x v="0"/>
    <x v="5"/>
    <x v="7"/>
    <x v="4"/>
    <x v="1"/>
    <x v="1"/>
    <x v="0"/>
    <x v="0"/>
    <x v="3"/>
    <x v="3"/>
    <x v="1"/>
    <x v="1"/>
    <x v="6"/>
    <x v="3"/>
    <x v="2"/>
    <x v="0"/>
    <x v="0"/>
    <x v="0"/>
    <x v="0"/>
    <x v="0"/>
    <x v="0"/>
    <x v="1"/>
    <x v="1"/>
    <x v="0"/>
    <x v="1"/>
    <x v="3"/>
    <x v="4"/>
    <x v="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0"/>
    <x v="1"/>
    <x v="1"/>
    <x v="1"/>
    <x v="0"/>
    <x v="1"/>
    <x v="0"/>
    <x v="0"/>
    <x v="0"/>
    <x v="1"/>
    <x v="0"/>
  </r>
  <r>
    <x v="0"/>
    <x v="0"/>
    <x v="5"/>
    <x v="0"/>
    <x v="0"/>
    <x v="0"/>
    <x v="0"/>
    <x v="0"/>
    <x v="1"/>
    <x v="0"/>
    <x v="0"/>
    <x v="0"/>
    <x v="0"/>
    <x v="0"/>
    <x v="0"/>
    <x v="0"/>
    <x v="0"/>
    <x v="0"/>
    <x v="0"/>
    <x v="0"/>
    <x v="0"/>
    <x v="0"/>
    <x v="0"/>
    <x v="0"/>
    <x v="0"/>
    <x v="0"/>
    <x v="0"/>
    <x v="0"/>
    <x v="0"/>
    <x v="9"/>
    <x v="0"/>
    <x v="0"/>
    <x v="0"/>
    <x v="0"/>
    <x v="5"/>
    <x v="7"/>
    <x v="4"/>
    <x v="1"/>
    <x v="1"/>
    <x v="0"/>
    <x v="0"/>
    <x v="3"/>
    <x v="3"/>
    <x v="1"/>
    <x v="1"/>
    <x v="6"/>
    <x v="3"/>
    <x v="2"/>
    <x v="0"/>
    <x v="0"/>
    <x v="0"/>
    <x v="0"/>
    <x v="0"/>
    <x v="0"/>
    <x v="1"/>
    <x v="1"/>
    <x v="0"/>
    <x v="1"/>
    <x v="3"/>
    <x v="4"/>
    <x v="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0"/>
    <x v="1"/>
    <x v="1"/>
    <x v="1"/>
    <x v="0"/>
    <x v="1"/>
    <x v="0"/>
    <x v="0"/>
    <x v="0"/>
    <x v="1"/>
    <x v="0"/>
  </r>
  <r>
    <x v="0"/>
    <x v="0"/>
    <x v="5"/>
    <x v="0"/>
    <x v="0"/>
    <x v="0"/>
    <x v="0"/>
    <x v="0"/>
    <x v="1"/>
    <x v="0"/>
    <x v="0"/>
    <x v="0"/>
    <x v="0"/>
    <x v="0"/>
    <x v="0"/>
    <x v="0"/>
    <x v="0"/>
    <x v="0"/>
    <x v="0"/>
    <x v="0"/>
    <x v="0"/>
    <x v="0"/>
    <x v="0"/>
    <x v="0"/>
    <x v="0"/>
    <x v="0"/>
    <x v="0"/>
    <x v="0"/>
    <x v="0"/>
    <x v="9"/>
    <x v="0"/>
    <x v="0"/>
    <x v="0"/>
    <x v="0"/>
    <x v="5"/>
    <x v="7"/>
    <x v="4"/>
    <x v="1"/>
    <x v="1"/>
    <x v="0"/>
    <x v="0"/>
    <x v="3"/>
    <x v="3"/>
    <x v="1"/>
    <x v="1"/>
    <x v="6"/>
    <x v="3"/>
    <x v="2"/>
    <x v="0"/>
    <x v="0"/>
    <x v="0"/>
    <x v="0"/>
    <x v="0"/>
    <x v="0"/>
    <x v="1"/>
    <x v="1"/>
    <x v="0"/>
    <x v="1"/>
    <x v="3"/>
    <x v="4"/>
    <x v="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0"/>
    <x v="1"/>
    <x v="1"/>
    <x v="1"/>
    <x v="0"/>
    <x v="1"/>
    <x v="0"/>
    <x v="0"/>
    <x v="0"/>
    <x v="1"/>
    <x v="0"/>
  </r>
  <r>
    <x v="0"/>
    <x v="0"/>
    <x v="5"/>
    <x v="0"/>
    <x v="0"/>
    <x v="0"/>
    <x v="0"/>
    <x v="0"/>
    <x v="1"/>
    <x v="0"/>
    <x v="0"/>
    <x v="0"/>
    <x v="0"/>
    <x v="0"/>
    <x v="0"/>
    <x v="0"/>
    <x v="0"/>
    <x v="0"/>
    <x v="0"/>
    <x v="0"/>
    <x v="0"/>
    <x v="0"/>
    <x v="0"/>
    <x v="0"/>
    <x v="0"/>
    <x v="0"/>
    <x v="0"/>
    <x v="0"/>
    <x v="0"/>
    <x v="9"/>
    <x v="0"/>
    <x v="0"/>
    <x v="0"/>
    <x v="0"/>
    <x v="5"/>
    <x v="7"/>
    <x v="4"/>
    <x v="1"/>
    <x v="1"/>
    <x v="0"/>
    <x v="0"/>
    <x v="3"/>
    <x v="3"/>
    <x v="1"/>
    <x v="1"/>
    <x v="6"/>
    <x v="3"/>
    <x v="2"/>
    <x v="0"/>
    <x v="0"/>
    <x v="0"/>
    <x v="0"/>
    <x v="0"/>
    <x v="0"/>
    <x v="1"/>
    <x v="1"/>
    <x v="0"/>
    <x v="1"/>
    <x v="3"/>
    <x v="4"/>
    <x v="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0"/>
    <x v="1"/>
    <x v="1"/>
    <x v="1"/>
    <x v="0"/>
    <x v="1"/>
    <x v="0"/>
    <x v="0"/>
    <x v="0"/>
    <x v="1"/>
    <x v="0"/>
  </r>
  <r>
    <x v="0"/>
    <x v="0"/>
    <x v="5"/>
    <x v="0"/>
    <x v="0"/>
    <x v="0"/>
    <x v="0"/>
    <x v="0"/>
    <x v="1"/>
    <x v="0"/>
    <x v="0"/>
    <x v="0"/>
    <x v="0"/>
    <x v="0"/>
    <x v="0"/>
    <x v="0"/>
    <x v="0"/>
    <x v="0"/>
    <x v="0"/>
    <x v="0"/>
    <x v="0"/>
    <x v="0"/>
    <x v="0"/>
    <x v="0"/>
    <x v="0"/>
    <x v="0"/>
    <x v="0"/>
    <x v="0"/>
    <x v="0"/>
    <x v="9"/>
    <x v="0"/>
    <x v="0"/>
    <x v="0"/>
    <x v="0"/>
    <x v="5"/>
    <x v="7"/>
    <x v="4"/>
    <x v="1"/>
    <x v="1"/>
    <x v="0"/>
    <x v="0"/>
    <x v="3"/>
    <x v="3"/>
    <x v="1"/>
    <x v="1"/>
    <x v="6"/>
    <x v="3"/>
    <x v="2"/>
    <x v="0"/>
    <x v="0"/>
    <x v="0"/>
    <x v="0"/>
    <x v="0"/>
    <x v="0"/>
    <x v="1"/>
    <x v="1"/>
    <x v="0"/>
    <x v="1"/>
    <x v="3"/>
    <x v="4"/>
    <x v="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0"/>
    <x v="1"/>
    <x v="1"/>
    <x v="1"/>
    <x v="0"/>
    <x v="1"/>
    <x v="0"/>
    <x v="0"/>
    <x v="0"/>
    <x v="1"/>
    <x v="0"/>
  </r>
  <r>
    <x v="0"/>
    <x v="0"/>
    <x v="5"/>
    <x v="0"/>
    <x v="0"/>
    <x v="0"/>
    <x v="0"/>
    <x v="0"/>
    <x v="1"/>
    <x v="0"/>
    <x v="0"/>
    <x v="0"/>
    <x v="0"/>
    <x v="0"/>
    <x v="0"/>
    <x v="0"/>
    <x v="0"/>
    <x v="0"/>
    <x v="0"/>
    <x v="0"/>
    <x v="0"/>
    <x v="0"/>
    <x v="0"/>
    <x v="0"/>
    <x v="0"/>
    <x v="0"/>
    <x v="0"/>
    <x v="0"/>
    <x v="0"/>
    <x v="9"/>
    <x v="0"/>
    <x v="0"/>
    <x v="0"/>
    <x v="0"/>
    <x v="5"/>
    <x v="7"/>
    <x v="4"/>
    <x v="1"/>
    <x v="1"/>
    <x v="0"/>
    <x v="0"/>
    <x v="3"/>
    <x v="3"/>
    <x v="1"/>
    <x v="1"/>
    <x v="6"/>
    <x v="3"/>
    <x v="2"/>
    <x v="0"/>
    <x v="0"/>
    <x v="0"/>
    <x v="0"/>
    <x v="0"/>
    <x v="0"/>
    <x v="1"/>
    <x v="1"/>
    <x v="0"/>
    <x v="1"/>
    <x v="3"/>
    <x v="4"/>
    <x v="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0"/>
    <x v="1"/>
    <x v="1"/>
    <x v="1"/>
    <x v="0"/>
    <x v="1"/>
    <x v="0"/>
    <x v="0"/>
    <x v="0"/>
    <x v="1"/>
    <x v="0"/>
  </r>
  <r>
    <x v="0"/>
    <x v="0"/>
    <x v="5"/>
    <x v="0"/>
    <x v="0"/>
    <x v="0"/>
    <x v="0"/>
    <x v="0"/>
    <x v="1"/>
    <x v="0"/>
    <x v="0"/>
    <x v="0"/>
    <x v="0"/>
    <x v="0"/>
    <x v="0"/>
    <x v="0"/>
    <x v="0"/>
    <x v="0"/>
    <x v="0"/>
    <x v="0"/>
    <x v="0"/>
    <x v="0"/>
    <x v="0"/>
    <x v="0"/>
    <x v="0"/>
    <x v="0"/>
    <x v="0"/>
    <x v="0"/>
    <x v="0"/>
    <x v="9"/>
    <x v="0"/>
    <x v="0"/>
    <x v="0"/>
    <x v="0"/>
    <x v="5"/>
    <x v="7"/>
    <x v="4"/>
    <x v="1"/>
    <x v="1"/>
    <x v="0"/>
    <x v="0"/>
    <x v="3"/>
    <x v="3"/>
    <x v="1"/>
    <x v="1"/>
    <x v="6"/>
    <x v="3"/>
    <x v="2"/>
    <x v="0"/>
    <x v="0"/>
    <x v="0"/>
    <x v="0"/>
    <x v="0"/>
    <x v="0"/>
    <x v="1"/>
    <x v="1"/>
    <x v="0"/>
    <x v="1"/>
    <x v="3"/>
    <x v="4"/>
    <x v="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0"/>
    <x v="1"/>
    <x v="1"/>
    <x v="1"/>
    <x v="0"/>
    <x v="1"/>
    <x v="0"/>
    <x v="0"/>
    <x v="0"/>
    <x v="1"/>
    <x v="0"/>
  </r>
  <r>
    <x v="0"/>
    <x v="0"/>
    <x v="5"/>
    <x v="0"/>
    <x v="0"/>
    <x v="0"/>
    <x v="0"/>
    <x v="0"/>
    <x v="1"/>
    <x v="0"/>
    <x v="0"/>
    <x v="0"/>
    <x v="0"/>
    <x v="0"/>
    <x v="0"/>
    <x v="0"/>
    <x v="0"/>
    <x v="0"/>
    <x v="0"/>
    <x v="0"/>
    <x v="0"/>
    <x v="0"/>
    <x v="0"/>
    <x v="0"/>
    <x v="0"/>
    <x v="0"/>
    <x v="0"/>
    <x v="0"/>
    <x v="0"/>
    <x v="9"/>
    <x v="0"/>
    <x v="0"/>
    <x v="0"/>
    <x v="0"/>
    <x v="5"/>
    <x v="7"/>
    <x v="4"/>
    <x v="1"/>
    <x v="1"/>
    <x v="0"/>
    <x v="0"/>
    <x v="3"/>
    <x v="3"/>
    <x v="1"/>
    <x v="1"/>
    <x v="6"/>
    <x v="3"/>
    <x v="2"/>
    <x v="0"/>
    <x v="0"/>
    <x v="0"/>
    <x v="0"/>
    <x v="0"/>
    <x v="0"/>
    <x v="1"/>
    <x v="1"/>
    <x v="0"/>
    <x v="1"/>
    <x v="3"/>
    <x v="4"/>
    <x v="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0"/>
    <x v="1"/>
    <x v="1"/>
    <x v="1"/>
    <x v="0"/>
    <x v="1"/>
    <x v="0"/>
    <x v="0"/>
    <x v="0"/>
    <x v="1"/>
    <x v="0"/>
  </r>
  <r>
    <x v="0"/>
    <x v="0"/>
    <x v="5"/>
    <x v="0"/>
    <x v="0"/>
    <x v="0"/>
    <x v="0"/>
    <x v="0"/>
    <x v="1"/>
    <x v="0"/>
    <x v="0"/>
    <x v="0"/>
    <x v="0"/>
    <x v="0"/>
    <x v="0"/>
    <x v="0"/>
    <x v="0"/>
    <x v="0"/>
    <x v="0"/>
    <x v="0"/>
    <x v="0"/>
    <x v="0"/>
    <x v="0"/>
    <x v="0"/>
    <x v="0"/>
    <x v="0"/>
    <x v="0"/>
    <x v="0"/>
    <x v="0"/>
    <x v="9"/>
    <x v="0"/>
    <x v="0"/>
    <x v="0"/>
    <x v="0"/>
    <x v="5"/>
    <x v="7"/>
    <x v="4"/>
    <x v="1"/>
    <x v="1"/>
    <x v="0"/>
    <x v="0"/>
    <x v="3"/>
    <x v="3"/>
    <x v="1"/>
    <x v="1"/>
    <x v="6"/>
    <x v="3"/>
    <x v="2"/>
    <x v="0"/>
    <x v="0"/>
    <x v="0"/>
    <x v="0"/>
    <x v="0"/>
    <x v="0"/>
    <x v="1"/>
    <x v="1"/>
    <x v="0"/>
    <x v="1"/>
    <x v="3"/>
    <x v="4"/>
    <x v="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0"/>
    <x v="1"/>
    <x v="1"/>
    <x v="1"/>
    <x v="0"/>
    <x v="1"/>
    <x v="0"/>
    <x v="0"/>
    <x v="0"/>
    <x v="1"/>
    <x v="0"/>
  </r>
  <r>
    <x v="0"/>
    <x v="0"/>
    <x v="5"/>
    <x v="0"/>
    <x v="0"/>
    <x v="0"/>
    <x v="0"/>
    <x v="0"/>
    <x v="1"/>
    <x v="0"/>
    <x v="0"/>
    <x v="0"/>
    <x v="0"/>
    <x v="0"/>
    <x v="0"/>
    <x v="0"/>
    <x v="0"/>
    <x v="0"/>
    <x v="0"/>
    <x v="0"/>
    <x v="0"/>
    <x v="0"/>
    <x v="0"/>
    <x v="0"/>
    <x v="0"/>
    <x v="0"/>
    <x v="0"/>
    <x v="0"/>
    <x v="0"/>
    <x v="9"/>
    <x v="0"/>
    <x v="0"/>
    <x v="0"/>
    <x v="0"/>
    <x v="5"/>
    <x v="7"/>
    <x v="4"/>
    <x v="1"/>
    <x v="1"/>
    <x v="0"/>
    <x v="0"/>
    <x v="3"/>
    <x v="3"/>
    <x v="1"/>
    <x v="1"/>
    <x v="6"/>
    <x v="3"/>
    <x v="2"/>
    <x v="0"/>
    <x v="0"/>
    <x v="0"/>
    <x v="0"/>
    <x v="0"/>
    <x v="0"/>
    <x v="1"/>
    <x v="1"/>
    <x v="0"/>
    <x v="1"/>
    <x v="3"/>
    <x v="4"/>
    <x v="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0"/>
    <x v="1"/>
    <x v="1"/>
    <x v="1"/>
    <x v="0"/>
    <x v="1"/>
    <x v="0"/>
    <x v="0"/>
    <x v="0"/>
    <x v="1"/>
    <x v="0"/>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DataPilot1" cacheId="1" applyNumberFormats="0" applyBorderFormats="0" applyFontFormats="0" applyPatternFormats="0" applyAlignmentFormats="0" applyWidthHeightFormats="0" dataCaption="Values" showDrill="1" useAutoFormatting="0" itemPrintTitles="1" indent="0" outline="0" outlineData="0" compact="0" compactData="0">
  <location ref="A5:E14" firstHeaderRow="1" firstDataRow="1" firstDataCol="4" rowPageCount="3" colPageCount="1"/>
  <pivotFields count="130">
    <pivotField compact="0" showAll="0"/>
    <pivotField axis="axisPage" compact="0" showAll="0" defaultSubtotal="0" outline="0">
      <items count="6">
        <item x="0"/>
        <item x="5"/>
        <item x="3"/>
        <item x="4"/>
        <item x="1"/>
        <item x="2"/>
      </items>
    </pivotField>
    <pivotField axis="axisPage" compact="0" showAll="0" defaultSubtotal="0" outline="0">
      <items count="6">
        <item x="0"/>
        <item x="5"/>
        <item x="2"/>
        <item x="3"/>
        <item x="4"/>
        <item x="1"/>
      </items>
    </pivotField>
    <pivotField axis="axisPage" compact="0" showAll="0" defaultSubtotal="0" outline="0">
      <items count="2">
        <item x="0"/>
        <item x="1"/>
      </items>
    </pivotField>
    <pivotField axis="axisRow" compact="0" showAll="0" defaultSubtotal="0" outline="0">
      <items count="8">
        <item x="0"/>
        <item x="7"/>
        <item x="1"/>
        <item x="2"/>
        <item x="3"/>
        <item x="4"/>
        <item x="5"/>
        <item x="6"/>
      </items>
    </pivotField>
    <pivotField compact="0" showAll="0"/>
    <pivotField compact="0" showAll="0"/>
    <pivotField axis="axisRow" compact="0" showAll="0" defaultSubtotal="0" outline="0">
      <items count="2">
        <item x="0"/>
        <item x="1"/>
      </items>
    </pivotField>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defaultSubtotal="0" outline="0">
      <items count="8">
        <item x="0"/>
        <item x="7"/>
        <item x="1"/>
        <item x="2"/>
        <item x="3"/>
        <item x="4"/>
        <item x="5"/>
        <item x="6"/>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defaultSubtotal="0" outline="0">
      <items count="1">
        <item x="0"/>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4">
    <field x="4"/>
    <field x="39"/>
    <field x="7"/>
    <field x="28"/>
  </rowFields>
  <pageFields count="3">
    <pageField fld="3" hier="-1"/>
    <pageField fld="1" hier="-1"/>
    <pageField fld="2" hier="-1"/>
  </pageFields>
  <dataFields count="1">
    <dataField name="Sum - Effort" fld="15" subtotal="sum" numFmtId="166"/>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gro" displayName="gro" ref="Q5:Q15" headerRowCount="1" totalsRowCount="0" totalsRowShown="0">
  <tableColumns count="1">
    <tableColumn id="1" name="gro"/>
  </tableColumns>
</table>
</file>

<file path=xl/tables/table2.xml><?xml version="1.0" encoding="utf-8"?>
<table xmlns="http://schemas.openxmlformats.org/spreadsheetml/2006/main" id="2" name="mgt" displayName="mgt" ref="M5:M31" headerRowCount="1" totalsRowCount="0" totalsRowShown="0">
  <tableColumns count="1">
    <tableColumn id="1" name="mgt"/>
  </tableColumns>
</table>
</file>

<file path=xl/tables/table3.xml><?xml version="1.0" encoding="utf-8"?>
<table xmlns="http://schemas.openxmlformats.org/spreadsheetml/2006/main" id="3" name="opt" displayName="opt" ref="T5:T15" headerRowCount="1" totalsRowCount="0" totalsRowShown="0">
  <tableColumns count="1">
    <tableColumn id="1" name="opt"/>
  </tableColumns>
</table>
</file>

<file path=xl/tables/table4.xml><?xml version="1.0" encoding="utf-8"?>
<table xmlns="http://schemas.openxmlformats.org/spreadsheetml/2006/main" id="4" name="oth" displayName="oth" ref="U5:U15" headerRowCount="1" totalsRowCount="0" totalsRowShown="0">
  <tableColumns count="1">
    <tableColumn id="1" name="oth"/>
  </tableColumns>
</table>
</file>

<file path=xl/tables/table5.xml><?xml version="1.0" encoding="utf-8"?>
<table xmlns="http://schemas.openxmlformats.org/spreadsheetml/2006/main" id="5" name="ovh" displayName="ovh" ref="P5:P17" headerRowCount="1" totalsRowCount="0" totalsRowShown="0">
  <tableColumns count="1">
    <tableColumn id="1" name="ovh"/>
  </tableColumns>
</table>
</file>

<file path=xl/tables/table6.xml><?xml version="1.0" encoding="utf-8"?>
<table xmlns="http://schemas.openxmlformats.org/spreadsheetml/2006/main" id="6" name="ovs" displayName="ovs" ref="O5:O16" headerRowCount="1" totalsRowCount="0" totalsRowShown="0">
  <tableColumns count="1">
    <tableColumn id="1" name="ovs"/>
  </tableColumns>
</table>
</file>

<file path=xl/tables/table7.xml><?xml version="1.0" encoding="utf-8"?>
<table xmlns="http://schemas.openxmlformats.org/spreadsheetml/2006/main" id="7" name="prd" displayName="prd" ref="N5:N19" headerRowCount="1" totalsRowCount="0" totalsRowShown="0">
  <tableColumns count="1">
    <tableColumn id="1" name="prd"/>
  </tableColumns>
</table>
</file>

<file path=xl/tables/table8.xml><?xml version="1.0" encoding="utf-8"?>
<table xmlns="http://schemas.openxmlformats.org/spreadsheetml/2006/main" id="8" name="prj" displayName="prj" ref="V5:V15" headerRowCount="1" totalsRowCount="0" totalsRowShown="0">
  <tableColumns count="1">
    <tableColumn id="1" name="prj"/>
  </tableColumns>
</table>
</file>

<file path=xl/tables/table9.xml><?xml version="1.0" encoding="utf-8"?>
<table xmlns="http://schemas.openxmlformats.org/spreadsheetml/2006/main" id="9" name="pro" displayName="pro" ref="R5:R15" headerRowCount="1" totalsRowCount="0" totalsRowShown="0">
  <tableColumns count="1">
    <tableColumn id="1" name="pro"/>
  </tableColumns>
</table>
</file>

<file path=xl/tables/table10.xml><?xml version="1.0" encoding="utf-8"?>
<table xmlns="http://schemas.openxmlformats.org/spreadsheetml/2006/main" id="10" name="sec" displayName="sec" ref="S5:S15" headerRowCount="1" totalsRowCount="0" totalsRowShown="0">
  <tableColumns count="1">
    <tableColumn id="1" name="sec"/>
  </tableColumns>
</table>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pivotTable" Target="../pivotTables/pivotTable1.x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_rels/sheet13.xml.rels><?xml version="1.0" encoding="UTF-8"?>
<Relationships xmlns="http://schemas.openxmlformats.org/package/2006/relationships"><Relationship Id="rId1" Type="http://schemas.openxmlformats.org/officeDocument/2006/relationships/drawing" Target="../drawings/drawing11.xml"/>
</Relationships>
</file>

<file path=xl/worksheets/_rels/sheet14.xml.rels><?xml version="1.0" encoding="UTF-8"?>
<Relationships xmlns="http://schemas.openxmlformats.org/package/2006/relationships"><Relationship Id="rId1" Type="http://schemas.openxmlformats.org/officeDocument/2006/relationships/drawing" Target="../drawings/drawing12.xml"/>
</Relationships>
</file>

<file path=xl/worksheets/_rels/sheet15.xml.rels><?xml version="1.0" encoding="UTF-8"?>
<Relationships xmlns="http://schemas.openxmlformats.org/package/2006/relationships"><Relationship Id="rId1" Type="http://schemas.openxmlformats.org/officeDocument/2006/relationships/drawing" Target="../drawings/drawing13.xml"/>
</Relationships>
</file>

<file path=xl/worksheets/_rels/sheet16.xml.rels><?xml version="1.0" encoding="UTF-8"?>
<Relationships xmlns="http://schemas.openxmlformats.org/package/2006/relationships"><Relationship Id="rId1" Type="http://schemas.openxmlformats.org/officeDocument/2006/relationships/drawing" Target="../drawings/drawing14.xml"/>
</Relationships>
</file>

<file path=xl/worksheets/_rels/sheet17.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 Id="rId8" Type="http://schemas.openxmlformats.org/officeDocument/2006/relationships/table" Target="../tables/table8.xml"/><Relationship Id="rId9" Type="http://schemas.openxmlformats.org/officeDocument/2006/relationships/table" Target="../tables/table9.xml"/><Relationship Id="rId10" Type="http://schemas.openxmlformats.org/officeDocument/2006/relationships/table" Target="../tables/table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B1:E260"/>
  <sheetViews>
    <sheetView showFormulas="false" showGridLines="false" showRowColHeaders="true" showZeros="true" rightToLeft="false" tabSelected="false" showOutlineSymbols="true" defaultGridColor="true" view="normal" topLeftCell="A238" colorId="64" zoomScale="100" zoomScaleNormal="100" zoomScalePageLayoutView="100" workbookViewId="0">
      <selection pane="topLeft" activeCell="E261" activeCellId="0" sqref="E261"/>
    </sheetView>
  </sheetViews>
  <sheetFormatPr defaultColWidth="16.8671875" defaultRowHeight="12.8" zeroHeight="false" outlineLevelRow="0" outlineLevelCol="0"/>
  <cols>
    <col collapsed="false" customWidth="true" hidden="false" outlineLevel="0" max="1" min="1" style="1" width="1.92"/>
    <col collapsed="false" customWidth="true" hidden="false" outlineLevel="0" max="2" min="2" style="2" width="4.17"/>
    <col collapsed="false" customWidth="true" hidden="false" outlineLevel="0" max="3" min="3" style="1" width="19.31"/>
    <col collapsed="false" customWidth="true" hidden="false" outlineLevel="0" max="4" min="4" style="3" width="10.49"/>
    <col collapsed="false" customWidth="true" hidden="false" outlineLevel="0" max="5" min="5" style="1" width="43.2"/>
  </cols>
  <sheetData>
    <row r="1" customFormat="false" ht="12.8" hidden="false" customHeight="false" outlineLevel="0" collapsed="false">
      <c r="B1" s="2" t="s">
        <v>0</v>
      </c>
    </row>
    <row r="2" customFormat="false" ht="12.8" hidden="false" customHeight="false" outlineLevel="0" collapsed="false">
      <c r="C2" s="1" t="s">
        <v>1</v>
      </c>
    </row>
    <row r="3" customFormat="false" ht="12.8" hidden="false" customHeight="false" outlineLevel="0" collapsed="false">
      <c r="C3" s="1" t="s">
        <v>2</v>
      </c>
    </row>
    <row r="4" customFormat="false" ht="12.8" hidden="false" customHeight="false" outlineLevel="0" collapsed="false">
      <c r="C4" s="1" t="s">
        <v>3</v>
      </c>
    </row>
    <row r="5" customFormat="false" ht="12.8" hidden="false" customHeight="false" outlineLevel="0" collapsed="false">
      <c r="C5" s="1" t="s">
        <v>4</v>
      </c>
    </row>
    <row r="7" customFormat="false" ht="12.8" hidden="false" customHeight="false" outlineLevel="0" collapsed="false">
      <c r="C7" s="1" t="s">
        <v>5</v>
      </c>
    </row>
    <row r="8" customFormat="false" ht="12.8" hidden="false" customHeight="false" outlineLevel="0" collapsed="false">
      <c r="C8" s="1" t="s">
        <v>6</v>
      </c>
    </row>
    <row r="9" customFormat="false" ht="12.8" hidden="false" customHeight="false" outlineLevel="0" collapsed="false">
      <c r="C9" s="1" t="s">
        <v>7</v>
      </c>
    </row>
    <row r="11" customFormat="false" ht="12.8" hidden="false" customHeight="false" outlineLevel="0" collapsed="false">
      <c r="C11" s="1" t="s">
        <v>8</v>
      </c>
    </row>
    <row r="12" customFormat="false" ht="12.8" hidden="false" customHeight="false" outlineLevel="0" collapsed="false">
      <c r="C12" s="1" t="s">
        <v>9</v>
      </c>
    </row>
    <row r="14" customFormat="false" ht="12.8" hidden="false" customHeight="false" outlineLevel="0" collapsed="false">
      <c r="C14" s="1" t="s">
        <v>10</v>
      </c>
    </row>
    <row r="15" customFormat="false" ht="12.8" hidden="false" customHeight="false" outlineLevel="0" collapsed="false">
      <c r="C15" s="4" t="s">
        <v>11</v>
      </c>
    </row>
    <row r="17" customFormat="false" ht="12.8" hidden="false" customHeight="false" outlineLevel="0" collapsed="false">
      <c r="C17" s="1" t="s">
        <v>12</v>
      </c>
    </row>
    <row r="18" customFormat="false" ht="12.8" hidden="false" customHeight="false" outlineLevel="0" collapsed="false">
      <c r="C18" s="1" t="s">
        <v>13</v>
      </c>
    </row>
    <row r="19" customFormat="false" ht="12.8" hidden="false" customHeight="false" outlineLevel="0" collapsed="false">
      <c r="C19" s="1" t="s">
        <v>14</v>
      </c>
    </row>
    <row r="20" customFormat="false" ht="12.8" hidden="false" customHeight="false" outlineLevel="0" collapsed="false">
      <c r="C20" s="1" t="s">
        <v>15</v>
      </c>
    </row>
    <row r="21" customFormat="false" ht="12.8" hidden="false" customHeight="false" outlineLevel="0" collapsed="false">
      <c r="C21" s="1" t="s">
        <v>16</v>
      </c>
    </row>
    <row r="22" customFormat="false" ht="12.8" hidden="false" customHeight="false" outlineLevel="0" collapsed="false">
      <c r="C22" s="1" t="s">
        <v>17</v>
      </c>
    </row>
    <row r="24" customFormat="false" ht="12.8" hidden="false" customHeight="false" outlineLevel="0" collapsed="false">
      <c r="C24" s="1" t="s">
        <v>18</v>
      </c>
    </row>
    <row r="25" customFormat="false" ht="12.8" hidden="false" customHeight="false" outlineLevel="0" collapsed="false">
      <c r="C25" s="1" t="s">
        <v>19</v>
      </c>
    </row>
    <row r="26" customFormat="false" ht="12.8" hidden="false" customHeight="false" outlineLevel="0" collapsed="false">
      <c r="C26" s="1" t="s">
        <v>20</v>
      </c>
    </row>
    <row r="29" customFormat="false" ht="12.8" hidden="false" customHeight="false" outlineLevel="0" collapsed="false">
      <c r="B29" s="2" t="s">
        <v>21</v>
      </c>
    </row>
    <row r="30" customFormat="false" ht="12.8" hidden="false" customHeight="false" outlineLevel="0" collapsed="false">
      <c r="C30" s="1" t="s">
        <v>22</v>
      </c>
    </row>
    <row r="31" customFormat="false" ht="12.8" hidden="false" customHeight="false" outlineLevel="0" collapsed="false">
      <c r="C31" s="1" t="s">
        <v>23</v>
      </c>
    </row>
    <row r="33" customFormat="false" ht="12.8" hidden="false" customHeight="false" outlineLevel="0" collapsed="false">
      <c r="C33" s="1" t="s">
        <v>24</v>
      </c>
    </row>
    <row r="34" customFormat="false" ht="12.8" hidden="false" customHeight="false" outlineLevel="0" collapsed="false">
      <c r="C34" s="1" t="s">
        <v>25</v>
      </c>
    </row>
    <row r="35" customFormat="false" ht="12.8" hidden="false" customHeight="false" outlineLevel="0" collapsed="false">
      <c r="C35" s="1" t="s">
        <v>26</v>
      </c>
    </row>
    <row r="36" customFormat="false" ht="12.8" hidden="false" customHeight="false" outlineLevel="0" collapsed="false">
      <c r="C36" s="1" t="s">
        <v>27</v>
      </c>
    </row>
    <row r="37" customFormat="false" ht="12.8" hidden="false" customHeight="false" outlineLevel="0" collapsed="false">
      <c r="C37" s="1" t="s">
        <v>28</v>
      </c>
    </row>
    <row r="38" customFormat="false" ht="12.8" hidden="false" customHeight="false" outlineLevel="0" collapsed="false">
      <c r="C38" s="1" t="s">
        <v>29</v>
      </c>
    </row>
    <row r="40" customFormat="false" ht="12.8" hidden="false" customHeight="false" outlineLevel="0" collapsed="false">
      <c r="C40" s="1" t="s">
        <v>30</v>
      </c>
    </row>
    <row r="41" customFormat="false" ht="12.8" hidden="false" customHeight="false" outlineLevel="0" collapsed="false">
      <c r="C41" s="1" t="s">
        <v>31</v>
      </c>
    </row>
    <row r="42" customFormat="false" ht="12.8" hidden="false" customHeight="false" outlineLevel="0" collapsed="false">
      <c r="C42" s="1" t="s">
        <v>32</v>
      </c>
    </row>
    <row r="43" customFormat="false" ht="12.8" hidden="false" customHeight="false" outlineLevel="0" collapsed="false">
      <c r="C43" s="1" t="s">
        <v>33</v>
      </c>
    </row>
    <row r="44" customFormat="false" ht="12.8" hidden="false" customHeight="false" outlineLevel="0" collapsed="false">
      <c r="C44" s="1" t="s">
        <v>25</v>
      </c>
    </row>
    <row r="45" customFormat="false" ht="12.8" hidden="false" customHeight="false" outlineLevel="0" collapsed="false">
      <c r="C45" s="1" t="s">
        <v>34</v>
      </c>
    </row>
    <row r="46" customFormat="false" ht="12.8" hidden="false" customHeight="false" outlineLevel="0" collapsed="false">
      <c r="C46" s="1" t="s">
        <v>35</v>
      </c>
    </row>
    <row r="48" customFormat="false" ht="12.8" hidden="false" customHeight="false" outlineLevel="0" collapsed="false">
      <c r="C48" s="1" t="s">
        <v>36</v>
      </c>
    </row>
    <row r="49" customFormat="false" ht="12.8" hidden="false" customHeight="false" outlineLevel="0" collapsed="false">
      <c r="C49" s="4" t="s">
        <v>37</v>
      </c>
    </row>
    <row r="50" customFormat="false" ht="12.8" hidden="false" customHeight="false" outlineLevel="0" collapsed="false">
      <c r="C50" s="4" t="s">
        <v>38</v>
      </c>
    </row>
    <row r="51" customFormat="false" ht="12.8" hidden="false" customHeight="false" outlineLevel="0" collapsed="false">
      <c r="C51" s="4"/>
    </row>
    <row r="53" customFormat="false" ht="12.8" hidden="false" customHeight="false" outlineLevel="0" collapsed="false">
      <c r="B53" s="2" t="s">
        <v>39</v>
      </c>
    </row>
    <row r="54" customFormat="false" ht="12.8" hidden="false" customHeight="false" outlineLevel="0" collapsed="false">
      <c r="B54" s="2" t="s">
        <v>40</v>
      </c>
    </row>
    <row r="55" customFormat="false" ht="12.8" hidden="false" customHeight="false" outlineLevel="0" collapsed="false">
      <c r="C55" s="1" t="s">
        <v>41</v>
      </c>
    </row>
    <row r="56" customFormat="false" ht="12.8" hidden="false" customHeight="false" outlineLevel="0" collapsed="false">
      <c r="C56" s="1" t="s">
        <v>42</v>
      </c>
    </row>
    <row r="57" customFormat="false" ht="12.8" hidden="false" customHeight="false" outlineLevel="0" collapsed="false">
      <c r="C57" s="1" t="s">
        <v>43</v>
      </c>
    </row>
    <row r="58" customFormat="false" ht="12.8" hidden="false" customHeight="false" outlineLevel="0" collapsed="false">
      <c r="C58" s="1" t="s">
        <v>44</v>
      </c>
    </row>
    <row r="60" customFormat="false" ht="12.8" hidden="false" customHeight="false" outlineLevel="0" collapsed="false">
      <c r="C60" s="5" t="s">
        <v>45</v>
      </c>
      <c r="D60" s="1"/>
      <c r="E60" s="6" t="s">
        <v>46</v>
      </c>
    </row>
    <row r="61" customFormat="false" ht="12.8" hidden="false" customHeight="false" outlineLevel="0" collapsed="false">
      <c r="C61" s="7" t="s">
        <v>47</v>
      </c>
      <c r="D61" s="1"/>
      <c r="E61" s="6" t="s">
        <v>48</v>
      </c>
    </row>
    <row r="62" customFormat="false" ht="12.8" hidden="false" customHeight="false" outlineLevel="0" collapsed="false">
      <c r="C62" s="8" t="s">
        <v>49</v>
      </c>
      <c r="D62" s="1"/>
      <c r="E62" s="6" t="s">
        <v>50</v>
      </c>
    </row>
    <row r="63" customFormat="false" ht="12.8" hidden="false" customHeight="false" outlineLevel="0" collapsed="false">
      <c r="C63" s="8" t="s">
        <v>51</v>
      </c>
      <c r="D63" s="1"/>
      <c r="E63" s="6" t="s">
        <v>52</v>
      </c>
    </row>
    <row r="64" customFormat="false" ht="12.8" hidden="false" customHeight="false" outlineLevel="0" collapsed="false">
      <c r="C64" s="8" t="s">
        <v>53</v>
      </c>
      <c r="D64" s="1"/>
      <c r="E64" s="6" t="s">
        <v>54</v>
      </c>
    </row>
    <row r="65" customFormat="false" ht="12.8" hidden="false" customHeight="false" outlineLevel="0" collapsed="false">
      <c r="C65" s="8" t="s">
        <v>55</v>
      </c>
      <c r="D65" s="1"/>
      <c r="E65" s="6" t="s">
        <v>56</v>
      </c>
    </row>
    <row r="66" customFormat="false" ht="12.8" hidden="false" customHeight="false" outlineLevel="0" collapsed="false">
      <c r="C66" s="8" t="s">
        <v>57</v>
      </c>
      <c r="D66" s="1"/>
      <c r="E66" s="6" t="s">
        <v>58</v>
      </c>
    </row>
    <row r="67" customFormat="false" ht="12.8" hidden="false" customHeight="false" outlineLevel="0" collapsed="false">
      <c r="C67" s="8" t="s">
        <v>59</v>
      </c>
      <c r="D67" s="1"/>
      <c r="E67" s="6" t="s">
        <v>60</v>
      </c>
    </row>
    <row r="68" customFormat="false" ht="12.8" hidden="false" customHeight="false" outlineLevel="0" collapsed="false">
      <c r="C68" s="8" t="s">
        <v>61</v>
      </c>
      <c r="D68" s="1"/>
      <c r="E68" s="6" t="s">
        <v>62</v>
      </c>
    </row>
    <row r="69" customFormat="false" ht="12.8" hidden="false" customHeight="false" outlineLevel="0" collapsed="false">
      <c r="C69" s="9" t="s">
        <v>63</v>
      </c>
      <c r="D69" s="1"/>
      <c r="E69" s="6" t="s">
        <v>64</v>
      </c>
    </row>
    <row r="70" customFormat="false" ht="12.8" hidden="false" customHeight="false" outlineLevel="0" collapsed="false">
      <c r="C70" s="9" t="s">
        <v>65</v>
      </c>
      <c r="D70" s="1"/>
      <c r="E70" s="6" t="s">
        <v>66</v>
      </c>
    </row>
    <row r="71" customFormat="false" ht="12.8" hidden="false" customHeight="false" outlineLevel="0" collapsed="false">
      <c r="C71" s="9" t="s">
        <v>67</v>
      </c>
      <c r="D71" s="1"/>
      <c r="E71" s="6" t="s">
        <v>68</v>
      </c>
    </row>
    <row r="72" customFormat="false" ht="12.8" hidden="false" customHeight="false" outlineLevel="0" collapsed="false">
      <c r="C72" s="10" t="s">
        <v>69</v>
      </c>
      <c r="D72" s="1"/>
      <c r="E72" s="6" t="s">
        <v>70</v>
      </c>
    </row>
    <row r="73" customFormat="false" ht="12.8" hidden="false" customHeight="false" outlineLevel="0" collapsed="false">
      <c r="C73" s="10" t="s">
        <v>71</v>
      </c>
      <c r="D73" s="1"/>
      <c r="E73" s="6" t="s">
        <v>72</v>
      </c>
    </row>
    <row r="74" customFormat="false" ht="12.8" hidden="false" customHeight="false" outlineLevel="0" collapsed="false">
      <c r="C74" s="10" t="s">
        <v>73</v>
      </c>
      <c r="D74" s="1"/>
      <c r="E74" s="6" t="s">
        <v>74</v>
      </c>
    </row>
    <row r="75" customFormat="false" ht="12.8" hidden="false" customHeight="false" outlineLevel="0" collapsed="false">
      <c r="C75" s="11" t="s">
        <v>75</v>
      </c>
      <c r="D75" s="1"/>
      <c r="E75" s="6" t="s">
        <v>76</v>
      </c>
    </row>
    <row r="76" customFormat="false" ht="12.8" hidden="false" customHeight="false" outlineLevel="0" collapsed="false">
      <c r="C76" s="12" t="s">
        <v>77</v>
      </c>
      <c r="D76" s="1"/>
      <c r="E76" s="6" t="s">
        <v>78</v>
      </c>
    </row>
    <row r="77" customFormat="false" ht="12.8" hidden="false" customHeight="false" outlineLevel="0" collapsed="false">
      <c r="D77" s="6"/>
    </row>
    <row r="78" customFormat="false" ht="12.8" hidden="false" customHeight="false" outlineLevel="0" collapsed="false">
      <c r="B78" s="2" t="s">
        <v>79</v>
      </c>
      <c r="D78" s="6"/>
    </row>
    <row r="79" customFormat="false" ht="12.8" hidden="false" customHeight="false" outlineLevel="0" collapsed="false">
      <c r="C79" s="2"/>
      <c r="D79" s="6"/>
    </row>
    <row r="80" customFormat="false" ht="12.8" hidden="false" customHeight="false" outlineLevel="0" collapsed="false">
      <c r="C80" s="2" t="s">
        <v>80</v>
      </c>
      <c r="D80" s="6"/>
    </row>
    <row r="81" customFormat="false" ht="12.8" hidden="false" customHeight="false" outlineLevel="0" collapsed="false">
      <c r="C81" s="1" t="s">
        <v>81</v>
      </c>
      <c r="D81" s="6"/>
    </row>
    <row r="82" customFormat="false" ht="12.8" hidden="false" customHeight="false" outlineLevel="0" collapsed="false">
      <c r="D82" s="6"/>
    </row>
    <row r="83" customFormat="false" ht="12.8" hidden="false" customHeight="false" outlineLevel="0" collapsed="false">
      <c r="C83" s="2" t="s">
        <v>82</v>
      </c>
      <c r="D83" s="6"/>
    </row>
    <row r="84" customFormat="false" ht="12.8" hidden="false" customHeight="false" outlineLevel="0" collapsed="false">
      <c r="C84" s="1" t="s">
        <v>83</v>
      </c>
      <c r="D84" s="6"/>
    </row>
    <row r="85" customFormat="false" ht="12.8" hidden="false" customHeight="false" outlineLevel="0" collapsed="false">
      <c r="D85" s="6"/>
    </row>
    <row r="86" customFormat="false" ht="12.8" hidden="false" customHeight="false" outlineLevel="0" collapsed="false">
      <c r="C86" s="1" t="s">
        <v>84</v>
      </c>
      <c r="D86" s="6"/>
    </row>
    <row r="87" customFormat="false" ht="12.8" hidden="false" customHeight="false" outlineLevel="0" collapsed="false">
      <c r="D87" s="6"/>
    </row>
    <row r="88" customFormat="false" ht="12.8" hidden="false" customHeight="false" outlineLevel="0" collapsed="false">
      <c r="C88" s="2" t="s">
        <v>85</v>
      </c>
      <c r="D88" s="6"/>
    </row>
    <row r="89" customFormat="false" ht="12.8" hidden="false" customHeight="false" outlineLevel="0" collapsed="false">
      <c r="C89" s="1" t="s">
        <v>86</v>
      </c>
      <c r="D89" s="6"/>
    </row>
    <row r="90" customFormat="false" ht="12.8" hidden="false" customHeight="false" outlineLevel="0" collapsed="false">
      <c r="C90" s="1" t="s">
        <v>87</v>
      </c>
      <c r="D90" s="6"/>
    </row>
    <row r="91" customFormat="false" ht="12.8" hidden="false" customHeight="false" outlineLevel="0" collapsed="false">
      <c r="D91" s="6"/>
    </row>
    <row r="92" customFormat="false" ht="12.8" hidden="false" customHeight="false" outlineLevel="0" collapsed="false">
      <c r="C92" s="2" t="s">
        <v>88</v>
      </c>
      <c r="D92" s="6"/>
    </row>
    <row r="93" customFormat="false" ht="12.8" hidden="false" customHeight="false" outlineLevel="0" collapsed="false">
      <c r="C93" s="1" t="s">
        <v>89</v>
      </c>
      <c r="D93" s="6"/>
    </row>
    <row r="94" customFormat="false" ht="12.8" hidden="false" customHeight="false" outlineLevel="0" collapsed="false">
      <c r="C94" s="1" t="s">
        <v>87</v>
      </c>
      <c r="D94" s="6"/>
    </row>
    <row r="95" customFormat="false" ht="12.8" hidden="false" customHeight="false" outlineLevel="0" collapsed="false">
      <c r="D95" s="6"/>
    </row>
    <row r="97" customFormat="false" ht="12.8" hidden="false" customHeight="false" outlineLevel="0" collapsed="false">
      <c r="C97" s="2" t="s">
        <v>77</v>
      </c>
    </row>
    <row r="98" customFormat="false" ht="12.8" hidden="false" customHeight="false" outlineLevel="0" collapsed="false">
      <c r="C98" s="1" t="s">
        <v>90</v>
      </c>
    </row>
    <row r="101" customFormat="false" ht="12.8" hidden="false" customHeight="false" outlineLevel="0" collapsed="false">
      <c r="B101" s="2" t="s">
        <v>91</v>
      </c>
    </row>
    <row r="102" customFormat="false" ht="12.8" hidden="false" customHeight="false" outlineLevel="0" collapsed="false">
      <c r="C102" s="1" t="s">
        <v>92</v>
      </c>
    </row>
    <row r="104" customFormat="false" ht="12.8" hidden="false" customHeight="false" outlineLevel="0" collapsed="false">
      <c r="C104" s="5" t="s">
        <v>93</v>
      </c>
      <c r="E104" s="1" t="s">
        <v>94</v>
      </c>
    </row>
    <row r="105" customFormat="false" ht="12.8" hidden="false" customHeight="false" outlineLevel="0" collapsed="false">
      <c r="C105" s="9" t="s">
        <v>95</v>
      </c>
      <c r="E105" s="1" t="s">
        <v>96</v>
      </c>
    </row>
    <row r="108" customFormat="false" ht="12.8" hidden="false" customHeight="false" outlineLevel="0" collapsed="false">
      <c r="B108" s="2" t="s">
        <v>97</v>
      </c>
    </row>
    <row r="109" customFormat="false" ht="12.8" hidden="false" customHeight="false" outlineLevel="0" collapsed="false">
      <c r="C109" s="1" t="s">
        <v>98</v>
      </c>
      <c r="D109" s="3" t="n">
        <v>20211007</v>
      </c>
      <c r="E109" s="1" t="s">
        <v>99</v>
      </c>
    </row>
    <row r="110" customFormat="false" ht="12.8" hidden="false" customHeight="false" outlineLevel="0" collapsed="false">
      <c r="C110" s="1" t="s">
        <v>100</v>
      </c>
      <c r="D110" s="3" t="n">
        <f aca="false">D109</f>
        <v>20211007</v>
      </c>
      <c r="E110" s="1" t="s">
        <v>101</v>
      </c>
    </row>
    <row r="111" customFormat="false" ht="12.8" hidden="false" customHeight="false" outlineLevel="0" collapsed="false">
      <c r="C111" s="1" t="s">
        <v>102</v>
      </c>
      <c r="D111" s="3" t="n">
        <v>20211014</v>
      </c>
      <c r="E111" s="1" t="s">
        <v>103</v>
      </c>
    </row>
    <row r="112" customFormat="false" ht="12.8" hidden="false" customHeight="false" outlineLevel="0" collapsed="false">
      <c r="E112" s="1" t="s">
        <v>104</v>
      </c>
    </row>
    <row r="113" customFormat="false" ht="12.8" hidden="false" customHeight="false" outlineLevel="0" collapsed="false">
      <c r="E113" s="1" t="s">
        <v>105</v>
      </c>
    </row>
    <row r="114" customFormat="false" ht="12.8" hidden="false" customHeight="false" outlineLevel="0" collapsed="false">
      <c r="E114" s="1" t="s">
        <v>106</v>
      </c>
    </row>
    <row r="115" customFormat="false" ht="12.8" hidden="false" customHeight="false" outlineLevel="0" collapsed="false">
      <c r="C115" s="1" t="s">
        <v>107</v>
      </c>
      <c r="D115" s="3" t="n">
        <v>20211015</v>
      </c>
      <c r="E115" s="1" t="s">
        <v>108</v>
      </c>
    </row>
    <row r="116" customFormat="false" ht="12.8" hidden="false" customHeight="false" outlineLevel="0" collapsed="false">
      <c r="C116" s="1" t="s">
        <v>109</v>
      </c>
      <c r="D116" s="3" t="n">
        <v>20211015</v>
      </c>
      <c r="E116" s="1" t="s">
        <v>110</v>
      </c>
    </row>
    <row r="117" customFormat="false" ht="12.8" hidden="false" customHeight="false" outlineLevel="0" collapsed="false">
      <c r="C117" s="1" t="s">
        <v>111</v>
      </c>
      <c r="D117" s="3" t="n">
        <v>20211015</v>
      </c>
      <c r="E117" s="1" t="s">
        <v>112</v>
      </c>
    </row>
    <row r="118" customFormat="false" ht="12.8" hidden="false" customHeight="false" outlineLevel="0" collapsed="false">
      <c r="C118" s="1" t="s">
        <v>113</v>
      </c>
      <c r="D118" s="3" t="n">
        <v>20211015</v>
      </c>
      <c r="E118" s="1" t="s">
        <v>114</v>
      </c>
    </row>
    <row r="119" customFormat="false" ht="12.8" hidden="false" customHeight="false" outlineLevel="0" collapsed="false">
      <c r="C119" s="1" t="s">
        <v>115</v>
      </c>
      <c r="D119" s="3" t="n">
        <v>20211016</v>
      </c>
      <c r="E119" s="1" t="s">
        <v>116</v>
      </c>
    </row>
    <row r="120" customFormat="false" ht="12.8" hidden="false" customHeight="false" outlineLevel="0" collapsed="false">
      <c r="C120" s="1" t="s">
        <v>117</v>
      </c>
      <c r="D120" s="3" t="n">
        <v>20211016</v>
      </c>
      <c r="E120" s="1" t="s">
        <v>118</v>
      </c>
    </row>
    <row r="121" customFormat="false" ht="12.8" hidden="false" customHeight="false" outlineLevel="0" collapsed="false">
      <c r="C121" s="1" t="s">
        <v>119</v>
      </c>
      <c r="D121" s="3" t="n">
        <v>20211016</v>
      </c>
      <c r="E121" s="1" t="s">
        <v>120</v>
      </c>
    </row>
    <row r="122" customFormat="false" ht="12.8" hidden="false" customHeight="false" outlineLevel="0" collapsed="false">
      <c r="C122" s="1" t="s">
        <v>121</v>
      </c>
      <c r="D122" s="3" t="n">
        <v>20211017</v>
      </c>
      <c r="E122" s="1" t="s">
        <v>122</v>
      </c>
    </row>
    <row r="123" customFormat="false" ht="12.8" hidden="false" customHeight="false" outlineLevel="0" collapsed="false">
      <c r="C123" s="1" t="s">
        <v>123</v>
      </c>
      <c r="D123" s="3" t="n">
        <v>20211018</v>
      </c>
      <c r="E123" s="1" t="s">
        <v>124</v>
      </c>
    </row>
    <row r="124" customFormat="false" ht="12.8" hidden="false" customHeight="false" outlineLevel="0" collapsed="false">
      <c r="C124" s="1" t="s">
        <v>125</v>
      </c>
      <c r="D124" s="3" t="n">
        <v>20211019</v>
      </c>
      <c r="E124" s="1" t="s">
        <v>126</v>
      </c>
    </row>
    <row r="125" customFormat="false" ht="12.8" hidden="false" customHeight="false" outlineLevel="0" collapsed="false">
      <c r="E125" s="4" t="s">
        <v>127</v>
      </c>
    </row>
    <row r="126" customFormat="false" ht="12.8" hidden="false" customHeight="false" outlineLevel="0" collapsed="false">
      <c r="E126" s="1" t="s">
        <v>128</v>
      </c>
    </row>
    <row r="127" customFormat="false" ht="12.8" hidden="false" customHeight="false" outlineLevel="0" collapsed="false">
      <c r="E127" s="1" t="s">
        <v>129</v>
      </c>
    </row>
    <row r="128" customFormat="false" ht="12.8" hidden="false" customHeight="false" outlineLevel="0" collapsed="false">
      <c r="E128" s="1" t="s">
        <v>130</v>
      </c>
    </row>
    <row r="129" customFormat="false" ht="12.8" hidden="false" customHeight="false" outlineLevel="0" collapsed="false">
      <c r="E129" s="1" t="s">
        <v>131</v>
      </c>
    </row>
    <row r="130" customFormat="false" ht="12.8" hidden="false" customHeight="false" outlineLevel="0" collapsed="false">
      <c r="E130" s="1" t="s">
        <v>132</v>
      </c>
    </row>
    <row r="131" customFormat="false" ht="12.8" hidden="false" customHeight="false" outlineLevel="0" collapsed="false">
      <c r="C131" s="1" t="s">
        <v>133</v>
      </c>
      <c r="D131" s="3" t="n">
        <v>20211020</v>
      </c>
      <c r="E131" s="1" t="s">
        <v>134</v>
      </c>
    </row>
    <row r="132" customFormat="false" ht="12.8" hidden="false" customHeight="false" outlineLevel="0" collapsed="false">
      <c r="C132" s="1" t="s">
        <v>135</v>
      </c>
      <c r="D132" s="3" t="n">
        <v>20211022</v>
      </c>
      <c r="E132" s="1" t="s">
        <v>136</v>
      </c>
    </row>
    <row r="133" customFormat="false" ht="12.8" hidden="false" customHeight="false" outlineLevel="0" collapsed="false">
      <c r="E133" s="1" t="s">
        <v>137</v>
      </c>
    </row>
    <row r="134" customFormat="false" ht="12.8" hidden="false" customHeight="false" outlineLevel="0" collapsed="false">
      <c r="E134" s="1" t="s">
        <v>138</v>
      </c>
    </row>
    <row r="135" customFormat="false" ht="12.8" hidden="false" customHeight="false" outlineLevel="0" collapsed="false">
      <c r="E135" s="1" t="s">
        <v>139</v>
      </c>
    </row>
    <row r="136" customFormat="false" ht="12.8" hidden="false" customHeight="false" outlineLevel="0" collapsed="false">
      <c r="C136" s="1" t="s">
        <v>140</v>
      </c>
      <c r="D136" s="3" t="n">
        <v>20211029</v>
      </c>
      <c r="E136" s="1" t="s">
        <v>141</v>
      </c>
    </row>
    <row r="137" customFormat="false" ht="12.8" hidden="false" customHeight="false" outlineLevel="0" collapsed="false">
      <c r="C137" s="1" t="s">
        <v>142</v>
      </c>
      <c r="D137" s="3" t="n">
        <v>20211105</v>
      </c>
      <c r="E137" s="1" t="s">
        <v>143</v>
      </c>
    </row>
    <row r="138" customFormat="false" ht="12.8" hidden="false" customHeight="false" outlineLevel="0" collapsed="false">
      <c r="E138" s="1" t="s">
        <v>144</v>
      </c>
    </row>
    <row r="139" customFormat="false" ht="12.8" hidden="false" customHeight="false" outlineLevel="0" collapsed="false">
      <c r="E139" s="1" t="s">
        <v>145</v>
      </c>
    </row>
    <row r="140" customFormat="false" ht="12.8" hidden="false" customHeight="false" outlineLevel="0" collapsed="false">
      <c r="C140" s="1" t="s">
        <v>146</v>
      </c>
      <c r="D140" s="3" t="n">
        <v>20211117</v>
      </c>
      <c r="E140" s="1" t="s">
        <v>147</v>
      </c>
    </row>
    <row r="141" customFormat="false" ht="12.8" hidden="false" customHeight="false" outlineLevel="0" collapsed="false">
      <c r="C141" s="1" t="s">
        <v>148</v>
      </c>
      <c r="D141" s="3" t="n">
        <v>20220110</v>
      </c>
      <c r="E141" s="1" t="s">
        <v>149</v>
      </c>
    </row>
    <row r="142" customFormat="false" ht="12.8" hidden="false" customHeight="false" outlineLevel="0" collapsed="false">
      <c r="E142" s="1" t="s">
        <v>150</v>
      </c>
    </row>
    <row r="143" customFormat="false" ht="12.8" hidden="false" customHeight="false" outlineLevel="0" collapsed="false">
      <c r="E143" s="1" t="s">
        <v>151</v>
      </c>
    </row>
    <row r="144" customFormat="false" ht="12.8" hidden="false" customHeight="false" outlineLevel="0" collapsed="false">
      <c r="C144" s="1" t="s">
        <v>152</v>
      </c>
      <c r="D144" s="3" t="n">
        <v>20220111</v>
      </c>
      <c r="E144" s="1" t="s">
        <v>153</v>
      </c>
    </row>
    <row r="145" customFormat="false" ht="12.8" hidden="false" customHeight="false" outlineLevel="0" collapsed="false">
      <c r="C145" s="1" t="s">
        <v>154</v>
      </c>
      <c r="D145" s="3" t="n">
        <v>20220112</v>
      </c>
      <c r="E145" s="1" t="s">
        <v>155</v>
      </c>
    </row>
    <row r="146" customFormat="false" ht="12.8" hidden="false" customHeight="false" outlineLevel="0" collapsed="false">
      <c r="E146" s="1" t="s">
        <v>156</v>
      </c>
    </row>
    <row r="147" customFormat="false" ht="12.8" hidden="false" customHeight="false" outlineLevel="0" collapsed="false">
      <c r="C147" s="1" t="s">
        <v>157</v>
      </c>
      <c r="D147" s="3" t="n">
        <v>20220113</v>
      </c>
      <c r="E147" s="1" t="s">
        <v>158</v>
      </c>
    </row>
    <row r="148" customFormat="false" ht="12.8" hidden="false" customHeight="false" outlineLevel="0" collapsed="false">
      <c r="E148" s="1" t="s">
        <v>159</v>
      </c>
    </row>
    <row r="149" customFormat="false" ht="12.8" hidden="false" customHeight="false" outlineLevel="0" collapsed="false">
      <c r="E149" s="1" t="s">
        <v>160</v>
      </c>
    </row>
    <row r="150" customFormat="false" ht="12.8" hidden="false" customHeight="false" outlineLevel="0" collapsed="false">
      <c r="C150" s="1" t="s">
        <v>161</v>
      </c>
      <c r="D150" s="3" t="n">
        <v>20220114</v>
      </c>
      <c r="E150" s="1" t="s">
        <v>162</v>
      </c>
    </row>
    <row r="151" customFormat="false" ht="12.8" hidden="false" customHeight="false" outlineLevel="0" collapsed="false">
      <c r="E151" s="1" t="s">
        <v>163</v>
      </c>
    </row>
    <row r="152" customFormat="false" ht="12.8" hidden="false" customHeight="false" outlineLevel="0" collapsed="false">
      <c r="E152" s="1" t="s">
        <v>164</v>
      </c>
    </row>
    <row r="153" customFormat="false" ht="12.8" hidden="false" customHeight="false" outlineLevel="0" collapsed="false">
      <c r="E153" s="1" t="s">
        <v>165</v>
      </c>
    </row>
    <row r="154" customFormat="false" ht="12.8" hidden="false" customHeight="false" outlineLevel="0" collapsed="false">
      <c r="C154" s="1" t="s">
        <v>166</v>
      </c>
      <c r="D154" s="3" t="n">
        <v>20220115</v>
      </c>
      <c r="E154" s="1" t="s">
        <v>167</v>
      </c>
    </row>
    <row r="155" customFormat="false" ht="12.8" hidden="false" customHeight="false" outlineLevel="0" collapsed="false">
      <c r="C155" s="1" t="s">
        <v>168</v>
      </c>
      <c r="D155" s="3" t="n">
        <v>20220116</v>
      </c>
      <c r="E155" s="1" t="s">
        <v>169</v>
      </c>
    </row>
    <row r="156" customFormat="false" ht="12.8" hidden="false" customHeight="false" outlineLevel="0" collapsed="false">
      <c r="C156" s="1" t="s">
        <v>170</v>
      </c>
      <c r="D156" s="3" t="n">
        <v>20220117</v>
      </c>
      <c r="E156" s="1" t="s">
        <v>171</v>
      </c>
    </row>
    <row r="157" customFormat="false" ht="12.8" hidden="false" customHeight="false" outlineLevel="0" collapsed="false">
      <c r="C157" s="1" t="s">
        <v>172</v>
      </c>
      <c r="D157" s="3" t="n">
        <v>20220118</v>
      </c>
      <c r="E157" s="1" t="s">
        <v>173</v>
      </c>
    </row>
    <row r="158" customFormat="false" ht="12.8" hidden="false" customHeight="false" outlineLevel="0" collapsed="false">
      <c r="E158" s="1" t="s">
        <v>174</v>
      </c>
    </row>
    <row r="159" customFormat="false" ht="12.8" hidden="false" customHeight="false" outlineLevel="0" collapsed="false">
      <c r="E159" s="1" t="s">
        <v>175</v>
      </c>
    </row>
    <row r="160" customFormat="false" ht="12.8" hidden="false" customHeight="false" outlineLevel="0" collapsed="false">
      <c r="E160" s="1" t="s">
        <v>176</v>
      </c>
    </row>
    <row r="161" customFormat="false" ht="12.8" hidden="false" customHeight="false" outlineLevel="0" collapsed="false">
      <c r="E161" s="1" t="s">
        <v>177</v>
      </c>
    </row>
    <row r="162" customFormat="false" ht="12.8" hidden="false" customHeight="false" outlineLevel="0" collapsed="false">
      <c r="E162" s="1" t="s">
        <v>178</v>
      </c>
    </row>
    <row r="163" customFormat="false" ht="12.8" hidden="false" customHeight="false" outlineLevel="0" collapsed="false">
      <c r="C163" s="1" t="s">
        <v>179</v>
      </c>
      <c r="D163" s="3" t="n">
        <v>20220119</v>
      </c>
      <c r="E163" s="1" t="s">
        <v>180</v>
      </c>
    </row>
    <row r="164" customFormat="false" ht="12.8" hidden="false" customHeight="false" outlineLevel="0" collapsed="false">
      <c r="C164" s="1" t="s">
        <v>181</v>
      </c>
      <c r="D164" s="3" t="n">
        <v>20220126</v>
      </c>
      <c r="E164" s="1" t="s">
        <v>182</v>
      </c>
    </row>
    <row r="165" customFormat="false" ht="12.8" hidden="false" customHeight="false" outlineLevel="0" collapsed="false">
      <c r="C165" s="1" t="s">
        <v>183</v>
      </c>
      <c r="D165" s="3" t="n">
        <v>20220127</v>
      </c>
      <c r="E165" s="1" t="s">
        <v>184</v>
      </c>
    </row>
    <row r="166" customFormat="false" ht="12.8" hidden="false" customHeight="false" outlineLevel="0" collapsed="false">
      <c r="C166" s="1" t="s">
        <v>185</v>
      </c>
      <c r="D166" s="3" t="n">
        <v>20220201</v>
      </c>
      <c r="E166" s="1" t="s">
        <v>186</v>
      </c>
    </row>
    <row r="167" customFormat="false" ht="12.8" hidden="false" customHeight="false" outlineLevel="0" collapsed="false">
      <c r="E167" s="1" t="s">
        <v>187</v>
      </c>
    </row>
    <row r="168" customFormat="false" ht="12.8" hidden="false" customHeight="false" outlineLevel="0" collapsed="false">
      <c r="E168" s="1" t="s">
        <v>188</v>
      </c>
    </row>
    <row r="169" customFormat="false" ht="12.8" hidden="false" customHeight="false" outlineLevel="0" collapsed="false">
      <c r="C169" s="1" t="s">
        <v>189</v>
      </c>
      <c r="D169" s="3" t="n">
        <v>20220208</v>
      </c>
      <c r="E169" s="1" t="s">
        <v>190</v>
      </c>
    </row>
    <row r="170" customFormat="false" ht="12.8" hidden="false" customHeight="false" outlineLevel="0" collapsed="false">
      <c r="C170" s="1" t="s">
        <v>191</v>
      </c>
      <c r="D170" s="3" t="n">
        <v>20220209</v>
      </c>
      <c r="E170" s="1" t="s">
        <v>192</v>
      </c>
    </row>
    <row r="171" customFormat="false" ht="12.8" hidden="false" customHeight="false" outlineLevel="0" collapsed="false">
      <c r="C171" s="1" t="s">
        <v>193</v>
      </c>
      <c r="D171" s="3" t="n">
        <v>20220209</v>
      </c>
      <c r="E171" s="1" t="s">
        <v>194</v>
      </c>
    </row>
    <row r="172" customFormat="false" ht="12.8" hidden="false" customHeight="false" outlineLevel="0" collapsed="false">
      <c r="C172" s="1" t="s">
        <v>195</v>
      </c>
      <c r="D172" s="3" t="n">
        <v>20220210</v>
      </c>
      <c r="E172" s="1" t="s">
        <v>196</v>
      </c>
    </row>
    <row r="173" customFormat="false" ht="12.8" hidden="false" customHeight="false" outlineLevel="0" collapsed="false">
      <c r="C173" s="1" t="s">
        <v>197</v>
      </c>
      <c r="D173" s="3" t="n">
        <v>20220211</v>
      </c>
      <c r="E173" s="1" t="s">
        <v>198</v>
      </c>
    </row>
    <row r="174" customFormat="false" ht="12.8" hidden="false" customHeight="false" outlineLevel="0" collapsed="false">
      <c r="E174" s="1" t="s">
        <v>199</v>
      </c>
    </row>
    <row r="175" customFormat="false" ht="12.8" hidden="false" customHeight="false" outlineLevel="0" collapsed="false">
      <c r="C175" s="1" t="s">
        <v>200</v>
      </c>
      <c r="D175" s="3" t="n">
        <v>20220214</v>
      </c>
      <c r="E175" s="1" t="s">
        <v>201</v>
      </c>
    </row>
    <row r="176" customFormat="false" ht="12.8" hidden="false" customHeight="false" outlineLevel="0" collapsed="false">
      <c r="C176" s="1" t="s">
        <v>202</v>
      </c>
      <c r="D176" s="3" t="n">
        <v>20220218</v>
      </c>
      <c r="E176" s="1" t="s">
        <v>203</v>
      </c>
    </row>
    <row r="177" customFormat="false" ht="12.8" hidden="false" customHeight="false" outlineLevel="0" collapsed="false">
      <c r="C177" s="1" t="s">
        <v>204</v>
      </c>
      <c r="D177" s="3" t="n">
        <v>20220222</v>
      </c>
      <c r="E177" s="1" t="s">
        <v>205</v>
      </c>
    </row>
    <row r="178" customFormat="false" ht="12.8" hidden="false" customHeight="false" outlineLevel="0" collapsed="false">
      <c r="C178" s="1" t="s">
        <v>206</v>
      </c>
      <c r="D178" s="3" t="n">
        <v>20220223</v>
      </c>
      <c r="E178" s="1" t="s">
        <v>207</v>
      </c>
    </row>
    <row r="179" customFormat="false" ht="12.8" hidden="false" customHeight="false" outlineLevel="0" collapsed="false">
      <c r="C179" s="1" t="s">
        <v>208</v>
      </c>
      <c r="D179" s="3" t="n">
        <v>20220223</v>
      </c>
      <c r="E179" s="1" t="s">
        <v>209</v>
      </c>
    </row>
    <row r="180" customFormat="false" ht="12.8" hidden="false" customHeight="false" outlineLevel="0" collapsed="false">
      <c r="C180" s="1" t="s">
        <v>210</v>
      </c>
      <c r="D180" s="3" t="n">
        <v>20220224</v>
      </c>
      <c r="E180" s="1" t="s">
        <v>211</v>
      </c>
    </row>
    <row r="181" customFormat="false" ht="12.8" hidden="false" customHeight="false" outlineLevel="0" collapsed="false">
      <c r="E181" s="1" t="s">
        <v>212</v>
      </c>
    </row>
    <row r="182" customFormat="false" ht="12.8" hidden="false" customHeight="false" outlineLevel="0" collapsed="false">
      <c r="E182" s="1" t="s">
        <v>213</v>
      </c>
    </row>
    <row r="183" customFormat="false" ht="12.8" hidden="false" customHeight="false" outlineLevel="0" collapsed="false">
      <c r="C183" s="1" t="s">
        <v>214</v>
      </c>
      <c r="D183" s="3" t="n">
        <v>20220228</v>
      </c>
      <c r="E183" s="1" t="s">
        <v>215</v>
      </c>
    </row>
    <row r="184" customFormat="false" ht="12.8" hidden="false" customHeight="false" outlineLevel="0" collapsed="false">
      <c r="C184" s="1" t="s">
        <v>216</v>
      </c>
      <c r="D184" s="3" t="n">
        <v>20220304</v>
      </c>
      <c r="E184" s="1" t="s">
        <v>217</v>
      </c>
    </row>
    <row r="185" customFormat="false" ht="12.8" hidden="false" customHeight="false" outlineLevel="0" collapsed="false">
      <c r="C185" s="1" t="s">
        <v>218</v>
      </c>
      <c r="D185" s="3" t="n">
        <v>20220306</v>
      </c>
      <c r="E185" s="1" t="s">
        <v>219</v>
      </c>
    </row>
    <row r="186" customFormat="false" ht="12.8" hidden="false" customHeight="false" outlineLevel="0" collapsed="false">
      <c r="E186" s="1" t="s">
        <v>220</v>
      </c>
    </row>
    <row r="187" customFormat="false" ht="12.8" hidden="false" customHeight="false" outlineLevel="0" collapsed="false">
      <c r="C187" s="1" t="s">
        <v>221</v>
      </c>
      <c r="D187" s="3" t="n">
        <v>20220307</v>
      </c>
      <c r="E187" s="1" t="s">
        <v>222</v>
      </c>
    </row>
    <row r="188" customFormat="false" ht="12.8" hidden="false" customHeight="false" outlineLevel="0" collapsed="false">
      <c r="C188" s="1" t="s">
        <v>223</v>
      </c>
      <c r="D188" s="3" t="n">
        <v>20220310</v>
      </c>
      <c r="E188" s="1" t="s">
        <v>224</v>
      </c>
    </row>
    <row r="189" customFormat="false" ht="12.8" hidden="false" customHeight="false" outlineLevel="0" collapsed="false">
      <c r="C189" s="1" t="s">
        <v>225</v>
      </c>
      <c r="D189" s="3" t="n">
        <v>20220314</v>
      </c>
      <c r="E189" s="1" t="s">
        <v>226</v>
      </c>
    </row>
    <row r="190" customFormat="false" ht="12.8" hidden="false" customHeight="false" outlineLevel="0" collapsed="false">
      <c r="E190" s="1" t="s">
        <v>227</v>
      </c>
    </row>
    <row r="191" customFormat="false" ht="12.8" hidden="false" customHeight="false" outlineLevel="0" collapsed="false">
      <c r="C191" s="1" t="s">
        <v>228</v>
      </c>
      <c r="D191" s="3" t="n">
        <v>20220317</v>
      </c>
      <c r="E191" s="1" t="s">
        <v>229</v>
      </c>
    </row>
    <row r="192" customFormat="false" ht="12.8" hidden="false" customHeight="false" outlineLevel="0" collapsed="false">
      <c r="C192" s="1" t="s">
        <v>230</v>
      </c>
      <c r="D192" s="3" t="n">
        <v>20220318</v>
      </c>
      <c r="E192" s="1" t="s">
        <v>231</v>
      </c>
    </row>
    <row r="193" customFormat="false" ht="12.8" hidden="false" customHeight="false" outlineLevel="0" collapsed="false">
      <c r="C193" s="1" t="s">
        <v>232</v>
      </c>
      <c r="D193" s="3" t="n">
        <v>20220324</v>
      </c>
      <c r="E193" s="1" t="s">
        <v>233</v>
      </c>
    </row>
    <row r="194" customFormat="false" ht="12.8" hidden="false" customHeight="false" outlineLevel="0" collapsed="false">
      <c r="C194" s="1" t="s">
        <v>234</v>
      </c>
      <c r="D194" s="3" t="n">
        <v>20220325</v>
      </c>
      <c r="E194" s="1" t="s">
        <v>235</v>
      </c>
    </row>
    <row r="195" customFormat="false" ht="12.8" hidden="false" customHeight="false" outlineLevel="0" collapsed="false">
      <c r="C195" s="1" t="s">
        <v>236</v>
      </c>
      <c r="D195" s="3" t="n">
        <v>20220329</v>
      </c>
      <c r="E195" s="1" t="s">
        <v>237</v>
      </c>
    </row>
    <row r="196" customFormat="false" ht="12.8" hidden="false" customHeight="false" outlineLevel="0" collapsed="false">
      <c r="E196" s="1" t="s">
        <v>238</v>
      </c>
    </row>
    <row r="197" customFormat="false" ht="12.8" hidden="false" customHeight="false" outlineLevel="0" collapsed="false">
      <c r="C197" s="1" t="s">
        <v>239</v>
      </c>
      <c r="D197" s="3" t="n">
        <v>20220330</v>
      </c>
      <c r="E197" s="1" t="s">
        <v>240</v>
      </c>
    </row>
    <row r="198" customFormat="false" ht="12.8" hidden="false" customHeight="false" outlineLevel="0" collapsed="false">
      <c r="C198" s="1" t="s">
        <v>241</v>
      </c>
      <c r="D198" s="3" t="n">
        <v>20220331</v>
      </c>
      <c r="E198" s="1" t="s">
        <v>242</v>
      </c>
    </row>
    <row r="199" customFormat="false" ht="12.8" hidden="false" customHeight="false" outlineLevel="0" collapsed="false">
      <c r="C199" s="1" t="s">
        <v>243</v>
      </c>
      <c r="D199" s="3" t="n">
        <v>20220414</v>
      </c>
      <c r="E199" s="1" t="s">
        <v>244</v>
      </c>
    </row>
    <row r="200" customFormat="false" ht="12.8" hidden="false" customHeight="false" outlineLevel="0" collapsed="false">
      <c r="E200" s="1" t="s">
        <v>245</v>
      </c>
    </row>
    <row r="201" customFormat="false" ht="12.8" hidden="false" customHeight="false" outlineLevel="0" collapsed="false">
      <c r="C201" s="1" t="s">
        <v>246</v>
      </c>
      <c r="D201" s="3" t="n">
        <v>20220415</v>
      </c>
      <c r="E201" s="1" t="s">
        <v>247</v>
      </c>
    </row>
    <row r="202" customFormat="false" ht="12.8" hidden="false" customHeight="false" outlineLevel="0" collapsed="false">
      <c r="C202" s="1" t="s">
        <v>248</v>
      </c>
      <c r="D202" s="3" t="n">
        <v>20220418</v>
      </c>
      <c r="E202" s="1" t="s">
        <v>249</v>
      </c>
    </row>
    <row r="203" customFormat="false" ht="12.8" hidden="false" customHeight="false" outlineLevel="0" collapsed="false">
      <c r="E203" s="1" t="s">
        <v>250</v>
      </c>
    </row>
    <row r="204" customFormat="false" ht="12.8" hidden="false" customHeight="false" outlineLevel="0" collapsed="false">
      <c r="E204" s="4" t="s">
        <v>251</v>
      </c>
    </row>
    <row r="205" customFormat="false" ht="12.8" hidden="false" customHeight="false" outlineLevel="0" collapsed="false">
      <c r="C205" s="1" t="s">
        <v>252</v>
      </c>
      <c r="D205" s="3" t="n">
        <v>20220423</v>
      </c>
      <c r="E205" s="1" t="s">
        <v>253</v>
      </c>
    </row>
    <row r="206" customFormat="false" ht="12.8" hidden="false" customHeight="false" outlineLevel="0" collapsed="false">
      <c r="E206" s="1" t="s">
        <v>254</v>
      </c>
    </row>
    <row r="207" customFormat="false" ht="12.8" hidden="false" customHeight="false" outlineLevel="0" collapsed="false">
      <c r="C207" s="1" t="s">
        <v>255</v>
      </c>
      <c r="D207" s="3" t="n">
        <v>20220425</v>
      </c>
      <c r="E207" s="1" t="s">
        <v>256</v>
      </c>
    </row>
    <row r="208" customFormat="false" ht="12.8" hidden="false" customHeight="false" outlineLevel="0" collapsed="false">
      <c r="E208" s="1" t="s">
        <v>257</v>
      </c>
    </row>
    <row r="209" customFormat="false" ht="12.8" hidden="false" customHeight="false" outlineLevel="0" collapsed="false">
      <c r="C209" s="1" t="s">
        <v>258</v>
      </c>
      <c r="D209" s="3" t="n">
        <v>20220427</v>
      </c>
      <c r="E209" s="1" t="s">
        <v>259</v>
      </c>
    </row>
    <row r="210" customFormat="false" ht="12.8" hidden="false" customHeight="false" outlineLevel="0" collapsed="false">
      <c r="C210" s="1" t="s">
        <v>260</v>
      </c>
      <c r="D210" s="3" t="n">
        <v>20220514</v>
      </c>
      <c r="E210" s="1" t="s">
        <v>261</v>
      </c>
    </row>
    <row r="211" customFormat="false" ht="12.8" hidden="false" customHeight="false" outlineLevel="0" collapsed="false">
      <c r="C211" s="1" t="s">
        <v>262</v>
      </c>
      <c r="D211" s="3" t="n">
        <v>20220525</v>
      </c>
      <c r="E211" s="1" t="s">
        <v>263</v>
      </c>
    </row>
    <row r="212" customFormat="false" ht="12.8" hidden="false" customHeight="false" outlineLevel="0" collapsed="false">
      <c r="C212" s="1" t="s">
        <v>264</v>
      </c>
      <c r="D212" s="3" t="n">
        <v>20220529</v>
      </c>
      <c r="E212" s="1" t="s">
        <v>265</v>
      </c>
    </row>
    <row r="213" customFormat="false" ht="12.8" hidden="false" customHeight="false" outlineLevel="0" collapsed="false">
      <c r="E213" s="1" t="s">
        <v>266</v>
      </c>
    </row>
    <row r="214" customFormat="false" ht="12.8" hidden="false" customHeight="false" outlineLevel="0" collapsed="false">
      <c r="C214" s="1" t="s">
        <v>267</v>
      </c>
      <c r="D214" s="3" t="n">
        <v>20220530</v>
      </c>
      <c r="E214" s="1" t="s">
        <v>268</v>
      </c>
    </row>
    <row r="215" customFormat="false" ht="12.8" hidden="false" customHeight="false" outlineLevel="0" collapsed="false">
      <c r="E215" s="1" t="s">
        <v>269</v>
      </c>
    </row>
    <row r="216" customFormat="false" ht="12.8" hidden="false" customHeight="false" outlineLevel="0" collapsed="false">
      <c r="E216" s="13" t="s">
        <v>270</v>
      </c>
    </row>
    <row r="217" customFormat="false" ht="12.8" hidden="false" customHeight="false" outlineLevel="0" collapsed="false">
      <c r="C217" s="1" t="s">
        <v>271</v>
      </c>
      <c r="D217" s="3" t="n">
        <v>20220603</v>
      </c>
      <c r="E217" s="1" t="s">
        <v>272</v>
      </c>
    </row>
    <row r="218" customFormat="false" ht="12.8" hidden="false" customHeight="false" outlineLevel="0" collapsed="false">
      <c r="C218" s="1" t="s">
        <v>273</v>
      </c>
      <c r="D218" s="3" t="n">
        <v>20220608</v>
      </c>
      <c r="E218" s="1" t="s">
        <v>274</v>
      </c>
    </row>
    <row r="219" customFormat="false" ht="12.8" hidden="false" customHeight="false" outlineLevel="0" collapsed="false">
      <c r="C219" s="1" t="s">
        <v>275</v>
      </c>
      <c r="D219" s="3" t="n">
        <v>20220814</v>
      </c>
      <c r="E219" s="1" t="s">
        <v>276</v>
      </c>
    </row>
    <row r="220" customFormat="false" ht="12.8" hidden="false" customHeight="false" outlineLevel="0" collapsed="false">
      <c r="C220" s="1" t="s">
        <v>277</v>
      </c>
      <c r="D220" s="3" t="n">
        <v>20220903</v>
      </c>
      <c r="E220" s="1" t="s">
        <v>278</v>
      </c>
    </row>
    <row r="221" customFormat="false" ht="12.8" hidden="false" customHeight="false" outlineLevel="0" collapsed="false">
      <c r="C221" s="1" t="s">
        <v>279</v>
      </c>
      <c r="D221" s="3" t="n">
        <v>20221106</v>
      </c>
      <c r="E221" s="1" t="s">
        <v>280</v>
      </c>
    </row>
    <row r="222" customFormat="false" ht="12.8" hidden="false" customHeight="false" outlineLevel="0" collapsed="false">
      <c r="E222" s="1" t="s">
        <v>281</v>
      </c>
    </row>
    <row r="223" customFormat="false" ht="12.8" hidden="false" customHeight="false" outlineLevel="0" collapsed="false">
      <c r="E223" s="1" t="s">
        <v>282</v>
      </c>
    </row>
    <row r="224" customFormat="false" ht="12.8" hidden="false" customHeight="false" outlineLevel="0" collapsed="false">
      <c r="C224" s="1" t="s">
        <v>283</v>
      </c>
      <c r="D224" s="3" t="n">
        <v>20221109</v>
      </c>
      <c r="E224" s="1" t="s">
        <v>284</v>
      </c>
    </row>
    <row r="225" customFormat="false" ht="12.8" hidden="false" customHeight="false" outlineLevel="0" collapsed="false">
      <c r="C225" s="1" t="s">
        <v>285</v>
      </c>
      <c r="D225" s="3" t="n">
        <v>20221116</v>
      </c>
      <c r="E225" s="1" t="s">
        <v>286</v>
      </c>
    </row>
    <row r="226" customFormat="false" ht="12.8" hidden="false" customHeight="false" outlineLevel="0" collapsed="false">
      <c r="D226" s="3" t="n">
        <v>20221128</v>
      </c>
      <c r="E226" s="1" t="s">
        <v>287</v>
      </c>
    </row>
    <row r="227" customFormat="false" ht="12.8" hidden="false" customHeight="false" outlineLevel="0" collapsed="false">
      <c r="E227" s="1" t="s">
        <v>288</v>
      </c>
    </row>
    <row r="228" customFormat="false" ht="12.8" hidden="false" customHeight="false" outlineLevel="0" collapsed="false">
      <c r="C228" s="1" t="s">
        <v>289</v>
      </c>
      <c r="D228" s="3" t="n">
        <v>20221129</v>
      </c>
      <c r="E228" s="1" t="s">
        <v>290</v>
      </c>
    </row>
    <row r="229" customFormat="false" ht="12.8" hidden="false" customHeight="false" outlineLevel="0" collapsed="false">
      <c r="C229" s="1" t="s">
        <v>291</v>
      </c>
      <c r="D229" s="3" t="n">
        <v>20221130</v>
      </c>
      <c r="E229" s="1" t="s">
        <v>292</v>
      </c>
    </row>
    <row r="230" customFormat="false" ht="12.8" hidden="false" customHeight="false" outlineLevel="0" collapsed="false">
      <c r="C230" s="1" t="s">
        <v>293</v>
      </c>
      <c r="D230" s="3" t="n">
        <v>20221204</v>
      </c>
      <c r="E230" s="1" t="s">
        <v>294</v>
      </c>
    </row>
    <row r="231" customFormat="false" ht="12.8" hidden="false" customHeight="false" outlineLevel="0" collapsed="false">
      <c r="C231" s="1" t="s">
        <v>295</v>
      </c>
      <c r="D231" s="3" t="n">
        <v>20221207</v>
      </c>
      <c r="E231" s="1" t="s">
        <v>296</v>
      </c>
    </row>
    <row r="232" customFormat="false" ht="12.8" hidden="false" customHeight="false" outlineLevel="0" collapsed="false">
      <c r="C232" s="1" t="s">
        <v>297</v>
      </c>
      <c r="D232" s="3" t="n">
        <v>20230103</v>
      </c>
      <c r="E232" s="1" t="s">
        <v>298</v>
      </c>
    </row>
    <row r="233" customFormat="false" ht="12.8" hidden="false" customHeight="false" outlineLevel="0" collapsed="false">
      <c r="C233" s="1" t="s">
        <v>299</v>
      </c>
      <c r="D233" s="3" t="n">
        <v>20230110</v>
      </c>
      <c r="E233" s="1" t="s">
        <v>300</v>
      </c>
    </row>
    <row r="234" customFormat="false" ht="12.8" hidden="false" customHeight="false" outlineLevel="0" collapsed="false">
      <c r="C234" s="1" t="s">
        <v>301</v>
      </c>
      <c r="D234" s="3" t="n">
        <v>20230115</v>
      </c>
      <c r="E234" s="1" t="s">
        <v>302</v>
      </c>
    </row>
    <row r="235" customFormat="false" ht="12.8" hidden="false" customHeight="false" outlineLevel="0" collapsed="false">
      <c r="E235" s="1" t="s">
        <v>303</v>
      </c>
    </row>
    <row r="236" customFormat="false" ht="12.8" hidden="false" customHeight="false" outlineLevel="0" collapsed="false">
      <c r="E236" s="1" t="s">
        <v>304</v>
      </c>
    </row>
    <row r="237" customFormat="false" ht="12.8" hidden="false" customHeight="false" outlineLevel="0" collapsed="false">
      <c r="C237" s="1" t="s">
        <v>305</v>
      </c>
      <c r="D237" s="3" t="n">
        <v>20230117</v>
      </c>
      <c r="E237" s="1" t="s">
        <v>306</v>
      </c>
    </row>
    <row r="238" customFormat="false" ht="12.8" hidden="false" customHeight="false" outlineLevel="0" collapsed="false">
      <c r="D238" s="3" t="n">
        <v>20230121</v>
      </c>
      <c r="E238" s="1" t="s">
        <v>307</v>
      </c>
    </row>
    <row r="239" customFormat="false" ht="12.8" hidden="false" customHeight="false" outlineLevel="0" collapsed="false">
      <c r="C239" s="1" t="s">
        <v>308</v>
      </c>
      <c r="D239" s="3" t="n">
        <v>20230215</v>
      </c>
      <c r="E239" s="1" t="s">
        <v>309</v>
      </c>
    </row>
    <row r="240" customFormat="false" ht="12.8" hidden="false" customHeight="false" outlineLevel="0" collapsed="false">
      <c r="C240" s="1" t="s">
        <v>310</v>
      </c>
      <c r="D240" s="3" t="n">
        <v>20230226</v>
      </c>
      <c r="E240" s="1" t="s">
        <v>311</v>
      </c>
    </row>
    <row r="241" customFormat="false" ht="12.8" hidden="false" customHeight="false" outlineLevel="0" collapsed="false">
      <c r="C241" s="1" t="s">
        <v>312</v>
      </c>
      <c r="D241" s="3" t="n">
        <v>20230326</v>
      </c>
      <c r="E241" s="1" t="s">
        <v>313</v>
      </c>
    </row>
    <row r="242" customFormat="false" ht="12.8" hidden="false" customHeight="false" outlineLevel="0" collapsed="false">
      <c r="C242" s="1" t="s">
        <v>314</v>
      </c>
      <c r="D242" s="3" t="n">
        <v>20230603</v>
      </c>
      <c r="E242" s="1" t="s">
        <v>315</v>
      </c>
    </row>
    <row r="243" customFormat="false" ht="12.8" hidden="false" customHeight="false" outlineLevel="0" collapsed="false">
      <c r="C243" s="1" t="s">
        <v>316</v>
      </c>
      <c r="D243" s="3" t="n">
        <v>20230606</v>
      </c>
      <c r="E243" s="1" t="s">
        <v>317</v>
      </c>
    </row>
    <row r="244" customFormat="false" ht="12.8" hidden="false" customHeight="false" outlineLevel="0" collapsed="false">
      <c r="E244" s="1" t="s">
        <v>318</v>
      </c>
    </row>
    <row r="245" customFormat="false" ht="12.8" hidden="false" customHeight="false" outlineLevel="0" collapsed="false">
      <c r="E245" s="1" t="s">
        <v>319</v>
      </c>
    </row>
    <row r="246" customFormat="false" ht="12.8" hidden="false" customHeight="false" outlineLevel="0" collapsed="false">
      <c r="C246" s="1" t="s">
        <v>320</v>
      </c>
      <c r="D246" s="3" t="n">
        <v>20230607</v>
      </c>
      <c r="E246" s="1" t="s">
        <v>321</v>
      </c>
    </row>
    <row r="247" customFormat="false" ht="12.8" hidden="false" customHeight="false" outlineLevel="0" collapsed="false">
      <c r="C247" s="1" t="s">
        <v>322</v>
      </c>
      <c r="D247" s="3" t="n">
        <v>20230624</v>
      </c>
      <c r="E247" s="1" t="s">
        <v>323</v>
      </c>
    </row>
    <row r="248" customFormat="false" ht="12.8" hidden="false" customHeight="false" outlineLevel="0" collapsed="false">
      <c r="C248" s="1" t="s">
        <v>324</v>
      </c>
      <c r="D248" s="3" t="n">
        <v>20230724</v>
      </c>
      <c r="E248" s="1" t="s">
        <v>325</v>
      </c>
    </row>
    <row r="249" customFormat="false" ht="12.8" hidden="false" customHeight="false" outlineLevel="0" collapsed="false">
      <c r="C249" s="1" t="s">
        <v>326</v>
      </c>
      <c r="D249" s="3" t="n">
        <v>20230910</v>
      </c>
      <c r="E249" s="1" t="s">
        <v>327</v>
      </c>
    </row>
    <row r="250" customFormat="false" ht="12.8" hidden="false" customHeight="false" outlineLevel="0" collapsed="false">
      <c r="C250" s="1" t="s">
        <v>326</v>
      </c>
      <c r="D250" s="3" t="n">
        <v>20230915</v>
      </c>
      <c r="E250" s="1" t="s">
        <v>328</v>
      </c>
    </row>
    <row r="251" customFormat="false" ht="12.8" hidden="false" customHeight="false" outlineLevel="0" collapsed="false">
      <c r="C251" s="1" t="s">
        <v>329</v>
      </c>
      <c r="D251" s="3" t="n">
        <v>20231216</v>
      </c>
      <c r="E251" s="1" t="s">
        <v>330</v>
      </c>
    </row>
    <row r="252" customFormat="false" ht="12.8" hidden="false" customHeight="false" outlineLevel="0" collapsed="false">
      <c r="C252" s="1" t="s">
        <v>331</v>
      </c>
      <c r="D252" s="3" t="n">
        <v>20240212</v>
      </c>
      <c r="E252" s="1" t="s">
        <v>332</v>
      </c>
    </row>
    <row r="253" customFormat="false" ht="12.8" hidden="false" customHeight="false" outlineLevel="0" collapsed="false">
      <c r="C253" s="1" t="s">
        <v>333</v>
      </c>
      <c r="D253" s="3" t="n">
        <v>20250208</v>
      </c>
      <c r="E253" s="1" t="s">
        <v>334</v>
      </c>
    </row>
    <row r="254" customFormat="false" ht="12.8" hidden="false" customHeight="false" outlineLevel="0" collapsed="false">
      <c r="C254" s="1" t="s">
        <v>335</v>
      </c>
      <c r="D254" s="3" t="n">
        <v>20250817</v>
      </c>
      <c r="E254" s="1" t="s">
        <v>336</v>
      </c>
    </row>
    <row r="255" customFormat="false" ht="12.8" hidden="false" customHeight="false" outlineLevel="0" collapsed="false">
      <c r="E255" s="1" t="s">
        <v>337</v>
      </c>
    </row>
    <row r="256" customFormat="false" ht="12.8" hidden="false" customHeight="false" outlineLevel="0" collapsed="false">
      <c r="E256" s="1" t="s">
        <v>338</v>
      </c>
    </row>
    <row r="257" customFormat="false" ht="12.8" hidden="false" customHeight="false" outlineLevel="0" collapsed="false">
      <c r="C257" s="1" t="s">
        <v>339</v>
      </c>
      <c r="D257" s="3" t="n">
        <v>20250920</v>
      </c>
      <c r="E257" s="1" t="s">
        <v>340</v>
      </c>
    </row>
    <row r="258" customFormat="false" ht="12.8" hidden="false" customHeight="false" outlineLevel="0" collapsed="false">
      <c r="C258" s="1" t="s">
        <v>341</v>
      </c>
      <c r="D258" s="3" t="n">
        <v>20260307</v>
      </c>
      <c r="E258" s="1" t="s">
        <v>342</v>
      </c>
    </row>
    <row r="259" customFormat="false" ht="12.8" hidden="false" customHeight="false" outlineLevel="0" collapsed="false">
      <c r="E259" s="1" t="s">
        <v>343</v>
      </c>
    </row>
    <row r="260" customFormat="false" ht="12.8" hidden="false" customHeight="false" outlineLevel="0" collapsed="false">
      <c r="C260" s="1" t="s">
        <v>344</v>
      </c>
      <c r="D260" s="3" t="n">
        <v>20261024</v>
      </c>
      <c r="E260" s="1" t="s">
        <v>345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6" activeCellId="0" sqref="D26"/>
    </sheetView>
  </sheetViews>
  <sheetFormatPr defaultColWidth="15.90234375" defaultRowHeight="12.8" zeroHeight="false" outlineLevelRow="0" outlineLevelCol="0"/>
  <cols>
    <col collapsed="false" customWidth="true" hidden="false" outlineLevel="0" max="3" min="3" style="1" width="29.31"/>
    <col collapsed="false" customWidth="true" hidden="false" outlineLevel="0" max="4" min="4" style="1" width="22.36"/>
  </cols>
  <sheetData>
    <row r="1" customFormat="false" ht="12.8" hidden="false" customHeight="false" outlineLevel="0" collapsed="false">
      <c r="A1" s="14" t="s">
        <v>346</v>
      </c>
      <c r="B1" s="15" t="s">
        <v>347</v>
      </c>
      <c r="C1" s="0"/>
      <c r="D1" s="0"/>
    </row>
    <row r="2" customFormat="false" ht="12.8" hidden="false" customHeight="false" outlineLevel="0" collapsed="false">
      <c r="A2" s="14" t="s">
        <v>348</v>
      </c>
      <c r="B2" s="15" t="s">
        <v>347</v>
      </c>
      <c r="C2" s="0"/>
      <c r="D2" s="0"/>
    </row>
    <row r="3" customFormat="false" ht="12.8" hidden="false" customHeight="false" outlineLevel="0" collapsed="false">
      <c r="A3" s="14" t="s">
        <v>349</v>
      </c>
      <c r="B3" s="15" t="s">
        <v>347</v>
      </c>
      <c r="C3" s="0"/>
      <c r="D3" s="0"/>
    </row>
    <row r="4" customFormat="false" ht="12.8" hidden="false" customHeight="false" outlineLevel="0" collapsed="false">
      <c r="C4" s="0"/>
      <c r="D4" s="0"/>
    </row>
    <row r="5" customFormat="false" ht="12.8" hidden="false" customHeight="false" outlineLevel="0" collapsed="false">
      <c r="A5" s="16" t="s">
        <v>350</v>
      </c>
      <c r="B5" s="17" t="s">
        <v>351</v>
      </c>
      <c r="C5" s="17" t="s">
        <v>352</v>
      </c>
      <c r="D5" s="17" t="s">
        <v>353</v>
      </c>
      <c r="E5" s="18" t="s">
        <v>354</v>
      </c>
    </row>
    <row r="6" customFormat="false" ht="12.8" hidden="false" customHeight="false" outlineLevel="0" collapsed="false">
      <c r="A6" s="19" t="s">
        <v>355</v>
      </c>
      <c r="B6" s="20" t="s">
        <v>355</v>
      </c>
      <c r="C6" s="21" t="n">
        <v>0</v>
      </c>
      <c r="D6" s="22" t="s">
        <v>355</v>
      </c>
      <c r="E6" s="23" t="n">
        <v>0</v>
      </c>
    </row>
    <row r="7" customFormat="false" ht="12.8" hidden="false" customHeight="false" outlineLevel="0" collapsed="false">
      <c r="A7" s="19" t="s">
        <v>356</v>
      </c>
      <c r="B7" s="20" t="s">
        <v>355</v>
      </c>
      <c r="C7" s="21" t="n">
        <v>0</v>
      </c>
      <c r="D7" s="22" t="s">
        <v>356</v>
      </c>
      <c r="E7" s="23" t="n">
        <v>1</v>
      </c>
    </row>
    <row r="8" customFormat="false" ht="12.8" hidden="false" customHeight="false" outlineLevel="0" collapsed="false">
      <c r="A8" s="19" t="s">
        <v>357</v>
      </c>
      <c r="B8" s="20" t="s">
        <v>355</v>
      </c>
      <c r="C8" s="21" t="n">
        <v>45658</v>
      </c>
      <c r="D8" s="22" t="s">
        <v>357</v>
      </c>
      <c r="E8" s="23" t="n">
        <v>0</v>
      </c>
    </row>
    <row r="9" customFormat="false" ht="12.8" hidden="false" customHeight="false" outlineLevel="0" collapsed="false">
      <c r="A9" s="19" t="s">
        <v>358</v>
      </c>
      <c r="B9" s="20" t="s">
        <v>355</v>
      </c>
      <c r="C9" s="21" t="n">
        <v>0</v>
      </c>
      <c r="D9" s="22" t="s">
        <v>358</v>
      </c>
      <c r="E9" s="23" t="n">
        <v>0</v>
      </c>
    </row>
    <row r="10" customFormat="false" ht="12.8" hidden="false" customHeight="false" outlineLevel="0" collapsed="false">
      <c r="A10" s="19" t="s">
        <v>359</v>
      </c>
      <c r="B10" s="20" t="s">
        <v>355</v>
      </c>
      <c r="C10" s="21" t="n">
        <v>0</v>
      </c>
      <c r="D10" s="22" t="s">
        <v>359</v>
      </c>
      <c r="E10" s="23" t="n">
        <v>0</v>
      </c>
    </row>
    <row r="11" customFormat="false" ht="12.8" hidden="false" customHeight="false" outlineLevel="0" collapsed="false">
      <c r="A11" s="19" t="s">
        <v>360</v>
      </c>
      <c r="B11" s="20" t="s">
        <v>355</v>
      </c>
      <c r="C11" s="21" t="n">
        <v>0</v>
      </c>
      <c r="D11" s="22" t="s">
        <v>360</v>
      </c>
      <c r="E11" s="23" t="n">
        <v>0</v>
      </c>
    </row>
    <row r="12" customFormat="false" ht="12.8" hidden="false" customHeight="false" outlineLevel="0" collapsed="false">
      <c r="A12" s="19" t="s">
        <v>361</v>
      </c>
      <c r="B12" s="20" t="s">
        <v>355</v>
      </c>
      <c r="C12" s="21" t="n">
        <v>0</v>
      </c>
      <c r="D12" s="22" t="s">
        <v>361</v>
      </c>
      <c r="E12" s="23" t="n">
        <v>0</v>
      </c>
    </row>
    <row r="13" customFormat="false" ht="12.8" hidden="false" customHeight="false" outlineLevel="0" collapsed="false">
      <c r="A13" s="19" t="s">
        <v>362</v>
      </c>
      <c r="B13" s="20" t="s">
        <v>355</v>
      </c>
      <c r="C13" s="21" t="n">
        <v>45658</v>
      </c>
      <c r="D13" s="22" t="s">
        <v>362</v>
      </c>
      <c r="E13" s="23" t="n">
        <v>0</v>
      </c>
    </row>
    <row r="14" customFormat="false" ht="12.8" hidden="false" customHeight="false" outlineLevel="0" collapsed="false">
      <c r="A14" s="24" t="s">
        <v>363</v>
      </c>
      <c r="B14" s="25"/>
      <c r="C14" s="26"/>
      <c r="D14" s="27"/>
      <c r="E14" s="28" t="n">
        <v>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ANA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P45" activeCellId="0" sqref="P45"/>
    </sheetView>
  </sheetViews>
  <sheetFormatPr defaultColWidth="15.1015625" defaultRowHeight="12.8" zeroHeight="false" outlineLevelRow="1" outlineLevelCol="1"/>
  <cols>
    <col collapsed="false" customWidth="true" hidden="true" outlineLevel="1" max="1" min="1" style="3" width="1.8"/>
    <col collapsed="false" customWidth="true" hidden="true" outlineLevel="1" max="3" min="2" style="3" width="14.06"/>
    <col collapsed="false" customWidth="true" hidden="true" outlineLevel="1" max="5" min="4" style="3" width="10.65"/>
    <col collapsed="false" customWidth="true" hidden="true" outlineLevel="1" max="6" min="6" style="29" width="10.49"/>
    <col collapsed="false" customWidth="true" hidden="true" outlineLevel="1" max="7" min="7" style="29" width="9.26"/>
    <col collapsed="false" customWidth="true" hidden="true" outlineLevel="1" max="8" min="8" style="29" width="6.21"/>
    <col collapsed="false" customWidth="true" hidden="true" outlineLevel="1" max="9" min="9" style="29" width="7.53"/>
    <col collapsed="false" customWidth="true" hidden="true" outlineLevel="1" max="10" min="10" style="29" width="8.75"/>
    <col collapsed="false" customWidth="true" hidden="true" outlineLevel="1" max="11" min="11" style="29" width="7.16"/>
    <col collapsed="false" customWidth="true" hidden="true" outlineLevel="1" max="13" min="12" style="29" width="6.21"/>
    <col collapsed="false" customWidth="true" hidden="true" outlineLevel="1" max="14" min="14" style="29" width="2.95"/>
    <col collapsed="false" customWidth="true" hidden="false" outlineLevel="0" max="15" min="15" style="1" width="2.8"/>
    <col collapsed="false" customWidth="true" hidden="false" outlineLevel="0" max="16" min="16" style="29" width="4.01"/>
    <col collapsed="false" customWidth="true" hidden="false" outlineLevel="0" max="17" min="17" style="29" width="3.21"/>
    <col collapsed="false" customWidth="true" hidden="false" outlineLevel="0" max="18" min="18" style="29" width="5.14"/>
    <col collapsed="false" customWidth="true" hidden="false" outlineLevel="0" max="22" min="19" style="29" width="6.61"/>
    <col collapsed="false" customWidth="true" hidden="false" outlineLevel="0" max="23" min="23" style="29" width="6.38"/>
    <col collapsed="false" customWidth="true" hidden="false" outlineLevel="0" max="24" min="24" style="3" width="18.97"/>
    <col collapsed="false" customWidth="true" hidden="false" outlineLevel="0" max="25" min="25" style="3" width="18.86"/>
    <col collapsed="false" customWidth="true" hidden="false" outlineLevel="0" max="27" min="26" style="29" width="8.68"/>
    <col collapsed="false" customWidth="true" hidden="false" outlineLevel="0" max="28" min="28" style="3" width="27.13"/>
    <col collapsed="false" customWidth="true" hidden="false" outlineLevel="0" max="29" min="29" style="29" width="9.28"/>
    <col collapsed="false" customWidth="true" hidden="false" outlineLevel="0" max="30" min="30" style="29" width="11.9"/>
    <col collapsed="false" customWidth="true" hidden="false" outlineLevel="0" max="31" min="31" style="3" width="19.17"/>
    <col collapsed="false" customWidth="true" hidden="false" outlineLevel="0" max="32" min="32" style="29" width="6.56"/>
    <col collapsed="false" customWidth="true" hidden="false" outlineLevel="0" max="33" min="33" style="3" width="7.83"/>
    <col collapsed="false" customWidth="true" hidden="true" outlineLevel="1" max="35" min="34" style="29" width="10.25"/>
    <col collapsed="false" customWidth="true" hidden="true" outlineLevel="1" max="37" min="36" style="29" width="6.72"/>
    <col collapsed="false" customWidth="true" hidden="true" outlineLevel="1" max="39" min="38" style="3" width="11.35"/>
    <col collapsed="false" customWidth="true" hidden="true" outlineLevel="1" max="40" min="40" style="3" width="9.06"/>
    <col collapsed="false" customWidth="true" hidden="true" outlineLevel="1" max="41" min="41" style="3" width="11.35"/>
    <col collapsed="false" customWidth="true" hidden="true" outlineLevel="1" max="42" min="42" style="3" width="6.28"/>
    <col collapsed="false" customWidth="true" hidden="true" outlineLevel="1" max="62" min="43" style="3" width="7.34"/>
    <col collapsed="false" customWidth="true" hidden="false" outlineLevel="0" max="63" min="63" style="3" width="4.27"/>
    <col collapsed="false" customWidth="true" hidden="false" outlineLevel="0" max="74" min="64" style="3" width="3.61"/>
    <col collapsed="false" customWidth="true" hidden="false" outlineLevel="0" max="75" min="75" style="1" width="2.54"/>
    <col collapsed="false" customWidth="false" hidden="true" outlineLevel="0" max="1041" min="76" style="1" width="15.08"/>
    <col collapsed="false" customWidth="true" hidden="false" outlineLevel="0" max="1052" min="1042" style="1" width="11.52"/>
  </cols>
  <sheetData>
    <row r="1" customFormat="false" ht="12.8" hidden="true" customHeight="true" outlineLevel="1" collapsed="false">
      <c r="A1" s="30"/>
      <c r="B1" s="31"/>
      <c r="C1" s="31"/>
      <c r="D1" s="32"/>
      <c r="E1" s="32"/>
      <c r="F1" s="33"/>
      <c r="G1" s="33"/>
      <c r="H1" s="33"/>
      <c r="I1" s="33"/>
      <c r="J1" s="33"/>
      <c r="K1" s="33"/>
      <c r="L1" s="33"/>
      <c r="M1" s="33"/>
      <c r="N1" s="33"/>
      <c r="O1" s="34"/>
      <c r="P1" s="33"/>
      <c r="Q1" s="33"/>
      <c r="R1" s="33"/>
      <c r="S1" s="31"/>
      <c r="T1" s="31"/>
      <c r="U1" s="31"/>
      <c r="V1" s="31"/>
      <c r="W1" s="31"/>
      <c r="X1" s="31"/>
      <c r="Y1" s="31"/>
      <c r="Z1" s="31"/>
      <c r="AA1" s="31"/>
      <c r="AB1" s="34"/>
      <c r="AC1" s="34"/>
      <c r="AD1" s="31"/>
      <c r="AE1" s="31"/>
      <c r="AF1" s="33"/>
      <c r="AG1" s="31"/>
      <c r="AH1" s="33"/>
      <c r="AI1" s="33"/>
      <c r="AJ1" s="33"/>
      <c r="AK1" s="33"/>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t="s">
        <v>364</v>
      </c>
      <c r="BX1" s="35"/>
      <c r="BY1" s="35"/>
      <c r="BZ1" s="35"/>
      <c r="CA1" s="35"/>
      <c r="CB1" s="35"/>
      <c r="CC1" s="35"/>
      <c r="CD1" s="35"/>
      <c r="CE1" s="35"/>
      <c r="CF1" s="35"/>
      <c r="CG1" s="35"/>
      <c r="CH1" s="35"/>
      <c r="CI1" s="35"/>
      <c r="CJ1" s="35"/>
      <c r="CK1" s="35"/>
      <c r="CL1" s="35"/>
      <c r="CM1" s="35"/>
      <c r="CN1" s="35"/>
      <c r="CO1" s="35"/>
      <c r="CP1" s="35"/>
      <c r="CQ1" s="35"/>
      <c r="CR1" s="35"/>
      <c r="CS1" s="35"/>
      <c r="CT1" s="35"/>
      <c r="CU1" s="35"/>
      <c r="CV1" s="35"/>
      <c r="CW1" s="35"/>
      <c r="CX1" s="35"/>
      <c r="CY1" s="35"/>
      <c r="CZ1" s="35"/>
      <c r="DA1" s="35"/>
      <c r="DB1" s="35"/>
      <c r="DC1" s="35"/>
      <c r="DD1" s="35"/>
      <c r="DE1" s="35"/>
      <c r="DF1" s="35"/>
      <c r="DG1" s="35"/>
      <c r="DH1" s="35"/>
      <c r="DI1" s="35"/>
      <c r="DJ1" s="35"/>
      <c r="DK1" s="35"/>
      <c r="DL1" s="35"/>
      <c r="DM1" s="35"/>
      <c r="DN1" s="35"/>
      <c r="DO1" s="35"/>
      <c r="DP1" s="35"/>
      <c r="DQ1" s="35"/>
      <c r="DR1" s="35"/>
      <c r="DS1" s="35"/>
      <c r="DT1" s="35"/>
      <c r="DU1" s="35"/>
      <c r="DV1" s="35"/>
      <c r="DW1" s="35"/>
      <c r="DX1" s="35"/>
      <c r="DY1" s="35"/>
      <c r="DZ1" s="35"/>
      <c r="EA1" s="35"/>
      <c r="EB1" s="35"/>
      <c r="EC1" s="35"/>
      <c r="ED1" s="35"/>
      <c r="EE1" s="35"/>
      <c r="EF1" s="35"/>
      <c r="EG1" s="35"/>
      <c r="EH1" s="35"/>
      <c r="EI1" s="35"/>
      <c r="EJ1" s="35"/>
      <c r="EK1" s="35"/>
      <c r="EL1" s="35"/>
      <c r="EM1" s="35"/>
      <c r="EN1" s="35"/>
      <c r="EO1" s="35"/>
      <c r="EP1" s="35"/>
      <c r="EQ1" s="35"/>
      <c r="ER1" s="35"/>
      <c r="ES1" s="35"/>
      <c r="ET1" s="35"/>
      <c r="EU1" s="35"/>
      <c r="EV1" s="35"/>
      <c r="EW1" s="35"/>
      <c r="EX1" s="35"/>
      <c r="EY1" s="35"/>
      <c r="EZ1" s="35"/>
      <c r="FA1" s="35"/>
      <c r="FB1" s="35"/>
      <c r="FC1" s="35"/>
      <c r="FD1" s="35"/>
      <c r="FE1" s="35"/>
      <c r="FF1" s="35"/>
      <c r="FG1" s="35"/>
      <c r="FH1" s="35"/>
      <c r="FI1" s="35"/>
      <c r="FJ1" s="35"/>
      <c r="FK1" s="35"/>
      <c r="FL1" s="35"/>
      <c r="FM1" s="35"/>
      <c r="FN1" s="35"/>
      <c r="FO1" s="35"/>
      <c r="FP1" s="35"/>
      <c r="FQ1" s="35"/>
      <c r="FR1" s="35"/>
      <c r="FS1" s="35"/>
      <c r="FT1" s="35"/>
      <c r="FU1" s="35"/>
      <c r="FV1" s="35"/>
      <c r="FW1" s="35"/>
      <c r="FX1" s="35"/>
      <c r="FY1" s="35"/>
      <c r="FZ1" s="35"/>
      <c r="GA1" s="35"/>
      <c r="GB1" s="35"/>
      <c r="GC1" s="35"/>
      <c r="GD1" s="35"/>
      <c r="GE1" s="35"/>
      <c r="GF1" s="35"/>
      <c r="GG1" s="35"/>
      <c r="GH1" s="35"/>
      <c r="GI1" s="35"/>
      <c r="GJ1" s="35"/>
      <c r="GK1" s="35"/>
      <c r="GL1" s="35"/>
      <c r="GM1" s="35"/>
      <c r="GN1" s="35"/>
      <c r="GO1" s="35"/>
      <c r="GP1" s="35"/>
      <c r="GQ1" s="35"/>
      <c r="GR1" s="35"/>
      <c r="GS1" s="35"/>
      <c r="GT1" s="35"/>
      <c r="GU1" s="35"/>
      <c r="GV1" s="35"/>
      <c r="GW1" s="35"/>
      <c r="GX1" s="35"/>
      <c r="GY1" s="35"/>
      <c r="GZ1" s="35"/>
      <c r="HA1" s="35"/>
      <c r="HB1" s="35"/>
      <c r="HC1" s="35"/>
      <c r="HD1" s="35"/>
      <c r="HE1" s="35"/>
      <c r="HF1" s="35"/>
      <c r="HG1" s="35"/>
      <c r="HH1" s="35"/>
      <c r="HI1" s="35"/>
      <c r="HJ1" s="35"/>
      <c r="HK1" s="35"/>
      <c r="HL1" s="35"/>
      <c r="HM1" s="35"/>
      <c r="HN1" s="35"/>
      <c r="HO1" s="35"/>
      <c r="HP1" s="35"/>
      <c r="HQ1" s="35"/>
      <c r="HR1" s="35"/>
      <c r="HS1" s="35"/>
      <c r="HT1" s="35"/>
      <c r="HU1" s="35"/>
      <c r="HV1" s="35"/>
      <c r="HW1" s="35"/>
      <c r="HX1" s="35"/>
      <c r="HY1" s="35"/>
      <c r="HZ1" s="35"/>
      <c r="IA1" s="35"/>
      <c r="IB1" s="35"/>
      <c r="IC1" s="35"/>
      <c r="ID1" s="35"/>
      <c r="IE1" s="35"/>
      <c r="IF1" s="35"/>
      <c r="IG1" s="35"/>
      <c r="IH1" s="35"/>
      <c r="II1" s="35"/>
      <c r="IJ1" s="35"/>
      <c r="IK1" s="35"/>
      <c r="IL1" s="35"/>
      <c r="IM1" s="35"/>
      <c r="IN1" s="35"/>
      <c r="IO1" s="35"/>
      <c r="IP1" s="35"/>
      <c r="IQ1" s="35"/>
      <c r="IR1" s="35"/>
      <c r="IS1" s="35"/>
      <c r="IT1" s="35"/>
      <c r="IU1" s="35"/>
      <c r="IV1" s="35"/>
      <c r="IW1" s="35"/>
      <c r="IX1" s="35"/>
      <c r="IY1" s="35"/>
      <c r="IZ1" s="35"/>
      <c r="JA1" s="35"/>
      <c r="JB1" s="35"/>
      <c r="JC1" s="35"/>
      <c r="JD1" s="35"/>
      <c r="JE1" s="35"/>
      <c r="JF1" s="35"/>
      <c r="JG1" s="35"/>
      <c r="JH1" s="35"/>
      <c r="JI1" s="35"/>
      <c r="JJ1" s="35"/>
      <c r="JK1" s="35"/>
      <c r="JL1" s="35"/>
      <c r="JM1" s="35"/>
      <c r="JN1" s="35"/>
      <c r="JO1" s="35"/>
      <c r="JP1" s="35"/>
      <c r="JQ1" s="35"/>
      <c r="JR1" s="35"/>
      <c r="JS1" s="35"/>
      <c r="JT1" s="35"/>
      <c r="JU1" s="35"/>
      <c r="JV1" s="35"/>
      <c r="JW1" s="35"/>
      <c r="JX1" s="35"/>
      <c r="JY1" s="35"/>
      <c r="JZ1" s="35"/>
      <c r="KA1" s="35"/>
      <c r="KB1" s="35"/>
      <c r="KC1" s="35"/>
      <c r="KD1" s="35"/>
      <c r="KE1" s="35"/>
      <c r="KF1" s="35"/>
      <c r="KG1" s="35"/>
      <c r="KH1" s="35"/>
      <c r="KI1" s="35"/>
      <c r="KJ1" s="35"/>
      <c r="KK1" s="35"/>
      <c r="KL1" s="35"/>
      <c r="KM1" s="35"/>
      <c r="KN1" s="35"/>
      <c r="KO1" s="35"/>
      <c r="KP1" s="35"/>
      <c r="KQ1" s="35"/>
      <c r="KR1" s="35"/>
      <c r="KS1" s="35"/>
      <c r="KT1" s="35"/>
      <c r="KU1" s="35"/>
      <c r="KV1" s="35"/>
      <c r="KW1" s="35"/>
      <c r="KX1" s="35"/>
      <c r="KY1" s="35"/>
      <c r="KZ1" s="35"/>
      <c r="LA1" s="35"/>
      <c r="LB1" s="35"/>
      <c r="LC1" s="35"/>
      <c r="LD1" s="35"/>
      <c r="LE1" s="35"/>
      <c r="LF1" s="35"/>
      <c r="LG1" s="35"/>
      <c r="LH1" s="35"/>
      <c r="LI1" s="35"/>
      <c r="LJ1" s="35"/>
      <c r="LK1" s="35"/>
      <c r="LL1" s="35"/>
      <c r="LM1" s="35"/>
      <c r="LN1" s="35"/>
      <c r="LO1" s="35"/>
      <c r="LP1" s="35"/>
      <c r="LQ1" s="35"/>
      <c r="LR1" s="35"/>
      <c r="LS1" s="35"/>
      <c r="LT1" s="35"/>
      <c r="LU1" s="35"/>
      <c r="LV1" s="35"/>
      <c r="LW1" s="35"/>
      <c r="LX1" s="35"/>
      <c r="LY1" s="35"/>
      <c r="LZ1" s="35"/>
      <c r="MA1" s="35"/>
      <c r="MB1" s="35"/>
      <c r="MC1" s="35"/>
      <c r="MD1" s="35"/>
      <c r="ME1" s="35"/>
      <c r="MF1" s="35"/>
      <c r="MG1" s="35"/>
      <c r="MH1" s="35"/>
      <c r="MI1" s="35"/>
      <c r="MJ1" s="35"/>
      <c r="MK1" s="35"/>
      <c r="ML1" s="35"/>
      <c r="MM1" s="35"/>
      <c r="MN1" s="35"/>
      <c r="MO1" s="35"/>
      <c r="MP1" s="35"/>
      <c r="MQ1" s="35"/>
      <c r="MR1" s="35"/>
      <c r="MS1" s="35"/>
      <c r="MT1" s="35"/>
      <c r="MU1" s="35"/>
      <c r="MV1" s="35"/>
      <c r="MW1" s="35"/>
      <c r="MX1" s="35"/>
      <c r="MY1" s="35"/>
      <c r="MZ1" s="35"/>
      <c r="NA1" s="35"/>
      <c r="NB1" s="35"/>
      <c r="NC1" s="35"/>
      <c r="ND1" s="35"/>
      <c r="NE1" s="35"/>
      <c r="NF1" s="35"/>
      <c r="NG1" s="35"/>
      <c r="NH1" s="35"/>
      <c r="NI1" s="35"/>
      <c r="NJ1" s="35"/>
      <c r="NK1" s="35"/>
      <c r="NL1" s="35"/>
      <c r="NM1" s="35"/>
      <c r="NN1" s="35"/>
      <c r="NO1" s="35"/>
      <c r="NP1" s="35"/>
      <c r="NQ1" s="35"/>
      <c r="NR1" s="35"/>
      <c r="NS1" s="35"/>
      <c r="NT1" s="35"/>
      <c r="NU1" s="35"/>
      <c r="NV1" s="35"/>
      <c r="NW1" s="35"/>
      <c r="NX1" s="35"/>
      <c r="NY1" s="35"/>
      <c r="NZ1" s="35"/>
      <c r="OA1" s="35"/>
      <c r="OB1" s="35"/>
      <c r="OC1" s="35"/>
      <c r="OD1" s="35"/>
      <c r="OE1" s="35"/>
      <c r="OF1" s="35"/>
      <c r="OG1" s="35"/>
      <c r="OH1" s="35"/>
      <c r="OI1" s="35"/>
      <c r="OJ1" s="35"/>
      <c r="OK1" s="35"/>
      <c r="OL1" s="35"/>
      <c r="OM1" s="35"/>
      <c r="ON1" s="35"/>
      <c r="OO1" s="35"/>
      <c r="OP1" s="35"/>
      <c r="OQ1" s="35"/>
      <c r="OR1" s="35"/>
      <c r="OS1" s="35"/>
      <c r="OT1" s="35"/>
      <c r="OU1" s="35"/>
      <c r="OV1" s="35"/>
      <c r="OW1" s="35"/>
      <c r="OX1" s="35"/>
      <c r="OY1" s="35"/>
      <c r="OZ1" s="35"/>
      <c r="PA1" s="35"/>
      <c r="PB1" s="35"/>
      <c r="PC1" s="35"/>
      <c r="PD1" s="35"/>
      <c r="PE1" s="35"/>
      <c r="PF1" s="35"/>
      <c r="PG1" s="35"/>
      <c r="PH1" s="35"/>
      <c r="PI1" s="35"/>
      <c r="PJ1" s="35"/>
      <c r="PK1" s="35"/>
      <c r="PL1" s="35"/>
      <c r="PM1" s="35"/>
      <c r="PN1" s="35"/>
      <c r="PO1" s="35"/>
      <c r="PP1" s="35"/>
      <c r="PQ1" s="35"/>
      <c r="PR1" s="35"/>
      <c r="PS1" s="35"/>
      <c r="PT1" s="35"/>
      <c r="PU1" s="35"/>
      <c r="PV1" s="35"/>
      <c r="PW1" s="35"/>
      <c r="PX1" s="35"/>
      <c r="PY1" s="35"/>
      <c r="PZ1" s="35"/>
      <c r="QA1" s="35"/>
      <c r="QB1" s="35"/>
      <c r="QC1" s="35"/>
      <c r="QD1" s="35"/>
      <c r="QE1" s="35"/>
      <c r="QF1" s="35"/>
      <c r="QG1" s="35"/>
      <c r="QH1" s="35"/>
      <c r="QI1" s="35"/>
      <c r="QJ1" s="35"/>
      <c r="QK1" s="35"/>
      <c r="QL1" s="35"/>
      <c r="QM1" s="35"/>
      <c r="QN1" s="35"/>
      <c r="QO1" s="35"/>
      <c r="QP1" s="35"/>
      <c r="QQ1" s="35"/>
      <c r="QR1" s="35"/>
      <c r="QS1" s="35"/>
      <c r="QT1" s="35"/>
      <c r="QU1" s="35"/>
      <c r="QV1" s="35"/>
      <c r="QW1" s="35"/>
      <c r="QX1" s="35"/>
      <c r="QY1" s="35"/>
      <c r="QZ1" s="35"/>
      <c r="RA1" s="35"/>
      <c r="RB1" s="35"/>
      <c r="RC1" s="35"/>
      <c r="RD1" s="35"/>
      <c r="RE1" s="35"/>
      <c r="RF1" s="35"/>
      <c r="RG1" s="35"/>
      <c r="RH1" s="35"/>
      <c r="RI1" s="35"/>
      <c r="RJ1" s="35"/>
      <c r="RK1" s="35"/>
      <c r="RL1" s="35"/>
      <c r="RM1" s="35"/>
      <c r="RN1" s="35"/>
      <c r="RO1" s="35"/>
      <c r="RP1" s="35"/>
      <c r="RQ1" s="35"/>
      <c r="RR1" s="35"/>
      <c r="RS1" s="35"/>
      <c r="RT1" s="35"/>
      <c r="RU1" s="35"/>
      <c r="RV1" s="35"/>
      <c r="RW1" s="35"/>
      <c r="RX1" s="35"/>
      <c r="RY1" s="35"/>
      <c r="RZ1" s="35"/>
      <c r="SA1" s="35"/>
      <c r="SB1" s="35"/>
      <c r="SC1" s="35"/>
      <c r="SD1" s="35"/>
      <c r="SE1" s="35"/>
      <c r="SF1" s="35"/>
      <c r="SG1" s="35"/>
      <c r="SH1" s="35"/>
      <c r="SI1" s="35"/>
      <c r="SJ1" s="35"/>
      <c r="SK1" s="35"/>
      <c r="SL1" s="35"/>
      <c r="SM1" s="35"/>
      <c r="SN1" s="35"/>
      <c r="SO1" s="35"/>
      <c r="SP1" s="35"/>
      <c r="SQ1" s="35"/>
      <c r="SR1" s="35"/>
      <c r="SS1" s="35"/>
      <c r="ST1" s="35"/>
      <c r="SU1" s="35"/>
      <c r="SV1" s="35"/>
      <c r="SW1" s="35"/>
      <c r="SX1" s="35"/>
      <c r="SY1" s="35"/>
      <c r="SZ1" s="35"/>
      <c r="TA1" s="35"/>
      <c r="TB1" s="35"/>
      <c r="TC1" s="35"/>
      <c r="TD1" s="35"/>
      <c r="TE1" s="35"/>
      <c r="TF1" s="35"/>
      <c r="TG1" s="35"/>
      <c r="TH1" s="35"/>
      <c r="TI1" s="35"/>
      <c r="TJ1" s="35"/>
      <c r="TK1" s="35"/>
      <c r="TL1" s="35"/>
      <c r="TM1" s="35"/>
      <c r="TN1" s="35"/>
      <c r="TO1" s="35"/>
      <c r="TP1" s="35"/>
      <c r="TQ1" s="35"/>
      <c r="TR1" s="35"/>
      <c r="TS1" s="35"/>
      <c r="TT1" s="35"/>
      <c r="TU1" s="35"/>
      <c r="TV1" s="35"/>
      <c r="TW1" s="35"/>
      <c r="TX1" s="35"/>
      <c r="TY1" s="35"/>
      <c r="TZ1" s="35"/>
      <c r="UA1" s="35"/>
      <c r="UB1" s="35"/>
      <c r="UC1" s="35"/>
      <c r="UD1" s="35"/>
      <c r="UE1" s="35"/>
      <c r="UF1" s="35"/>
      <c r="UG1" s="35"/>
      <c r="UH1" s="35"/>
      <c r="UI1" s="35"/>
      <c r="UJ1" s="35"/>
      <c r="UK1" s="35"/>
      <c r="UL1" s="35"/>
      <c r="UM1" s="35"/>
      <c r="UN1" s="35"/>
      <c r="UO1" s="35"/>
      <c r="UP1" s="35"/>
      <c r="UQ1" s="35"/>
      <c r="UR1" s="35"/>
      <c r="US1" s="35"/>
      <c r="UT1" s="35"/>
      <c r="UU1" s="35"/>
      <c r="UV1" s="35"/>
      <c r="UW1" s="35"/>
      <c r="UX1" s="35"/>
      <c r="UY1" s="35"/>
      <c r="UZ1" s="35"/>
      <c r="VA1" s="35"/>
      <c r="VB1" s="35"/>
      <c r="VC1" s="35"/>
      <c r="VD1" s="35"/>
      <c r="VE1" s="35"/>
      <c r="VF1" s="35"/>
      <c r="VG1" s="35"/>
      <c r="VH1" s="35"/>
      <c r="VI1" s="35"/>
      <c r="VJ1" s="35"/>
      <c r="VK1" s="35"/>
      <c r="VL1" s="35"/>
      <c r="VM1" s="35"/>
      <c r="VN1" s="35"/>
      <c r="VO1" s="35"/>
      <c r="VP1" s="35"/>
      <c r="VQ1" s="35"/>
      <c r="VR1" s="35"/>
      <c r="VS1" s="35"/>
      <c r="VT1" s="35"/>
      <c r="VU1" s="35"/>
      <c r="VV1" s="35"/>
      <c r="VW1" s="35"/>
      <c r="VX1" s="35"/>
      <c r="VY1" s="35"/>
      <c r="VZ1" s="35"/>
      <c r="WA1" s="35"/>
      <c r="WB1" s="35"/>
      <c r="WC1" s="35"/>
      <c r="WD1" s="35"/>
      <c r="WE1" s="35"/>
      <c r="WF1" s="35"/>
      <c r="WG1" s="35"/>
      <c r="WH1" s="35"/>
      <c r="WI1" s="35"/>
      <c r="WJ1" s="35"/>
      <c r="WK1" s="35"/>
      <c r="WL1" s="35"/>
      <c r="WM1" s="35"/>
      <c r="WN1" s="35"/>
      <c r="WO1" s="35"/>
      <c r="WP1" s="35"/>
      <c r="WQ1" s="35"/>
      <c r="WR1" s="35"/>
      <c r="WS1" s="35"/>
      <c r="WT1" s="35"/>
      <c r="WU1" s="35"/>
      <c r="WV1" s="35"/>
      <c r="WW1" s="35"/>
      <c r="WX1" s="35"/>
      <c r="WY1" s="35"/>
      <c r="WZ1" s="35"/>
      <c r="XA1" s="35"/>
      <c r="XB1" s="35"/>
      <c r="XC1" s="35"/>
      <c r="XD1" s="35"/>
      <c r="XE1" s="35"/>
      <c r="XF1" s="35"/>
      <c r="XG1" s="35"/>
      <c r="XH1" s="35"/>
      <c r="XI1" s="35"/>
      <c r="XJ1" s="35"/>
      <c r="XK1" s="35"/>
      <c r="XL1" s="35"/>
      <c r="XM1" s="35"/>
      <c r="XN1" s="35"/>
      <c r="XO1" s="35"/>
      <c r="XP1" s="35"/>
      <c r="XQ1" s="35"/>
      <c r="XR1" s="35"/>
      <c r="XS1" s="35"/>
      <c r="XT1" s="35"/>
      <c r="XU1" s="35"/>
      <c r="XV1" s="35"/>
      <c r="XW1" s="35"/>
      <c r="XX1" s="35"/>
      <c r="XY1" s="35"/>
      <c r="XZ1" s="35"/>
      <c r="YA1" s="35"/>
      <c r="YB1" s="35"/>
      <c r="YC1" s="35"/>
      <c r="YD1" s="35"/>
      <c r="YE1" s="35"/>
      <c r="YF1" s="35"/>
      <c r="YG1" s="35"/>
      <c r="YH1" s="35"/>
      <c r="YI1" s="35"/>
      <c r="YJ1" s="35"/>
      <c r="YK1" s="35"/>
      <c r="YL1" s="35"/>
      <c r="YM1" s="35"/>
      <c r="YN1" s="35"/>
      <c r="YO1" s="35"/>
      <c r="YP1" s="35"/>
      <c r="YQ1" s="35"/>
      <c r="YR1" s="35"/>
      <c r="YS1" s="35"/>
      <c r="YT1" s="35"/>
      <c r="YU1" s="35"/>
      <c r="YV1" s="35"/>
      <c r="YW1" s="35"/>
      <c r="YX1" s="35"/>
      <c r="YY1" s="35"/>
      <c r="YZ1" s="35"/>
      <c r="ZA1" s="35"/>
      <c r="ZB1" s="35"/>
      <c r="ZC1" s="35"/>
      <c r="ZD1" s="35"/>
      <c r="ZE1" s="35"/>
      <c r="ZF1" s="35"/>
      <c r="ZG1" s="35"/>
      <c r="ZH1" s="35"/>
      <c r="ZI1" s="35"/>
      <c r="ZJ1" s="35"/>
      <c r="ZK1" s="35"/>
      <c r="ZL1" s="35"/>
      <c r="ZM1" s="35"/>
      <c r="ZN1" s="35"/>
      <c r="ZO1" s="35"/>
      <c r="ZP1" s="35"/>
      <c r="ZQ1" s="35"/>
      <c r="ZR1" s="35"/>
      <c r="ZS1" s="35"/>
      <c r="ZT1" s="35"/>
      <c r="ZU1" s="35"/>
      <c r="ZV1" s="35"/>
      <c r="ZW1" s="35"/>
      <c r="ZX1" s="35"/>
      <c r="ZY1" s="35"/>
      <c r="ZZ1" s="35"/>
      <c r="AAA1" s="35"/>
      <c r="AAB1" s="35"/>
      <c r="AAC1" s="35"/>
      <c r="AAD1" s="35"/>
      <c r="AAE1" s="35"/>
      <c r="AAF1" s="35"/>
      <c r="AAG1" s="35"/>
      <c r="AAH1" s="35"/>
      <c r="AAI1" s="35"/>
      <c r="AAJ1" s="35"/>
      <c r="AAK1" s="35"/>
      <c r="AAL1" s="35"/>
      <c r="AAM1" s="35"/>
      <c r="AAN1" s="35"/>
      <c r="AAO1" s="35"/>
      <c r="AAP1" s="35"/>
      <c r="AAQ1" s="35"/>
      <c r="AAR1" s="35"/>
      <c r="AAS1" s="35"/>
      <c r="AAT1" s="35"/>
      <c r="AAU1" s="35"/>
      <c r="AAV1" s="35"/>
      <c r="AAW1" s="35"/>
      <c r="AAX1" s="35"/>
      <c r="AAY1" s="35"/>
      <c r="AAZ1" s="35"/>
      <c r="ABA1" s="35"/>
      <c r="ABB1" s="35"/>
      <c r="ABC1" s="35"/>
      <c r="ABD1" s="35"/>
      <c r="ABE1" s="35"/>
      <c r="ABF1" s="35"/>
      <c r="ABG1" s="35"/>
      <c r="ABH1" s="35"/>
      <c r="ABI1" s="35"/>
      <c r="ABJ1" s="35"/>
      <c r="ABK1" s="35"/>
      <c r="ABL1" s="35"/>
      <c r="ABM1" s="35"/>
      <c r="ABN1" s="35"/>
      <c r="ABO1" s="35"/>
      <c r="ABP1" s="35"/>
      <c r="ABQ1" s="35"/>
      <c r="ABR1" s="35"/>
      <c r="ABS1" s="35"/>
      <c r="ABT1" s="35"/>
      <c r="ABU1" s="35"/>
      <c r="ABV1" s="35"/>
      <c r="ABW1" s="35"/>
      <c r="ABX1" s="35"/>
      <c r="ABY1" s="35"/>
      <c r="ABZ1" s="35"/>
      <c r="ACA1" s="35"/>
      <c r="ACB1" s="35"/>
      <c r="ACC1" s="35"/>
      <c r="ACD1" s="35"/>
      <c r="ACE1" s="35"/>
      <c r="ACF1" s="35"/>
      <c r="ACG1" s="35"/>
      <c r="ACH1" s="35"/>
      <c r="ACI1" s="35"/>
      <c r="ACJ1" s="35"/>
      <c r="ACK1" s="35"/>
      <c r="ACL1" s="35"/>
      <c r="ACM1" s="35"/>
      <c r="ACN1" s="35"/>
      <c r="ACO1" s="35"/>
      <c r="ACP1" s="35"/>
      <c r="ACQ1" s="35"/>
      <c r="ACR1" s="35"/>
      <c r="ACS1" s="35"/>
      <c r="ACT1" s="35"/>
      <c r="ACU1" s="35"/>
      <c r="ACV1" s="35"/>
      <c r="ACW1" s="35"/>
      <c r="ACX1" s="35"/>
      <c r="ACY1" s="35"/>
      <c r="ACZ1" s="35"/>
      <c r="ADA1" s="35"/>
      <c r="ADB1" s="35"/>
      <c r="ADC1" s="35"/>
      <c r="ADD1" s="35"/>
      <c r="ADE1" s="35"/>
      <c r="ADF1" s="35"/>
      <c r="ADG1" s="35"/>
      <c r="ADH1" s="35"/>
      <c r="ADI1" s="35"/>
      <c r="ADJ1" s="35"/>
      <c r="ADK1" s="35"/>
      <c r="ADL1" s="35"/>
      <c r="ADM1" s="35"/>
      <c r="ADN1" s="35"/>
      <c r="ADO1" s="35"/>
      <c r="ADP1" s="35"/>
      <c r="ADQ1" s="35"/>
      <c r="ADR1" s="35"/>
      <c r="ADS1" s="35"/>
      <c r="ADT1" s="35"/>
      <c r="ADU1" s="35"/>
      <c r="ADV1" s="35"/>
      <c r="ADW1" s="35"/>
      <c r="ADX1" s="35"/>
      <c r="ADY1" s="35"/>
      <c r="ADZ1" s="35"/>
      <c r="AEA1" s="35"/>
      <c r="AEB1" s="35"/>
      <c r="AEC1" s="35"/>
      <c r="AED1" s="35"/>
      <c r="AEE1" s="35"/>
      <c r="AEF1" s="35"/>
      <c r="AEG1" s="35"/>
      <c r="AEH1" s="35"/>
      <c r="AEI1" s="35"/>
      <c r="AEJ1" s="35"/>
      <c r="AEK1" s="35"/>
      <c r="AEL1" s="35"/>
      <c r="AEM1" s="35"/>
      <c r="AEN1" s="35"/>
      <c r="AEO1" s="35"/>
      <c r="AEP1" s="35"/>
      <c r="AEQ1" s="35"/>
      <c r="AER1" s="35"/>
      <c r="AES1" s="35"/>
      <c r="AET1" s="35"/>
      <c r="AEU1" s="35"/>
      <c r="AEV1" s="35"/>
      <c r="AEW1" s="35"/>
      <c r="AEX1" s="35"/>
      <c r="AEY1" s="35"/>
      <c r="AEZ1" s="35"/>
      <c r="AFA1" s="35"/>
      <c r="AFB1" s="35"/>
      <c r="AFC1" s="35"/>
      <c r="AFD1" s="35"/>
      <c r="AFE1" s="35"/>
      <c r="AFF1" s="35"/>
      <c r="AFG1" s="35"/>
      <c r="AFH1" s="35"/>
      <c r="AFI1" s="35"/>
      <c r="AFJ1" s="35"/>
      <c r="AFK1" s="35"/>
      <c r="AFL1" s="35"/>
      <c r="AFM1" s="35"/>
      <c r="AFN1" s="35"/>
      <c r="AFO1" s="35"/>
      <c r="AFP1" s="35"/>
      <c r="AFQ1" s="35"/>
      <c r="AFR1" s="35"/>
      <c r="AFS1" s="35"/>
      <c r="AFT1" s="35"/>
      <c r="AFU1" s="35"/>
      <c r="AFV1" s="35"/>
      <c r="AFW1" s="35"/>
      <c r="AFX1" s="35"/>
      <c r="AFY1" s="35"/>
      <c r="AFZ1" s="35"/>
      <c r="AGA1" s="35"/>
      <c r="AGB1" s="35"/>
      <c r="AGC1" s="35"/>
      <c r="AGD1" s="35"/>
      <c r="AGE1" s="35"/>
      <c r="AGF1" s="35"/>
      <c r="AGG1" s="35"/>
      <c r="AGH1" s="35"/>
      <c r="AGI1" s="35"/>
      <c r="AGJ1" s="35"/>
      <c r="AGK1" s="35"/>
      <c r="AGL1" s="35"/>
      <c r="AGM1" s="35"/>
      <c r="AGN1" s="35"/>
      <c r="AGO1" s="35"/>
      <c r="AGP1" s="35"/>
      <c r="AGQ1" s="35"/>
      <c r="AGR1" s="35"/>
      <c r="AGS1" s="35"/>
      <c r="AGT1" s="35"/>
      <c r="AGU1" s="35"/>
      <c r="AGV1" s="35"/>
      <c r="AGW1" s="35"/>
      <c r="AGX1" s="35"/>
      <c r="AGY1" s="35"/>
      <c r="AGZ1" s="35"/>
      <c r="AHA1" s="35"/>
      <c r="AHB1" s="35"/>
      <c r="AHC1" s="35"/>
      <c r="AHD1" s="35"/>
      <c r="AHE1" s="35"/>
      <c r="AHF1" s="35"/>
      <c r="AHG1" s="35"/>
      <c r="AHH1" s="35"/>
      <c r="AHI1" s="35"/>
      <c r="AHJ1" s="35"/>
      <c r="AHK1" s="35"/>
      <c r="AHL1" s="35"/>
      <c r="AHM1" s="35"/>
      <c r="AHN1" s="35"/>
      <c r="AHO1" s="35"/>
      <c r="AHP1" s="35"/>
      <c r="AHQ1" s="35"/>
      <c r="AHR1" s="35"/>
      <c r="AHS1" s="35"/>
      <c r="AHT1" s="35"/>
      <c r="AHU1" s="35"/>
      <c r="AHV1" s="35"/>
      <c r="AHW1" s="35"/>
      <c r="AHX1" s="35"/>
      <c r="AHY1" s="35"/>
      <c r="AHZ1" s="35"/>
      <c r="AIA1" s="35"/>
      <c r="AIB1" s="35"/>
      <c r="AIC1" s="35"/>
      <c r="AID1" s="35"/>
      <c r="AIE1" s="35"/>
      <c r="AIF1" s="35"/>
      <c r="AIG1" s="35"/>
      <c r="AIH1" s="35"/>
      <c r="AII1" s="35"/>
      <c r="AIJ1" s="35"/>
      <c r="AIK1" s="35"/>
      <c r="AIL1" s="35"/>
      <c r="AIM1" s="35"/>
      <c r="AIN1" s="35"/>
      <c r="AIO1" s="35"/>
      <c r="AIP1" s="35"/>
      <c r="AIQ1" s="35"/>
      <c r="AIR1" s="35"/>
      <c r="AIS1" s="35"/>
      <c r="AIT1" s="35"/>
      <c r="AIU1" s="35"/>
      <c r="AIV1" s="35"/>
      <c r="AIW1" s="35"/>
      <c r="AIX1" s="35"/>
      <c r="AIY1" s="35"/>
      <c r="AIZ1" s="35"/>
      <c r="AJA1" s="35"/>
      <c r="AJB1" s="35"/>
      <c r="AJC1" s="35"/>
      <c r="AJD1" s="35"/>
      <c r="AJE1" s="35"/>
      <c r="AJF1" s="35"/>
      <c r="AJG1" s="35"/>
      <c r="AJH1" s="35"/>
      <c r="AJI1" s="35"/>
      <c r="AJJ1" s="35"/>
      <c r="AJK1" s="35"/>
      <c r="AJL1" s="35"/>
      <c r="AJM1" s="35"/>
      <c r="AJN1" s="35"/>
      <c r="AJO1" s="35"/>
      <c r="AJP1" s="35"/>
      <c r="AJQ1" s="35"/>
      <c r="AJR1" s="35"/>
      <c r="AJS1" s="35"/>
      <c r="AJT1" s="35"/>
      <c r="AJU1" s="35"/>
      <c r="AJV1" s="35"/>
      <c r="AJW1" s="35"/>
      <c r="AJX1" s="35"/>
      <c r="AJY1" s="35"/>
      <c r="AJZ1" s="35"/>
      <c r="AKA1" s="35"/>
      <c r="AKB1" s="35"/>
      <c r="AKC1" s="35"/>
      <c r="AKD1" s="35"/>
      <c r="AKE1" s="35"/>
      <c r="AKF1" s="35"/>
      <c r="AKG1" s="35"/>
      <c r="AKH1" s="35"/>
      <c r="AKI1" s="35"/>
      <c r="AKJ1" s="35"/>
      <c r="AKK1" s="35"/>
      <c r="AKL1" s="35"/>
      <c r="AKM1" s="35"/>
      <c r="AKN1" s="35"/>
      <c r="AKO1" s="35"/>
      <c r="AKP1" s="35"/>
      <c r="AKQ1" s="35"/>
      <c r="AKR1" s="35"/>
      <c r="AKS1" s="35"/>
      <c r="AKT1" s="35"/>
      <c r="AKU1" s="35"/>
      <c r="AKV1" s="35"/>
      <c r="AKW1" s="35"/>
      <c r="AKX1" s="35"/>
      <c r="AKY1" s="35"/>
      <c r="AKZ1" s="35"/>
      <c r="ALA1" s="35"/>
      <c r="ALB1" s="35"/>
      <c r="ALC1" s="35"/>
      <c r="ALD1" s="35"/>
      <c r="ALE1" s="35"/>
      <c r="ALF1" s="35"/>
      <c r="ALG1" s="35"/>
      <c r="ALH1" s="35"/>
      <c r="ALI1" s="35"/>
      <c r="ALJ1" s="35"/>
      <c r="ALK1" s="35"/>
      <c r="ALL1" s="35"/>
      <c r="ALM1" s="35"/>
      <c r="ALN1" s="35"/>
      <c r="ALO1" s="35"/>
      <c r="ALP1" s="35"/>
      <c r="ALQ1" s="35"/>
      <c r="ALR1" s="35"/>
      <c r="ALS1" s="35"/>
      <c r="ALT1" s="35"/>
      <c r="ALU1" s="35"/>
      <c r="ALV1" s="35"/>
      <c r="ALW1" s="35"/>
      <c r="ALX1" s="35"/>
      <c r="ALY1" s="35"/>
      <c r="ALZ1" s="35"/>
      <c r="AMA1" s="35"/>
      <c r="AMB1" s="35"/>
      <c r="AMC1" s="35"/>
      <c r="AMD1" s="35"/>
      <c r="AME1" s="35"/>
      <c r="AMF1" s="35"/>
      <c r="AMG1" s="35"/>
      <c r="AMH1" s="35"/>
      <c r="AMI1" s="35"/>
      <c r="AMJ1" s="35"/>
      <c r="AMK1" s="35"/>
      <c r="AML1" s="35"/>
      <c r="AMM1" s="35"/>
      <c r="AMN1" s="35"/>
      <c r="AMO1" s="35"/>
      <c r="AMP1" s="35"/>
      <c r="AMQ1" s="35"/>
      <c r="AMR1" s="35"/>
      <c r="AMS1" s="35"/>
      <c r="AMT1" s="35"/>
      <c r="AMU1" s="35"/>
      <c r="AMV1" s="35"/>
      <c r="AMW1" s="35"/>
      <c r="AMX1" s="35"/>
      <c r="AMY1" s="35"/>
      <c r="AMZ1" s="35"/>
      <c r="ANA1" s="35"/>
    </row>
    <row r="2" customFormat="false" ht="12.8" hidden="true" customHeight="true" outlineLevel="1" collapsed="false">
      <c r="A2" s="30"/>
      <c r="B2" s="31"/>
      <c r="C2" s="31"/>
      <c r="D2" s="32"/>
      <c r="E2" s="32"/>
      <c r="F2" s="33"/>
      <c r="G2" s="33"/>
      <c r="H2" s="33"/>
      <c r="I2" s="33"/>
      <c r="J2" s="33"/>
      <c r="K2" s="33"/>
      <c r="L2" s="33"/>
      <c r="M2" s="33"/>
      <c r="N2" s="33"/>
      <c r="O2" s="34"/>
      <c r="P2" s="33"/>
      <c r="Q2" s="33"/>
      <c r="R2" s="33"/>
      <c r="S2" s="31"/>
      <c r="T2" s="31"/>
      <c r="U2" s="31"/>
      <c r="V2" s="31"/>
      <c r="W2" s="31"/>
      <c r="X2" s="31"/>
      <c r="Y2" s="31"/>
      <c r="Z2" s="31"/>
      <c r="AA2" s="31"/>
      <c r="AB2" s="34"/>
      <c r="AC2" s="34"/>
      <c r="AD2" s="31"/>
      <c r="AE2" s="31"/>
      <c r="AF2" s="33"/>
      <c r="AG2" s="31"/>
      <c r="AH2" s="33"/>
      <c r="AI2" s="33"/>
      <c r="AJ2" s="33"/>
      <c r="AK2" s="33"/>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t="s">
        <v>364</v>
      </c>
      <c r="BX2" s="35"/>
      <c r="BY2" s="35"/>
      <c r="BZ2" s="35"/>
      <c r="CA2" s="35"/>
      <c r="CB2" s="35"/>
      <c r="CC2" s="35"/>
      <c r="CD2" s="35"/>
      <c r="CE2" s="35"/>
      <c r="CF2" s="35"/>
      <c r="CG2" s="35"/>
      <c r="CH2" s="35"/>
      <c r="CI2" s="35"/>
      <c r="CJ2" s="35"/>
      <c r="CK2" s="35"/>
      <c r="CL2" s="35"/>
      <c r="CM2" s="35"/>
      <c r="CN2" s="35"/>
      <c r="CO2" s="35"/>
      <c r="CP2" s="35"/>
      <c r="CQ2" s="35"/>
      <c r="CR2" s="35"/>
      <c r="CS2" s="35"/>
      <c r="CT2" s="35"/>
      <c r="CU2" s="35"/>
      <c r="CV2" s="35"/>
      <c r="CW2" s="35"/>
      <c r="CX2" s="35"/>
      <c r="CY2" s="35"/>
      <c r="CZ2" s="35"/>
      <c r="DA2" s="35"/>
      <c r="DB2" s="35"/>
      <c r="DC2" s="35"/>
      <c r="DD2" s="35"/>
      <c r="DE2" s="35"/>
      <c r="DF2" s="35"/>
      <c r="DG2" s="35"/>
      <c r="DH2" s="35"/>
      <c r="DI2" s="35"/>
      <c r="DJ2" s="35"/>
      <c r="DK2" s="35"/>
      <c r="DL2" s="35"/>
      <c r="DM2" s="35"/>
      <c r="DN2" s="35"/>
      <c r="DO2" s="35"/>
      <c r="DP2" s="35"/>
      <c r="DQ2" s="35"/>
      <c r="DR2" s="35"/>
      <c r="DS2" s="35"/>
      <c r="DT2" s="35"/>
      <c r="DU2" s="35"/>
      <c r="DV2" s="35"/>
      <c r="DW2" s="35"/>
      <c r="DX2" s="35"/>
      <c r="DY2" s="35"/>
      <c r="DZ2" s="35"/>
      <c r="EA2" s="35"/>
      <c r="EB2" s="35"/>
      <c r="EC2" s="35"/>
      <c r="ED2" s="35"/>
      <c r="EE2" s="35"/>
      <c r="EF2" s="35"/>
      <c r="EG2" s="35"/>
      <c r="EH2" s="35"/>
      <c r="EI2" s="35"/>
      <c r="EJ2" s="35"/>
      <c r="EK2" s="35"/>
      <c r="EL2" s="35"/>
      <c r="EM2" s="35"/>
      <c r="EN2" s="35"/>
      <c r="EO2" s="35"/>
      <c r="EP2" s="35"/>
      <c r="EQ2" s="35"/>
      <c r="ER2" s="35"/>
      <c r="ES2" s="35"/>
      <c r="ET2" s="35"/>
      <c r="EU2" s="35"/>
      <c r="EV2" s="35"/>
      <c r="EW2" s="35"/>
      <c r="EX2" s="35"/>
      <c r="EY2" s="35"/>
      <c r="EZ2" s="35"/>
      <c r="FA2" s="35"/>
      <c r="FB2" s="35"/>
      <c r="FC2" s="35"/>
      <c r="FD2" s="35"/>
      <c r="FE2" s="35"/>
      <c r="FF2" s="35"/>
      <c r="FG2" s="35"/>
      <c r="FH2" s="35"/>
      <c r="FI2" s="35"/>
      <c r="FJ2" s="35"/>
      <c r="FK2" s="35"/>
      <c r="FL2" s="35"/>
      <c r="FM2" s="35"/>
      <c r="FN2" s="35"/>
      <c r="FO2" s="35"/>
      <c r="FP2" s="35"/>
      <c r="FQ2" s="35"/>
      <c r="FR2" s="35"/>
      <c r="FS2" s="35"/>
      <c r="FT2" s="35"/>
      <c r="FU2" s="35"/>
      <c r="FV2" s="35"/>
      <c r="FW2" s="35"/>
      <c r="FX2" s="35"/>
      <c r="FY2" s="35"/>
      <c r="FZ2" s="35"/>
      <c r="GA2" s="35"/>
      <c r="GB2" s="35"/>
      <c r="GC2" s="35"/>
      <c r="GD2" s="35"/>
      <c r="GE2" s="35"/>
      <c r="GF2" s="35"/>
      <c r="GG2" s="35"/>
      <c r="GH2" s="35"/>
      <c r="GI2" s="35"/>
      <c r="GJ2" s="35"/>
      <c r="GK2" s="35"/>
      <c r="GL2" s="35"/>
      <c r="GM2" s="35"/>
      <c r="GN2" s="35"/>
      <c r="GO2" s="35"/>
      <c r="GP2" s="35"/>
      <c r="GQ2" s="35"/>
      <c r="GR2" s="35"/>
      <c r="GS2" s="35"/>
      <c r="GT2" s="35"/>
      <c r="GU2" s="35"/>
      <c r="GV2" s="35"/>
      <c r="GW2" s="35"/>
      <c r="GX2" s="35"/>
      <c r="GY2" s="35"/>
      <c r="GZ2" s="35"/>
      <c r="HA2" s="35"/>
      <c r="HB2" s="35"/>
      <c r="HC2" s="35"/>
      <c r="HD2" s="35"/>
      <c r="HE2" s="35"/>
      <c r="HF2" s="35"/>
      <c r="HG2" s="35"/>
      <c r="HH2" s="35"/>
      <c r="HI2" s="35"/>
      <c r="HJ2" s="35"/>
      <c r="HK2" s="35"/>
      <c r="HL2" s="35"/>
      <c r="HM2" s="35"/>
      <c r="HN2" s="35"/>
      <c r="HO2" s="35"/>
      <c r="HP2" s="35"/>
      <c r="HQ2" s="35"/>
      <c r="HR2" s="35"/>
      <c r="HS2" s="35"/>
      <c r="HT2" s="35"/>
      <c r="HU2" s="35"/>
      <c r="HV2" s="35"/>
      <c r="HW2" s="35"/>
      <c r="HX2" s="35"/>
      <c r="HY2" s="35"/>
      <c r="HZ2" s="35"/>
      <c r="IA2" s="35"/>
      <c r="IB2" s="35"/>
      <c r="IC2" s="35"/>
      <c r="ID2" s="35"/>
      <c r="IE2" s="35"/>
      <c r="IF2" s="35"/>
      <c r="IG2" s="35"/>
      <c r="IH2" s="35"/>
      <c r="II2" s="35"/>
      <c r="IJ2" s="35"/>
      <c r="IK2" s="35"/>
      <c r="IL2" s="35"/>
      <c r="IM2" s="35"/>
      <c r="IN2" s="35"/>
      <c r="IO2" s="35"/>
      <c r="IP2" s="35"/>
      <c r="IQ2" s="35"/>
      <c r="IR2" s="35"/>
      <c r="IS2" s="35"/>
      <c r="IT2" s="35"/>
      <c r="IU2" s="35"/>
      <c r="IV2" s="35"/>
      <c r="IW2" s="35"/>
      <c r="IX2" s="35"/>
      <c r="IY2" s="35"/>
      <c r="IZ2" s="35"/>
      <c r="JA2" s="35"/>
      <c r="JB2" s="35"/>
      <c r="JC2" s="35"/>
      <c r="JD2" s="35"/>
      <c r="JE2" s="35"/>
      <c r="JF2" s="35"/>
      <c r="JG2" s="35"/>
      <c r="JH2" s="35"/>
      <c r="JI2" s="35"/>
      <c r="JJ2" s="35"/>
      <c r="JK2" s="35"/>
      <c r="JL2" s="35"/>
      <c r="JM2" s="35"/>
      <c r="JN2" s="35"/>
      <c r="JO2" s="35"/>
      <c r="JP2" s="35"/>
      <c r="JQ2" s="35"/>
      <c r="JR2" s="35"/>
      <c r="JS2" s="35"/>
      <c r="JT2" s="35"/>
      <c r="JU2" s="35"/>
      <c r="JV2" s="35"/>
      <c r="JW2" s="35"/>
      <c r="JX2" s="35"/>
      <c r="JY2" s="35"/>
      <c r="JZ2" s="35"/>
      <c r="KA2" s="35"/>
      <c r="KB2" s="35"/>
      <c r="KC2" s="35"/>
      <c r="KD2" s="35"/>
      <c r="KE2" s="35"/>
      <c r="KF2" s="35"/>
      <c r="KG2" s="35"/>
      <c r="KH2" s="35"/>
      <c r="KI2" s="35"/>
      <c r="KJ2" s="35"/>
      <c r="KK2" s="35"/>
      <c r="KL2" s="35"/>
      <c r="KM2" s="35"/>
      <c r="KN2" s="35"/>
      <c r="KO2" s="35"/>
      <c r="KP2" s="35"/>
      <c r="KQ2" s="35"/>
      <c r="KR2" s="35"/>
      <c r="KS2" s="35"/>
      <c r="KT2" s="35"/>
      <c r="KU2" s="35"/>
      <c r="KV2" s="35"/>
      <c r="KW2" s="35"/>
      <c r="KX2" s="35"/>
      <c r="KY2" s="35"/>
      <c r="KZ2" s="35"/>
      <c r="LA2" s="35"/>
      <c r="LB2" s="35"/>
      <c r="LC2" s="35"/>
      <c r="LD2" s="35"/>
      <c r="LE2" s="35"/>
      <c r="LF2" s="35"/>
      <c r="LG2" s="35"/>
      <c r="LH2" s="35"/>
      <c r="LI2" s="35"/>
      <c r="LJ2" s="35"/>
      <c r="LK2" s="35"/>
      <c r="LL2" s="35"/>
      <c r="LM2" s="35"/>
      <c r="LN2" s="35"/>
      <c r="LO2" s="35"/>
      <c r="LP2" s="35"/>
      <c r="LQ2" s="35"/>
      <c r="LR2" s="35"/>
      <c r="LS2" s="35"/>
      <c r="LT2" s="35"/>
      <c r="LU2" s="35"/>
      <c r="LV2" s="35"/>
      <c r="LW2" s="35"/>
      <c r="LX2" s="35"/>
      <c r="LY2" s="35"/>
      <c r="LZ2" s="35"/>
      <c r="MA2" s="35"/>
      <c r="MB2" s="35"/>
      <c r="MC2" s="35"/>
      <c r="MD2" s="35"/>
      <c r="ME2" s="35"/>
      <c r="MF2" s="35"/>
      <c r="MG2" s="35"/>
      <c r="MH2" s="35"/>
      <c r="MI2" s="35"/>
      <c r="MJ2" s="35"/>
      <c r="MK2" s="35"/>
      <c r="ML2" s="35"/>
      <c r="MM2" s="35"/>
      <c r="MN2" s="35"/>
      <c r="MO2" s="35"/>
      <c r="MP2" s="35"/>
      <c r="MQ2" s="35"/>
      <c r="MR2" s="35"/>
      <c r="MS2" s="35"/>
      <c r="MT2" s="35"/>
      <c r="MU2" s="35"/>
      <c r="MV2" s="35"/>
      <c r="MW2" s="35"/>
      <c r="MX2" s="35"/>
      <c r="MY2" s="35"/>
      <c r="MZ2" s="35"/>
      <c r="NA2" s="35"/>
      <c r="NB2" s="35"/>
      <c r="NC2" s="35"/>
      <c r="ND2" s="35"/>
      <c r="NE2" s="35"/>
      <c r="NF2" s="35"/>
      <c r="NG2" s="35"/>
      <c r="NH2" s="35"/>
      <c r="NI2" s="35"/>
      <c r="NJ2" s="35"/>
      <c r="NK2" s="35"/>
      <c r="NL2" s="35"/>
      <c r="NM2" s="35"/>
      <c r="NN2" s="35"/>
      <c r="NO2" s="35"/>
      <c r="NP2" s="35"/>
      <c r="NQ2" s="35"/>
      <c r="NR2" s="35"/>
      <c r="NS2" s="35"/>
      <c r="NT2" s="35"/>
      <c r="NU2" s="35"/>
      <c r="NV2" s="35"/>
      <c r="NW2" s="35"/>
      <c r="NX2" s="35"/>
      <c r="NY2" s="35"/>
      <c r="NZ2" s="35"/>
      <c r="OA2" s="35"/>
      <c r="OB2" s="35"/>
      <c r="OC2" s="35"/>
      <c r="OD2" s="35"/>
      <c r="OE2" s="35"/>
      <c r="OF2" s="35"/>
      <c r="OG2" s="35"/>
      <c r="OH2" s="35"/>
      <c r="OI2" s="35"/>
      <c r="OJ2" s="35"/>
      <c r="OK2" s="35"/>
      <c r="OL2" s="35"/>
      <c r="OM2" s="35"/>
      <c r="ON2" s="35"/>
      <c r="OO2" s="35"/>
      <c r="OP2" s="35"/>
      <c r="OQ2" s="35"/>
      <c r="OR2" s="35"/>
      <c r="OS2" s="35"/>
      <c r="OT2" s="35"/>
      <c r="OU2" s="35"/>
      <c r="OV2" s="35"/>
      <c r="OW2" s="35"/>
      <c r="OX2" s="35"/>
      <c r="OY2" s="35"/>
      <c r="OZ2" s="35"/>
      <c r="PA2" s="35"/>
      <c r="PB2" s="35"/>
      <c r="PC2" s="35"/>
      <c r="PD2" s="35"/>
      <c r="PE2" s="35"/>
      <c r="PF2" s="35"/>
      <c r="PG2" s="35"/>
      <c r="PH2" s="35"/>
      <c r="PI2" s="35"/>
      <c r="PJ2" s="35"/>
      <c r="PK2" s="35"/>
      <c r="PL2" s="35"/>
      <c r="PM2" s="35"/>
      <c r="PN2" s="35"/>
      <c r="PO2" s="35"/>
      <c r="PP2" s="35"/>
      <c r="PQ2" s="35"/>
      <c r="PR2" s="35"/>
      <c r="PS2" s="35"/>
      <c r="PT2" s="35"/>
      <c r="PU2" s="35"/>
      <c r="PV2" s="35"/>
      <c r="PW2" s="35"/>
      <c r="PX2" s="35"/>
      <c r="PY2" s="35"/>
      <c r="PZ2" s="35"/>
      <c r="QA2" s="35"/>
      <c r="QB2" s="35"/>
      <c r="QC2" s="35"/>
      <c r="QD2" s="35"/>
      <c r="QE2" s="35"/>
      <c r="QF2" s="35"/>
      <c r="QG2" s="35"/>
      <c r="QH2" s="35"/>
      <c r="QI2" s="35"/>
      <c r="QJ2" s="35"/>
      <c r="QK2" s="35"/>
      <c r="QL2" s="35"/>
      <c r="QM2" s="35"/>
      <c r="QN2" s="35"/>
      <c r="QO2" s="35"/>
      <c r="QP2" s="35"/>
      <c r="QQ2" s="35"/>
      <c r="QR2" s="35"/>
      <c r="QS2" s="35"/>
      <c r="QT2" s="35"/>
      <c r="QU2" s="35"/>
      <c r="QV2" s="35"/>
      <c r="QW2" s="35"/>
      <c r="QX2" s="35"/>
      <c r="QY2" s="35"/>
      <c r="QZ2" s="35"/>
      <c r="RA2" s="35"/>
      <c r="RB2" s="35"/>
      <c r="RC2" s="35"/>
      <c r="RD2" s="35"/>
      <c r="RE2" s="35"/>
      <c r="RF2" s="35"/>
      <c r="RG2" s="35"/>
      <c r="RH2" s="35"/>
      <c r="RI2" s="35"/>
      <c r="RJ2" s="35"/>
      <c r="RK2" s="35"/>
      <c r="RL2" s="35"/>
      <c r="RM2" s="35"/>
      <c r="RN2" s="35"/>
      <c r="RO2" s="35"/>
      <c r="RP2" s="35"/>
      <c r="RQ2" s="35"/>
      <c r="RR2" s="35"/>
      <c r="RS2" s="35"/>
      <c r="RT2" s="35"/>
      <c r="RU2" s="35"/>
      <c r="RV2" s="35"/>
      <c r="RW2" s="35"/>
      <c r="RX2" s="35"/>
      <c r="RY2" s="35"/>
      <c r="RZ2" s="35"/>
      <c r="SA2" s="35"/>
      <c r="SB2" s="35"/>
      <c r="SC2" s="35"/>
      <c r="SD2" s="35"/>
      <c r="SE2" s="35"/>
      <c r="SF2" s="35"/>
      <c r="SG2" s="35"/>
      <c r="SH2" s="35"/>
      <c r="SI2" s="35"/>
      <c r="SJ2" s="35"/>
      <c r="SK2" s="35"/>
      <c r="SL2" s="35"/>
      <c r="SM2" s="35"/>
      <c r="SN2" s="35"/>
      <c r="SO2" s="35"/>
      <c r="SP2" s="35"/>
      <c r="SQ2" s="35"/>
      <c r="SR2" s="35"/>
      <c r="SS2" s="35"/>
      <c r="ST2" s="35"/>
      <c r="SU2" s="35"/>
      <c r="SV2" s="35"/>
      <c r="SW2" s="35"/>
      <c r="SX2" s="35"/>
      <c r="SY2" s="35"/>
      <c r="SZ2" s="35"/>
      <c r="TA2" s="35"/>
      <c r="TB2" s="35"/>
      <c r="TC2" s="35"/>
      <c r="TD2" s="35"/>
      <c r="TE2" s="35"/>
      <c r="TF2" s="35"/>
      <c r="TG2" s="35"/>
      <c r="TH2" s="35"/>
      <c r="TI2" s="35"/>
      <c r="TJ2" s="35"/>
      <c r="TK2" s="35"/>
      <c r="TL2" s="35"/>
      <c r="TM2" s="35"/>
      <c r="TN2" s="35"/>
      <c r="TO2" s="35"/>
      <c r="TP2" s="35"/>
      <c r="TQ2" s="35"/>
      <c r="TR2" s="35"/>
      <c r="TS2" s="35"/>
      <c r="TT2" s="35"/>
      <c r="TU2" s="35"/>
      <c r="TV2" s="35"/>
      <c r="TW2" s="35"/>
      <c r="TX2" s="35"/>
      <c r="TY2" s="35"/>
      <c r="TZ2" s="35"/>
      <c r="UA2" s="35"/>
      <c r="UB2" s="35"/>
      <c r="UC2" s="35"/>
      <c r="UD2" s="35"/>
      <c r="UE2" s="35"/>
      <c r="UF2" s="35"/>
      <c r="UG2" s="35"/>
      <c r="UH2" s="35"/>
      <c r="UI2" s="35"/>
      <c r="UJ2" s="35"/>
      <c r="UK2" s="35"/>
      <c r="UL2" s="35"/>
      <c r="UM2" s="35"/>
      <c r="UN2" s="35"/>
      <c r="UO2" s="35"/>
      <c r="UP2" s="35"/>
      <c r="UQ2" s="35"/>
      <c r="UR2" s="35"/>
      <c r="US2" s="35"/>
      <c r="UT2" s="35"/>
      <c r="UU2" s="35"/>
      <c r="UV2" s="35"/>
      <c r="UW2" s="35"/>
      <c r="UX2" s="35"/>
      <c r="UY2" s="35"/>
      <c r="UZ2" s="35"/>
      <c r="VA2" s="35"/>
      <c r="VB2" s="35"/>
      <c r="VC2" s="35"/>
      <c r="VD2" s="35"/>
      <c r="VE2" s="35"/>
      <c r="VF2" s="35"/>
      <c r="VG2" s="35"/>
      <c r="VH2" s="35"/>
      <c r="VI2" s="35"/>
      <c r="VJ2" s="35"/>
      <c r="VK2" s="35"/>
      <c r="VL2" s="35"/>
      <c r="VM2" s="35"/>
      <c r="VN2" s="35"/>
      <c r="VO2" s="35"/>
      <c r="VP2" s="35"/>
      <c r="VQ2" s="35"/>
      <c r="VR2" s="35"/>
      <c r="VS2" s="35"/>
      <c r="VT2" s="35"/>
      <c r="VU2" s="35"/>
      <c r="VV2" s="35"/>
      <c r="VW2" s="35"/>
      <c r="VX2" s="35"/>
      <c r="VY2" s="35"/>
      <c r="VZ2" s="35"/>
      <c r="WA2" s="35"/>
      <c r="WB2" s="35"/>
      <c r="WC2" s="35"/>
      <c r="WD2" s="35"/>
      <c r="WE2" s="35"/>
      <c r="WF2" s="35"/>
      <c r="WG2" s="35"/>
      <c r="WH2" s="35"/>
      <c r="WI2" s="35"/>
      <c r="WJ2" s="35"/>
      <c r="WK2" s="35"/>
      <c r="WL2" s="35"/>
      <c r="WM2" s="35"/>
      <c r="WN2" s="35"/>
      <c r="WO2" s="35"/>
      <c r="WP2" s="35"/>
      <c r="WQ2" s="35"/>
      <c r="WR2" s="35"/>
      <c r="WS2" s="35"/>
      <c r="WT2" s="35"/>
      <c r="WU2" s="35"/>
      <c r="WV2" s="35"/>
      <c r="WW2" s="35"/>
      <c r="WX2" s="35"/>
      <c r="WY2" s="35"/>
      <c r="WZ2" s="35"/>
      <c r="XA2" s="35"/>
      <c r="XB2" s="35"/>
      <c r="XC2" s="35"/>
      <c r="XD2" s="35"/>
      <c r="XE2" s="35"/>
      <c r="XF2" s="35"/>
      <c r="XG2" s="35"/>
      <c r="XH2" s="35"/>
      <c r="XI2" s="35"/>
      <c r="XJ2" s="35"/>
      <c r="XK2" s="35"/>
      <c r="XL2" s="35"/>
      <c r="XM2" s="35"/>
      <c r="XN2" s="35"/>
      <c r="XO2" s="35"/>
      <c r="XP2" s="35"/>
      <c r="XQ2" s="35"/>
      <c r="XR2" s="35"/>
      <c r="XS2" s="35"/>
      <c r="XT2" s="35"/>
      <c r="XU2" s="35"/>
      <c r="XV2" s="35"/>
      <c r="XW2" s="35"/>
      <c r="XX2" s="35"/>
      <c r="XY2" s="35"/>
      <c r="XZ2" s="35"/>
      <c r="YA2" s="35"/>
      <c r="YB2" s="35"/>
      <c r="YC2" s="35"/>
      <c r="YD2" s="35"/>
      <c r="YE2" s="35"/>
      <c r="YF2" s="35"/>
      <c r="YG2" s="35"/>
      <c r="YH2" s="35"/>
      <c r="YI2" s="35"/>
      <c r="YJ2" s="35"/>
      <c r="YK2" s="35"/>
      <c r="YL2" s="35"/>
      <c r="YM2" s="35"/>
      <c r="YN2" s="35"/>
      <c r="YO2" s="35"/>
      <c r="YP2" s="35"/>
      <c r="YQ2" s="35"/>
      <c r="YR2" s="35"/>
      <c r="YS2" s="35"/>
      <c r="YT2" s="35"/>
      <c r="YU2" s="35"/>
      <c r="YV2" s="35"/>
      <c r="YW2" s="35"/>
      <c r="YX2" s="35"/>
      <c r="YY2" s="35"/>
      <c r="YZ2" s="35"/>
      <c r="ZA2" s="35"/>
      <c r="ZB2" s="35"/>
      <c r="ZC2" s="35"/>
      <c r="ZD2" s="35"/>
      <c r="ZE2" s="35"/>
      <c r="ZF2" s="35"/>
      <c r="ZG2" s="35"/>
      <c r="ZH2" s="35"/>
      <c r="ZI2" s="35"/>
      <c r="ZJ2" s="35"/>
      <c r="ZK2" s="35"/>
      <c r="ZL2" s="35"/>
      <c r="ZM2" s="35"/>
      <c r="ZN2" s="35"/>
      <c r="ZO2" s="35"/>
      <c r="ZP2" s="35"/>
      <c r="ZQ2" s="35"/>
      <c r="ZR2" s="35"/>
      <c r="ZS2" s="35"/>
      <c r="ZT2" s="35"/>
      <c r="ZU2" s="35"/>
      <c r="ZV2" s="35"/>
      <c r="ZW2" s="35"/>
      <c r="ZX2" s="35"/>
      <c r="ZY2" s="35"/>
      <c r="ZZ2" s="35"/>
      <c r="AAA2" s="35"/>
      <c r="AAB2" s="35"/>
      <c r="AAC2" s="35"/>
      <c r="AAD2" s="35"/>
      <c r="AAE2" s="35"/>
      <c r="AAF2" s="35"/>
      <c r="AAG2" s="35"/>
      <c r="AAH2" s="35"/>
      <c r="AAI2" s="35"/>
      <c r="AAJ2" s="35"/>
      <c r="AAK2" s="35"/>
      <c r="AAL2" s="35"/>
      <c r="AAM2" s="35"/>
      <c r="AAN2" s="35"/>
      <c r="AAO2" s="35"/>
      <c r="AAP2" s="35"/>
      <c r="AAQ2" s="35"/>
      <c r="AAR2" s="35"/>
      <c r="AAS2" s="35"/>
      <c r="AAT2" s="35"/>
      <c r="AAU2" s="35"/>
      <c r="AAV2" s="35"/>
      <c r="AAW2" s="35"/>
      <c r="AAX2" s="35"/>
      <c r="AAY2" s="35"/>
      <c r="AAZ2" s="35"/>
      <c r="ABA2" s="35"/>
      <c r="ABB2" s="35"/>
      <c r="ABC2" s="35"/>
      <c r="ABD2" s="35"/>
      <c r="ABE2" s="35"/>
      <c r="ABF2" s="35"/>
      <c r="ABG2" s="35"/>
      <c r="ABH2" s="35"/>
      <c r="ABI2" s="35"/>
      <c r="ABJ2" s="35"/>
      <c r="ABK2" s="35"/>
      <c r="ABL2" s="35"/>
      <c r="ABM2" s="35"/>
      <c r="ABN2" s="35"/>
      <c r="ABO2" s="35"/>
      <c r="ABP2" s="35"/>
      <c r="ABQ2" s="35"/>
      <c r="ABR2" s="35"/>
      <c r="ABS2" s="35"/>
      <c r="ABT2" s="35"/>
      <c r="ABU2" s="35"/>
      <c r="ABV2" s="35"/>
      <c r="ABW2" s="35"/>
      <c r="ABX2" s="35"/>
      <c r="ABY2" s="35"/>
      <c r="ABZ2" s="35"/>
      <c r="ACA2" s="35"/>
      <c r="ACB2" s="35"/>
      <c r="ACC2" s="35"/>
      <c r="ACD2" s="35"/>
      <c r="ACE2" s="35"/>
      <c r="ACF2" s="35"/>
      <c r="ACG2" s="35"/>
      <c r="ACH2" s="35"/>
      <c r="ACI2" s="35"/>
      <c r="ACJ2" s="35"/>
      <c r="ACK2" s="35"/>
      <c r="ACL2" s="35"/>
      <c r="ACM2" s="35"/>
      <c r="ACN2" s="35"/>
      <c r="ACO2" s="35"/>
      <c r="ACP2" s="35"/>
      <c r="ACQ2" s="35"/>
      <c r="ACR2" s="35"/>
      <c r="ACS2" s="35"/>
      <c r="ACT2" s="35"/>
      <c r="ACU2" s="35"/>
      <c r="ACV2" s="35"/>
      <c r="ACW2" s="35"/>
      <c r="ACX2" s="35"/>
      <c r="ACY2" s="35"/>
      <c r="ACZ2" s="35"/>
      <c r="ADA2" s="35"/>
      <c r="ADB2" s="35"/>
      <c r="ADC2" s="35"/>
      <c r="ADD2" s="35"/>
      <c r="ADE2" s="35"/>
      <c r="ADF2" s="35"/>
      <c r="ADG2" s="35"/>
      <c r="ADH2" s="35"/>
      <c r="ADI2" s="35"/>
      <c r="ADJ2" s="35"/>
      <c r="ADK2" s="35"/>
      <c r="ADL2" s="35"/>
      <c r="ADM2" s="35"/>
      <c r="ADN2" s="35"/>
      <c r="ADO2" s="35"/>
      <c r="ADP2" s="35"/>
      <c r="ADQ2" s="35"/>
      <c r="ADR2" s="35"/>
      <c r="ADS2" s="35"/>
      <c r="ADT2" s="35"/>
      <c r="ADU2" s="35"/>
      <c r="ADV2" s="35"/>
      <c r="ADW2" s="35"/>
      <c r="ADX2" s="35"/>
      <c r="ADY2" s="35"/>
      <c r="ADZ2" s="35"/>
      <c r="AEA2" s="35"/>
      <c r="AEB2" s="35"/>
      <c r="AEC2" s="35"/>
      <c r="AED2" s="35"/>
      <c r="AEE2" s="35"/>
      <c r="AEF2" s="35"/>
      <c r="AEG2" s="35"/>
      <c r="AEH2" s="35"/>
      <c r="AEI2" s="35"/>
      <c r="AEJ2" s="35"/>
      <c r="AEK2" s="35"/>
      <c r="AEL2" s="35"/>
      <c r="AEM2" s="35"/>
      <c r="AEN2" s="35"/>
      <c r="AEO2" s="35"/>
      <c r="AEP2" s="35"/>
      <c r="AEQ2" s="35"/>
      <c r="AER2" s="35"/>
      <c r="AES2" s="35"/>
      <c r="AET2" s="35"/>
      <c r="AEU2" s="35"/>
      <c r="AEV2" s="35"/>
      <c r="AEW2" s="35"/>
      <c r="AEX2" s="35"/>
      <c r="AEY2" s="35"/>
      <c r="AEZ2" s="35"/>
      <c r="AFA2" s="35"/>
      <c r="AFB2" s="35"/>
      <c r="AFC2" s="35"/>
      <c r="AFD2" s="35"/>
      <c r="AFE2" s="35"/>
      <c r="AFF2" s="35"/>
      <c r="AFG2" s="35"/>
      <c r="AFH2" s="35"/>
      <c r="AFI2" s="35"/>
      <c r="AFJ2" s="35"/>
      <c r="AFK2" s="35"/>
      <c r="AFL2" s="35"/>
      <c r="AFM2" s="35"/>
      <c r="AFN2" s="35"/>
      <c r="AFO2" s="35"/>
      <c r="AFP2" s="35"/>
      <c r="AFQ2" s="35"/>
      <c r="AFR2" s="35"/>
      <c r="AFS2" s="35"/>
      <c r="AFT2" s="35"/>
      <c r="AFU2" s="35"/>
      <c r="AFV2" s="35"/>
      <c r="AFW2" s="35"/>
      <c r="AFX2" s="35"/>
      <c r="AFY2" s="35"/>
      <c r="AFZ2" s="35"/>
      <c r="AGA2" s="35"/>
      <c r="AGB2" s="35"/>
      <c r="AGC2" s="35"/>
      <c r="AGD2" s="35"/>
      <c r="AGE2" s="35"/>
      <c r="AGF2" s="35"/>
      <c r="AGG2" s="35"/>
      <c r="AGH2" s="35"/>
      <c r="AGI2" s="35"/>
      <c r="AGJ2" s="35"/>
      <c r="AGK2" s="35"/>
      <c r="AGL2" s="35"/>
      <c r="AGM2" s="35"/>
      <c r="AGN2" s="35"/>
      <c r="AGO2" s="35"/>
      <c r="AGP2" s="35"/>
      <c r="AGQ2" s="35"/>
      <c r="AGR2" s="35"/>
      <c r="AGS2" s="35"/>
      <c r="AGT2" s="35"/>
      <c r="AGU2" s="35"/>
      <c r="AGV2" s="35"/>
      <c r="AGW2" s="35"/>
      <c r="AGX2" s="35"/>
      <c r="AGY2" s="35"/>
      <c r="AGZ2" s="35"/>
      <c r="AHA2" s="35"/>
      <c r="AHB2" s="35"/>
      <c r="AHC2" s="35"/>
      <c r="AHD2" s="35"/>
      <c r="AHE2" s="35"/>
      <c r="AHF2" s="35"/>
      <c r="AHG2" s="35"/>
      <c r="AHH2" s="35"/>
      <c r="AHI2" s="35"/>
      <c r="AHJ2" s="35"/>
      <c r="AHK2" s="35"/>
      <c r="AHL2" s="35"/>
      <c r="AHM2" s="35"/>
      <c r="AHN2" s="35"/>
      <c r="AHO2" s="35"/>
      <c r="AHP2" s="35"/>
      <c r="AHQ2" s="35"/>
      <c r="AHR2" s="35"/>
      <c r="AHS2" s="35"/>
      <c r="AHT2" s="35"/>
      <c r="AHU2" s="35"/>
      <c r="AHV2" s="35"/>
      <c r="AHW2" s="35"/>
      <c r="AHX2" s="35"/>
      <c r="AHY2" s="35"/>
      <c r="AHZ2" s="35"/>
      <c r="AIA2" s="35"/>
      <c r="AIB2" s="35"/>
      <c r="AIC2" s="35"/>
      <c r="AID2" s="35"/>
      <c r="AIE2" s="35"/>
      <c r="AIF2" s="35"/>
      <c r="AIG2" s="35"/>
      <c r="AIH2" s="35"/>
      <c r="AII2" s="35"/>
      <c r="AIJ2" s="35"/>
      <c r="AIK2" s="35"/>
      <c r="AIL2" s="35"/>
      <c r="AIM2" s="35"/>
      <c r="AIN2" s="35"/>
      <c r="AIO2" s="35"/>
      <c r="AIP2" s="35"/>
      <c r="AIQ2" s="35"/>
      <c r="AIR2" s="35"/>
      <c r="AIS2" s="35"/>
      <c r="AIT2" s="35"/>
      <c r="AIU2" s="35"/>
      <c r="AIV2" s="35"/>
      <c r="AIW2" s="35"/>
      <c r="AIX2" s="35"/>
      <c r="AIY2" s="35"/>
      <c r="AIZ2" s="35"/>
      <c r="AJA2" s="35"/>
      <c r="AJB2" s="35"/>
      <c r="AJC2" s="35"/>
      <c r="AJD2" s="35"/>
      <c r="AJE2" s="35"/>
      <c r="AJF2" s="35"/>
      <c r="AJG2" s="35"/>
      <c r="AJH2" s="35"/>
      <c r="AJI2" s="35"/>
      <c r="AJJ2" s="35"/>
      <c r="AJK2" s="35"/>
      <c r="AJL2" s="35"/>
      <c r="AJM2" s="35"/>
      <c r="AJN2" s="35"/>
      <c r="AJO2" s="35"/>
      <c r="AJP2" s="35"/>
      <c r="AJQ2" s="35"/>
      <c r="AJR2" s="35"/>
      <c r="AJS2" s="35"/>
      <c r="AJT2" s="35"/>
      <c r="AJU2" s="35"/>
      <c r="AJV2" s="35"/>
      <c r="AJW2" s="35"/>
      <c r="AJX2" s="35"/>
      <c r="AJY2" s="35"/>
      <c r="AJZ2" s="35"/>
      <c r="AKA2" s="35"/>
      <c r="AKB2" s="35"/>
      <c r="AKC2" s="35"/>
      <c r="AKD2" s="35"/>
      <c r="AKE2" s="35"/>
      <c r="AKF2" s="35"/>
      <c r="AKG2" s="35"/>
      <c r="AKH2" s="35"/>
      <c r="AKI2" s="35"/>
      <c r="AKJ2" s="35"/>
      <c r="AKK2" s="35"/>
      <c r="AKL2" s="35"/>
      <c r="AKM2" s="35"/>
      <c r="AKN2" s="35"/>
      <c r="AKO2" s="35"/>
      <c r="AKP2" s="35"/>
      <c r="AKQ2" s="35"/>
      <c r="AKR2" s="35"/>
      <c r="AKS2" s="35"/>
      <c r="AKT2" s="35"/>
      <c r="AKU2" s="35"/>
      <c r="AKV2" s="35"/>
      <c r="AKW2" s="35"/>
      <c r="AKX2" s="35"/>
      <c r="AKY2" s="35"/>
      <c r="AKZ2" s="35"/>
      <c r="ALA2" s="35"/>
      <c r="ALB2" s="35"/>
      <c r="ALC2" s="35"/>
      <c r="ALD2" s="35"/>
      <c r="ALE2" s="35"/>
      <c r="ALF2" s="35"/>
      <c r="ALG2" s="35"/>
      <c r="ALH2" s="35"/>
      <c r="ALI2" s="35"/>
      <c r="ALJ2" s="35"/>
      <c r="ALK2" s="35"/>
      <c r="ALL2" s="35"/>
      <c r="ALM2" s="35"/>
      <c r="ALN2" s="35"/>
      <c r="ALO2" s="35"/>
      <c r="ALP2" s="35"/>
      <c r="ALQ2" s="35"/>
      <c r="ALR2" s="35"/>
      <c r="ALS2" s="35"/>
      <c r="ALT2" s="35"/>
      <c r="ALU2" s="35"/>
      <c r="ALV2" s="35"/>
      <c r="ALW2" s="35"/>
      <c r="ALX2" s="35"/>
      <c r="ALY2" s="35"/>
      <c r="ALZ2" s="35"/>
      <c r="AMA2" s="35"/>
      <c r="AMB2" s="35"/>
      <c r="AMC2" s="35"/>
      <c r="AMD2" s="35"/>
      <c r="AME2" s="35"/>
      <c r="AMF2" s="35"/>
      <c r="AMG2" s="35"/>
      <c r="AMH2" s="35"/>
      <c r="AMI2" s="35"/>
      <c r="AMJ2" s="35"/>
      <c r="AMK2" s="35"/>
      <c r="AML2" s="35"/>
      <c r="AMM2" s="35"/>
      <c r="AMN2" s="35"/>
      <c r="AMO2" s="35"/>
      <c r="AMP2" s="35"/>
      <c r="AMQ2" s="35"/>
      <c r="AMR2" s="35"/>
      <c r="AMS2" s="35"/>
      <c r="AMT2" s="35"/>
      <c r="AMU2" s="35"/>
      <c r="AMV2" s="35"/>
      <c r="AMW2" s="35"/>
      <c r="AMX2" s="35"/>
      <c r="AMY2" s="35"/>
      <c r="AMZ2" s="35"/>
      <c r="ANA2" s="35"/>
    </row>
    <row r="3" customFormat="false" ht="12.8" hidden="true" customHeight="true" outlineLevel="1" collapsed="false">
      <c r="A3" s="30"/>
      <c r="B3" s="31"/>
      <c r="C3" s="31"/>
      <c r="D3" s="32"/>
      <c r="E3" s="32"/>
      <c r="F3" s="33"/>
      <c r="G3" s="33"/>
      <c r="H3" s="33"/>
      <c r="I3" s="33"/>
      <c r="J3" s="33"/>
      <c r="K3" s="33"/>
      <c r="L3" s="33"/>
      <c r="M3" s="33"/>
      <c r="N3" s="33"/>
      <c r="O3" s="34"/>
      <c r="P3" s="33"/>
      <c r="Q3" s="33"/>
      <c r="R3" s="33"/>
      <c r="S3" s="31"/>
      <c r="T3" s="31"/>
      <c r="U3" s="31"/>
      <c r="V3" s="31"/>
      <c r="W3" s="31"/>
      <c r="X3" s="31"/>
      <c r="Y3" s="31"/>
      <c r="Z3" s="31"/>
      <c r="AA3" s="31"/>
      <c r="AB3" s="34"/>
      <c r="AC3" s="34"/>
      <c r="AD3" s="31"/>
      <c r="AE3" s="31"/>
      <c r="AF3" s="33"/>
      <c r="AG3" s="31"/>
      <c r="AH3" s="33"/>
      <c r="AI3" s="33"/>
      <c r="AJ3" s="33"/>
      <c r="AK3" s="33"/>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t="s">
        <v>364</v>
      </c>
      <c r="BX3" s="35"/>
      <c r="BY3" s="35"/>
      <c r="BZ3" s="35"/>
      <c r="CA3" s="35"/>
      <c r="CB3" s="35"/>
      <c r="CC3" s="35"/>
      <c r="CD3" s="35"/>
      <c r="CE3" s="35"/>
      <c r="CF3" s="35"/>
      <c r="CG3" s="35"/>
      <c r="CH3" s="35"/>
      <c r="CI3" s="35"/>
      <c r="CJ3" s="35"/>
      <c r="CK3" s="35"/>
      <c r="CL3" s="35"/>
      <c r="CM3" s="35"/>
      <c r="CN3" s="35"/>
      <c r="CO3" s="35"/>
      <c r="CP3" s="35"/>
      <c r="CQ3" s="35"/>
      <c r="CR3" s="35"/>
      <c r="CS3" s="35"/>
      <c r="CT3" s="35"/>
      <c r="CU3" s="35"/>
      <c r="CV3" s="35"/>
      <c r="CW3" s="35"/>
      <c r="CX3" s="35"/>
      <c r="CY3" s="35"/>
      <c r="CZ3" s="35"/>
      <c r="DA3" s="35"/>
      <c r="DB3" s="35"/>
      <c r="DC3" s="35"/>
      <c r="DD3" s="35"/>
      <c r="DE3" s="35"/>
      <c r="DF3" s="35"/>
      <c r="DG3" s="35"/>
      <c r="DH3" s="35"/>
      <c r="DI3" s="35"/>
      <c r="DJ3" s="35"/>
      <c r="DK3" s="35"/>
      <c r="DL3" s="35"/>
      <c r="DM3" s="35"/>
      <c r="DN3" s="35"/>
      <c r="DO3" s="35"/>
      <c r="DP3" s="35"/>
      <c r="DQ3" s="35"/>
      <c r="DR3" s="35"/>
      <c r="DS3" s="35"/>
      <c r="DT3" s="35"/>
      <c r="DU3" s="35"/>
      <c r="DV3" s="35"/>
      <c r="DW3" s="35"/>
      <c r="DX3" s="35"/>
      <c r="DY3" s="35"/>
      <c r="DZ3" s="35"/>
      <c r="EA3" s="35"/>
      <c r="EB3" s="35"/>
      <c r="EC3" s="35"/>
      <c r="ED3" s="35"/>
      <c r="EE3" s="35"/>
      <c r="EF3" s="35"/>
      <c r="EG3" s="35"/>
      <c r="EH3" s="35"/>
      <c r="EI3" s="35"/>
      <c r="EJ3" s="35"/>
      <c r="EK3" s="35"/>
      <c r="EL3" s="35"/>
      <c r="EM3" s="35"/>
      <c r="EN3" s="35"/>
      <c r="EO3" s="35"/>
      <c r="EP3" s="35"/>
      <c r="EQ3" s="35"/>
      <c r="ER3" s="35"/>
      <c r="ES3" s="35"/>
      <c r="ET3" s="35"/>
      <c r="EU3" s="35"/>
      <c r="EV3" s="35"/>
      <c r="EW3" s="35"/>
      <c r="EX3" s="35"/>
      <c r="EY3" s="35"/>
      <c r="EZ3" s="35"/>
      <c r="FA3" s="35"/>
      <c r="FB3" s="35"/>
      <c r="FC3" s="35"/>
      <c r="FD3" s="35"/>
      <c r="FE3" s="35"/>
      <c r="FF3" s="35"/>
      <c r="FG3" s="35"/>
      <c r="FH3" s="35"/>
      <c r="FI3" s="35"/>
      <c r="FJ3" s="35"/>
      <c r="FK3" s="35"/>
      <c r="FL3" s="35"/>
      <c r="FM3" s="35"/>
      <c r="FN3" s="35"/>
      <c r="FO3" s="35"/>
      <c r="FP3" s="35"/>
      <c r="FQ3" s="35"/>
      <c r="FR3" s="35"/>
      <c r="FS3" s="35"/>
      <c r="FT3" s="35"/>
      <c r="FU3" s="35"/>
      <c r="FV3" s="35"/>
      <c r="FW3" s="35"/>
      <c r="FX3" s="35"/>
      <c r="FY3" s="35"/>
      <c r="FZ3" s="35"/>
      <c r="GA3" s="35"/>
      <c r="GB3" s="35"/>
      <c r="GC3" s="35"/>
      <c r="GD3" s="35"/>
      <c r="GE3" s="35"/>
      <c r="GF3" s="35"/>
      <c r="GG3" s="35"/>
      <c r="GH3" s="35"/>
      <c r="GI3" s="35"/>
      <c r="GJ3" s="35"/>
      <c r="GK3" s="35"/>
      <c r="GL3" s="35"/>
      <c r="GM3" s="35"/>
      <c r="GN3" s="35"/>
      <c r="GO3" s="35"/>
      <c r="GP3" s="35"/>
      <c r="GQ3" s="35"/>
      <c r="GR3" s="35"/>
      <c r="GS3" s="35"/>
      <c r="GT3" s="35"/>
      <c r="GU3" s="35"/>
      <c r="GV3" s="35"/>
      <c r="GW3" s="35"/>
      <c r="GX3" s="35"/>
      <c r="GY3" s="35"/>
      <c r="GZ3" s="35"/>
      <c r="HA3" s="35"/>
      <c r="HB3" s="35"/>
      <c r="HC3" s="35"/>
      <c r="HD3" s="35"/>
      <c r="HE3" s="35"/>
      <c r="HF3" s="35"/>
      <c r="HG3" s="35"/>
      <c r="HH3" s="35"/>
      <c r="HI3" s="35"/>
      <c r="HJ3" s="35"/>
      <c r="HK3" s="35"/>
      <c r="HL3" s="35"/>
      <c r="HM3" s="35"/>
      <c r="HN3" s="35"/>
      <c r="HO3" s="35"/>
      <c r="HP3" s="35"/>
      <c r="HQ3" s="35"/>
      <c r="HR3" s="35"/>
      <c r="HS3" s="35"/>
      <c r="HT3" s="35"/>
      <c r="HU3" s="35"/>
      <c r="HV3" s="35"/>
      <c r="HW3" s="35"/>
      <c r="HX3" s="35"/>
      <c r="HY3" s="35"/>
      <c r="HZ3" s="35"/>
      <c r="IA3" s="35"/>
      <c r="IB3" s="35"/>
      <c r="IC3" s="35"/>
      <c r="ID3" s="35"/>
      <c r="IE3" s="35"/>
      <c r="IF3" s="35"/>
      <c r="IG3" s="35"/>
      <c r="IH3" s="35"/>
      <c r="II3" s="35"/>
      <c r="IJ3" s="35"/>
      <c r="IK3" s="35"/>
      <c r="IL3" s="35"/>
      <c r="IM3" s="35"/>
      <c r="IN3" s="35"/>
      <c r="IO3" s="35"/>
      <c r="IP3" s="35"/>
      <c r="IQ3" s="35"/>
      <c r="IR3" s="35"/>
      <c r="IS3" s="35"/>
      <c r="IT3" s="35"/>
      <c r="IU3" s="35"/>
      <c r="IV3" s="35"/>
      <c r="IW3" s="35"/>
      <c r="IX3" s="35"/>
      <c r="IY3" s="35"/>
      <c r="IZ3" s="35"/>
      <c r="JA3" s="35"/>
      <c r="JB3" s="35"/>
      <c r="JC3" s="35"/>
      <c r="JD3" s="35"/>
      <c r="JE3" s="35"/>
      <c r="JF3" s="35"/>
      <c r="JG3" s="35"/>
      <c r="JH3" s="35"/>
      <c r="JI3" s="35"/>
      <c r="JJ3" s="35"/>
      <c r="JK3" s="35"/>
      <c r="JL3" s="35"/>
      <c r="JM3" s="35"/>
      <c r="JN3" s="35"/>
      <c r="JO3" s="35"/>
      <c r="JP3" s="35"/>
      <c r="JQ3" s="35"/>
      <c r="JR3" s="35"/>
      <c r="JS3" s="35"/>
      <c r="JT3" s="35"/>
      <c r="JU3" s="35"/>
      <c r="JV3" s="35"/>
      <c r="JW3" s="35"/>
      <c r="JX3" s="35"/>
      <c r="JY3" s="35"/>
      <c r="JZ3" s="35"/>
      <c r="KA3" s="35"/>
      <c r="KB3" s="35"/>
      <c r="KC3" s="35"/>
      <c r="KD3" s="35"/>
      <c r="KE3" s="35"/>
      <c r="KF3" s="35"/>
      <c r="KG3" s="35"/>
      <c r="KH3" s="35"/>
      <c r="KI3" s="35"/>
      <c r="KJ3" s="35"/>
      <c r="KK3" s="35"/>
      <c r="KL3" s="35"/>
      <c r="KM3" s="35"/>
      <c r="KN3" s="35"/>
      <c r="KO3" s="35"/>
      <c r="KP3" s="35"/>
      <c r="KQ3" s="35"/>
      <c r="KR3" s="35"/>
      <c r="KS3" s="35"/>
      <c r="KT3" s="35"/>
      <c r="KU3" s="35"/>
      <c r="KV3" s="35"/>
      <c r="KW3" s="35"/>
      <c r="KX3" s="35"/>
      <c r="KY3" s="35"/>
      <c r="KZ3" s="35"/>
      <c r="LA3" s="35"/>
      <c r="LB3" s="35"/>
      <c r="LC3" s="35"/>
      <c r="LD3" s="35"/>
      <c r="LE3" s="35"/>
      <c r="LF3" s="35"/>
      <c r="LG3" s="35"/>
      <c r="LH3" s="35"/>
      <c r="LI3" s="35"/>
      <c r="LJ3" s="35"/>
      <c r="LK3" s="35"/>
      <c r="LL3" s="35"/>
      <c r="LM3" s="35"/>
      <c r="LN3" s="35"/>
      <c r="LO3" s="35"/>
      <c r="LP3" s="35"/>
      <c r="LQ3" s="35"/>
      <c r="LR3" s="35"/>
      <c r="LS3" s="35"/>
      <c r="LT3" s="35"/>
      <c r="LU3" s="35"/>
      <c r="LV3" s="35"/>
      <c r="LW3" s="35"/>
      <c r="LX3" s="35"/>
      <c r="LY3" s="35"/>
      <c r="LZ3" s="35"/>
      <c r="MA3" s="35"/>
      <c r="MB3" s="35"/>
      <c r="MC3" s="35"/>
      <c r="MD3" s="35"/>
      <c r="ME3" s="35"/>
      <c r="MF3" s="35"/>
      <c r="MG3" s="35"/>
      <c r="MH3" s="35"/>
      <c r="MI3" s="35"/>
      <c r="MJ3" s="35"/>
      <c r="MK3" s="35"/>
      <c r="ML3" s="35"/>
      <c r="MM3" s="35"/>
      <c r="MN3" s="35"/>
      <c r="MO3" s="35"/>
      <c r="MP3" s="35"/>
      <c r="MQ3" s="35"/>
      <c r="MR3" s="35"/>
      <c r="MS3" s="35"/>
      <c r="MT3" s="35"/>
      <c r="MU3" s="35"/>
      <c r="MV3" s="35"/>
      <c r="MW3" s="35"/>
      <c r="MX3" s="35"/>
      <c r="MY3" s="35"/>
      <c r="MZ3" s="35"/>
      <c r="NA3" s="35"/>
      <c r="NB3" s="35"/>
      <c r="NC3" s="35"/>
      <c r="ND3" s="35"/>
      <c r="NE3" s="35"/>
      <c r="NF3" s="35"/>
      <c r="NG3" s="35"/>
      <c r="NH3" s="35"/>
      <c r="NI3" s="35"/>
      <c r="NJ3" s="35"/>
      <c r="NK3" s="35"/>
      <c r="NL3" s="35"/>
      <c r="NM3" s="35"/>
      <c r="NN3" s="35"/>
      <c r="NO3" s="35"/>
      <c r="NP3" s="35"/>
      <c r="NQ3" s="35"/>
      <c r="NR3" s="35"/>
      <c r="NS3" s="35"/>
      <c r="NT3" s="35"/>
      <c r="NU3" s="35"/>
      <c r="NV3" s="35"/>
      <c r="NW3" s="35"/>
      <c r="NX3" s="35"/>
      <c r="NY3" s="35"/>
      <c r="NZ3" s="35"/>
      <c r="OA3" s="35"/>
      <c r="OB3" s="35"/>
      <c r="OC3" s="35"/>
      <c r="OD3" s="35"/>
      <c r="OE3" s="35"/>
      <c r="OF3" s="35"/>
      <c r="OG3" s="35"/>
      <c r="OH3" s="35"/>
      <c r="OI3" s="35"/>
      <c r="OJ3" s="35"/>
      <c r="OK3" s="35"/>
      <c r="OL3" s="35"/>
      <c r="OM3" s="35"/>
      <c r="ON3" s="35"/>
      <c r="OO3" s="35"/>
      <c r="OP3" s="35"/>
      <c r="OQ3" s="35"/>
      <c r="OR3" s="35"/>
      <c r="OS3" s="35"/>
      <c r="OT3" s="35"/>
      <c r="OU3" s="35"/>
      <c r="OV3" s="35"/>
      <c r="OW3" s="35"/>
      <c r="OX3" s="35"/>
      <c r="OY3" s="35"/>
      <c r="OZ3" s="35"/>
      <c r="PA3" s="35"/>
      <c r="PB3" s="35"/>
      <c r="PC3" s="35"/>
      <c r="PD3" s="35"/>
      <c r="PE3" s="35"/>
      <c r="PF3" s="35"/>
      <c r="PG3" s="35"/>
      <c r="PH3" s="35"/>
      <c r="PI3" s="35"/>
      <c r="PJ3" s="35"/>
      <c r="PK3" s="35"/>
      <c r="PL3" s="35"/>
      <c r="PM3" s="35"/>
      <c r="PN3" s="35"/>
      <c r="PO3" s="35"/>
      <c r="PP3" s="35"/>
      <c r="PQ3" s="35"/>
      <c r="PR3" s="35"/>
      <c r="PS3" s="35"/>
      <c r="PT3" s="35"/>
      <c r="PU3" s="35"/>
      <c r="PV3" s="35"/>
      <c r="PW3" s="35"/>
      <c r="PX3" s="35"/>
      <c r="PY3" s="35"/>
      <c r="PZ3" s="35"/>
      <c r="QA3" s="35"/>
      <c r="QB3" s="35"/>
      <c r="QC3" s="35"/>
      <c r="QD3" s="35"/>
      <c r="QE3" s="35"/>
      <c r="QF3" s="35"/>
      <c r="QG3" s="35"/>
      <c r="QH3" s="35"/>
      <c r="QI3" s="35"/>
      <c r="QJ3" s="35"/>
      <c r="QK3" s="35"/>
      <c r="QL3" s="35"/>
      <c r="QM3" s="35"/>
      <c r="QN3" s="35"/>
      <c r="QO3" s="35"/>
      <c r="QP3" s="35"/>
      <c r="QQ3" s="35"/>
      <c r="QR3" s="35"/>
      <c r="QS3" s="35"/>
      <c r="QT3" s="35"/>
      <c r="QU3" s="35"/>
      <c r="QV3" s="35"/>
      <c r="QW3" s="35"/>
      <c r="QX3" s="35"/>
      <c r="QY3" s="35"/>
      <c r="QZ3" s="35"/>
      <c r="RA3" s="35"/>
      <c r="RB3" s="35"/>
      <c r="RC3" s="35"/>
      <c r="RD3" s="35"/>
      <c r="RE3" s="35"/>
      <c r="RF3" s="35"/>
      <c r="RG3" s="35"/>
      <c r="RH3" s="35"/>
      <c r="RI3" s="35"/>
      <c r="RJ3" s="35"/>
      <c r="RK3" s="35"/>
      <c r="RL3" s="35"/>
      <c r="RM3" s="35"/>
      <c r="RN3" s="35"/>
      <c r="RO3" s="35"/>
      <c r="RP3" s="35"/>
      <c r="RQ3" s="35"/>
      <c r="RR3" s="35"/>
      <c r="RS3" s="35"/>
      <c r="RT3" s="35"/>
      <c r="RU3" s="35"/>
      <c r="RV3" s="35"/>
      <c r="RW3" s="35"/>
      <c r="RX3" s="35"/>
      <c r="RY3" s="35"/>
      <c r="RZ3" s="35"/>
      <c r="SA3" s="35"/>
      <c r="SB3" s="35"/>
      <c r="SC3" s="35"/>
      <c r="SD3" s="35"/>
      <c r="SE3" s="35"/>
      <c r="SF3" s="35"/>
      <c r="SG3" s="35"/>
      <c r="SH3" s="35"/>
      <c r="SI3" s="35"/>
      <c r="SJ3" s="35"/>
      <c r="SK3" s="35"/>
      <c r="SL3" s="35"/>
      <c r="SM3" s="35"/>
      <c r="SN3" s="35"/>
      <c r="SO3" s="35"/>
      <c r="SP3" s="35"/>
      <c r="SQ3" s="35"/>
      <c r="SR3" s="35"/>
      <c r="SS3" s="35"/>
      <c r="ST3" s="35"/>
      <c r="SU3" s="35"/>
      <c r="SV3" s="35"/>
      <c r="SW3" s="35"/>
      <c r="SX3" s="35"/>
      <c r="SY3" s="35"/>
      <c r="SZ3" s="35"/>
      <c r="TA3" s="35"/>
      <c r="TB3" s="35"/>
      <c r="TC3" s="35"/>
      <c r="TD3" s="35"/>
      <c r="TE3" s="35"/>
      <c r="TF3" s="35"/>
      <c r="TG3" s="35"/>
      <c r="TH3" s="35"/>
      <c r="TI3" s="35"/>
      <c r="TJ3" s="35"/>
      <c r="TK3" s="35"/>
      <c r="TL3" s="35"/>
      <c r="TM3" s="35"/>
      <c r="TN3" s="35"/>
      <c r="TO3" s="35"/>
      <c r="TP3" s="35"/>
      <c r="TQ3" s="35"/>
      <c r="TR3" s="35"/>
      <c r="TS3" s="35"/>
      <c r="TT3" s="35"/>
      <c r="TU3" s="35"/>
      <c r="TV3" s="35"/>
      <c r="TW3" s="35"/>
      <c r="TX3" s="35"/>
      <c r="TY3" s="35"/>
      <c r="TZ3" s="35"/>
      <c r="UA3" s="35"/>
      <c r="UB3" s="35"/>
      <c r="UC3" s="35"/>
      <c r="UD3" s="35"/>
      <c r="UE3" s="35"/>
      <c r="UF3" s="35"/>
      <c r="UG3" s="35"/>
      <c r="UH3" s="35"/>
      <c r="UI3" s="35"/>
      <c r="UJ3" s="35"/>
      <c r="UK3" s="35"/>
      <c r="UL3" s="35"/>
      <c r="UM3" s="35"/>
      <c r="UN3" s="35"/>
      <c r="UO3" s="35"/>
      <c r="UP3" s="35"/>
      <c r="UQ3" s="35"/>
      <c r="UR3" s="35"/>
      <c r="US3" s="35"/>
      <c r="UT3" s="35"/>
      <c r="UU3" s="35"/>
      <c r="UV3" s="35"/>
      <c r="UW3" s="35"/>
      <c r="UX3" s="35"/>
      <c r="UY3" s="35"/>
      <c r="UZ3" s="35"/>
      <c r="VA3" s="35"/>
      <c r="VB3" s="35"/>
      <c r="VC3" s="35"/>
      <c r="VD3" s="35"/>
      <c r="VE3" s="35"/>
      <c r="VF3" s="35"/>
      <c r="VG3" s="35"/>
      <c r="VH3" s="35"/>
      <c r="VI3" s="35"/>
      <c r="VJ3" s="35"/>
      <c r="VK3" s="35"/>
      <c r="VL3" s="35"/>
      <c r="VM3" s="35"/>
      <c r="VN3" s="35"/>
      <c r="VO3" s="35"/>
      <c r="VP3" s="35"/>
      <c r="VQ3" s="35"/>
      <c r="VR3" s="35"/>
      <c r="VS3" s="35"/>
      <c r="VT3" s="35"/>
      <c r="VU3" s="35"/>
      <c r="VV3" s="35"/>
      <c r="VW3" s="35"/>
      <c r="VX3" s="35"/>
      <c r="VY3" s="35"/>
      <c r="VZ3" s="35"/>
      <c r="WA3" s="35"/>
      <c r="WB3" s="35"/>
      <c r="WC3" s="35"/>
      <c r="WD3" s="35"/>
      <c r="WE3" s="35"/>
      <c r="WF3" s="35"/>
      <c r="WG3" s="35"/>
      <c r="WH3" s="35"/>
      <c r="WI3" s="35"/>
      <c r="WJ3" s="35"/>
      <c r="WK3" s="35"/>
      <c r="WL3" s="35"/>
      <c r="WM3" s="35"/>
      <c r="WN3" s="35"/>
      <c r="WO3" s="35"/>
      <c r="WP3" s="35"/>
      <c r="WQ3" s="35"/>
      <c r="WR3" s="35"/>
      <c r="WS3" s="35"/>
      <c r="WT3" s="35"/>
      <c r="WU3" s="35"/>
      <c r="WV3" s="35"/>
      <c r="WW3" s="35"/>
      <c r="WX3" s="35"/>
      <c r="WY3" s="35"/>
      <c r="WZ3" s="35"/>
      <c r="XA3" s="35"/>
      <c r="XB3" s="35"/>
      <c r="XC3" s="35"/>
      <c r="XD3" s="35"/>
      <c r="XE3" s="35"/>
      <c r="XF3" s="35"/>
      <c r="XG3" s="35"/>
      <c r="XH3" s="35"/>
      <c r="XI3" s="35"/>
      <c r="XJ3" s="35"/>
      <c r="XK3" s="35"/>
      <c r="XL3" s="35"/>
      <c r="XM3" s="35"/>
      <c r="XN3" s="35"/>
      <c r="XO3" s="35"/>
      <c r="XP3" s="35"/>
      <c r="XQ3" s="35"/>
      <c r="XR3" s="35"/>
      <c r="XS3" s="35"/>
      <c r="XT3" s="35"/>
      <c r="XU3" s="35"/>
      <c r="XV3" s="35"/>
      <c r="XW3" s="35"/>
      <c r="XX3" s="35"/>
      <c r="XY3" s="35"/>
      <c r="XZ3" s="35"/>
      <c r="YA3" s="35"/>
      <c r="YB3" s="35"/>
      <c r="YC3" s="35"/>
      <c r="YD3" s="35"/>
      <c r="YE3" s="35"/>
      <c r="YF3" s="35"/>
      <c r="YG3" s="35"/>
      <c r="YH3" s="35"/>
      <c r="YI3" s="35"/>
      <c r="YJ3" s="35"/>
      <c r="YK3" s="35"/>
      <c r="YL3" s="35"/>
      <c r="YM3" s="35"/>
      <c r="YN3" s="35"/>
      <c r="YO3" s="35"/>
      <c r="YP3" s="35"/>
      <c r="YQ3" s="35"/>
      <c r="YR3" s="35"/>
      <c r="YS3" s="35"/>
      <c r="YT3" s="35"/>
      <c r="YU3" s="35"/>
      <c r="YV3" s="35"/>
      <c r="YW3" s="35"/>
      <c r="YX3" s="35"/>
      <c r="YY3" s="35"/>
      <c r="YZ3" s="35"/>
      <c r="ZA3" s="35"/>
      <c r="ZB3" s="35"/>
      <c r="ZC3" s="35"/>
      <c r="ZD3" s="35"/>
      <c r="ZE3" s="35"/>
      <c r="ZF3" s="35"/>
      <c r="ZG3" s="35"/>
      <c r="ZH3" s="35"/>
      <c r="ZI3" s="35"/>
      <c r="ZJ3" s="35"/>
      <c r="ZK3" s="35"/>
      <c r="ZL3" s="35"/>
      <c r="ZM3" s="35"/>
      <c r="ZN3" s="35"/>
      <c r="ZO3" s="35"/>
      <c r="ZP3" s="35"/>
      <c r="ZQ3" s="35"/>
      <c r="ZR3" s="35"/>
      <c r="ZS3" s="35"/>
      <c r="ZT3" s="35"/>
      <c r="ZU3" s="35"/>
      <c r="ZV3" s="35"/>
      <c r="ZW3" s="35"/>
      <c r="ZX3" s="35"/>
      <c r="ZY3" s="35"/>
      <c r="ZZ3" s="35"/>
      <c r="AAA3" s="35"/>
      <c r="AAB3" s="35"/>
      <c r="AAC3" s="35"/>
      <c r="AAD3" s="35"/>
      <c r="AAE3" s="35"/>
      <c r="AAF3" s="35"/>
      <c r="AAG3" s="35"/>
      <c r="AAH3" s="35"/>
      <c r="AAI3" s="35"/>
      <c r="AAJ3" s="35"/>
      <c r="AAK3" s="35"/>
      <c r="AAL3" s="35"/>
      <c r="AAM3" s="35"/>
      <c r="AAN3" s="35"/>
      <c r="AAO3" s="35"/>
      <c r="AAP3" s="35"/>
      <c r="AAQ3" s="35"/>
      <c r="AAR3" s="35"/>
      <c r="AAS3" s="35"/>
      <c r="AAT3" s="35"/>
      <c r="AAU3" s="35"/>
      <c r="AAV3" s="35"/>
      <c r="AAW3" s="35"/>
      <c r="AAX3" s="35"/>
      <c r="AAY3" s="35"/>
      <c r="AAZ3" s="35"/>
      <c r="ABA3" s="35"/>
      <c r="ABB3" s="35"/>
      <c r="ABC3" s="35"/>
      <c r="ABD3" s="35"/>
      <c r="ABE3" s="35"/>
      <c r="ABF3" s="35"/>
      <c r="ABG3" s="35"/>
      <c r="ABH3" s="35"/>
      <c r="ABI3" s="35"/>
      <c r="ABJ3" s="35"/>
      <c r="ABK3" s="35"/>
      <c r="ABL3" s="35"/>
      <c r="ABM3" s="35"/>
      <c r="ABN3" s="35"/>
      <c r="ABO3" s="35"/>
      <c r="ABP3" s="35"/>
      <c r="ABQ3" s="35"/>
      <c r="ABR3" s="35"/>
      <c r="ABS3" s="35"/>
      <c r="ABT3" s="35"/>
      <c r="ABU3" s="35"/>
      <c r="ABV3" s="35"/>
      <c r="ABW3" s="35"/>
      <c r="ABX3" s="35"/>
      <c r="ABY3" s="35"/>
      <c r="ABZ3" s="35"/>
      <c r="ACA3" s="35"/>
      <c r="ACB3" s="35"/>
      <c r="ACC3" s="35"/>
      <c r="ACD3" s="35"/>
      <c r="ACE3" s="35"/>
      <c r="ACF3" s="35"/>
      <c r="ACG3" s="35"/>
      <c r="ACH3" s="35"/>
      <c r="ACI3" s="35"/>
      <c r="ACJ3" s="35"/>
      <c r="ACK3" s="35"/>
      <c r="ACL3" s="35"/>
      <c r="ACM3" s="35"/>
      <c r="ACN3" s="35"/>
      <c r="ACO3" s="35"/>
      <c r="ACP3" s="35"/>
      <c r="ACQ3" s="35"/>
      <c r="ACR3" s="35"/>
      <c r="ACS3" s="35"/>
      <c r="ACT3" s="35"/>
      <c r="ACU3" s="35"/>
      <c r="ACV3" s="35"/>
      <c r="ACW3" s="35"/>
      <c r="ACX3" s="35"/>
      <c r="ACY3" s="35"/>
      <c r="ACZ3" s="35"/>
      <c r="ADA3" s="35"/>
      <c r="ADB3" s="35"/>
      <c r="ADC3" s="35"/>
      <c r="ADD3" s="35"/>
      <c r="ADE3" s="35"/>
      <c r="ADF3" s="35"/>
      <c r="ADG3" s="35"/>
      <c r="ADH3" s="35"/>
      <c r="ADI3" s="35"/>
      <c r="ADJ3" s="35"/>
      <c r="ADK3" s="35"/>
      <c r="ADL3" s="35"/>
      <c r="ADM3" s="35"/>
      <c r="ADN3" s="35"/>
      <c r="ADO3" s="35"/>
      <c r="ADP3" s="35"/>
      <c r="ADQ3" s="35"/>
      <c r="ADR3" s="35"/>
      <c r="ADS3" s="35"/>
      <c r="ADT3" s="35"/>
      <c r="ADU3" s="35"/>
      <c r="ADV3" s="35"/>
      <c r="ADW3" s="35"/>
      <c r="ADX3" s="35"/>
      <c r="ADY3" s="35"/>
      <c r="ADZ3" s="35"/>
      <c r="AEA3" s="35"/>
      <c r="AEB3" s="35"/>
      <c r="AEC3" s="35"/>
      <c r="AED3" s="35"/>
      <c r="AEE3" s="35"/>
      <c r="AEF3" s="35"/>
      <c r="AEG3" s="35"/>
      <c r="AEH3" s="35"/>
      <c r="AEI3" s="35"/>
      <c r="AEJ3" s="35"/>
      <c r="AEK3" s="35"/>
      <c r="AEL3" s="35"/>
      <c r="AEM3" s="35"/>
      <c r="AEN3" s="35"/>
      <c r="AEO3" s="35"/>
      <c r="AEP3" s="35"/>
      <c r="AEQ3" s="35"/>
      <c r="AER3" s="35"/>
      <c r="AES3" s="35"/>
      <c r="AET3" s="35"/>
      <c r="AEU3" s="35"/>
      <c r="AEV3" s="35"/>
      <c r="AEW3" s="35"/>
      <c r="AEX3" s="35"/>
      <c r="AEY3" s="35"/>
      <c r="AEZ3" s="35"/>
      <c r="AFA3" s="35"/>
      <c r="AFB3" s="35"/>
      <c r="AFC3" s="35"/>
      <c r="AFD3" s="35"/>
      <c r="AFE3" s="35"/>
      <c r="AFF3" s="35"/>
      <c r="AFG3" s="35"/>
      <c r="AFH3" s="35"/>
      <c r="AFI3" s="35"/>
      <c r="AFJ3" s="35"/>
      <c r="AFK3" s="35"/>
      <c r="AFL3" s="35"/>
      <c r="AFM3" s="35"/>
      <c r="AFN3" s="35"/>
      <c r="AFO3" s="35"/>
      <c r="AFP3" s="35"/>
      <c r="AFQ3" s="35"/>
      <c r="AFR3" s="35"/>
      <c r="AFS3" s="35"/>
      <c r="AFT3" s="35"/>
      <c r="AFU3" s="35"/>
      <c r="AFV3" s="35"/>
      <c r="AFW3" s="35"/>
      <c r="AFX3" s="35"/>
      <c r="AFY3" s="35"/>
      <c r="AFZ3" s="35"/>
      <c r="AGA3" s="35"/>
      <c r="AGB3" s="35"/>
      <c r="AGC3" s="35"/>
      <c r="AGD3" s="35"/>
      <c r="AGE3" s="35"/>
      <c r="AGF3" s="35"/>
      <c r="AGG3" s="35"/>
      <c r="AGH3" s="35"/>
      <c r="AGI3" s="35"/>
      <c r="AGJ3" s="35"/>
      <c r="AGK3" s="35"/>
      <c r="AGL3" s="35"/>
      <c r="AGM3" s="35"/>
      <c r="AGN3" s="35"/>
      <c r="AGO3" s="35"/>
      <c r="AGP3" s="35"/>
      <c r="AGQ3" s="35"/>
      <c r="AGR3" s="35"/>
      <c r="AGS3" s="35"/>
      <c r="AGT3" s="35"/>
      <c r="AGU3" s="35"/>
      <c r="AGV3" s="35"/>
      <c r="AGW3" s="35"/>
      <c r="AGX3" s="35"/>
      <c r="AGY3" s="35"/>
      <c r="AGZ3" s="35"/>
      <c r="AHA3" s="35"/>
      <c r="AHB3" s="35"/>
      <c r="AHC3" s="35"/>
      <c r="AHD3" s="35"/>
      <c r="AHE3" s="35"/>
      <c r="AHF3" s="35"/>
      <c r="AHG3" s="35"/>
      <c r="AHH3" s="35"/>
      <c r="AHI3" s="35"/>
      <c r="AHJ3" s="35"/>
      <c r="AHK3" s="35"/>
      <c r="AHL3" s="35"/>
      <c r="AHM3" s="35"/>
      <c r="AHN3" s="35"/>
      <c r="AHO3" s="35"/>
      <c r="AHP3" s="35"/>
      <c r="AHQ3" s="35"/>
      <c r="AHR3" s="35"/>
      <c r="AHS3" s="35"/>
      <c r="AHT3" s="35"/>
      <c r="AHU3" s="35"/>
      <c r="AHV3" s="35"/>
      <c r="AHW3" s="35"/>
      <c r="AHX3" s="35"/>
      <c r="AHY3" s="35"/>
      <c r="AHZ3" s="35"/>
      <c r="AIA3" s="35"/>
      <c r="AIB3" s="35"/>
      <c r="AIC3" s="35"/>
      <c r="AID3" s="35"/>
      <c r="AIE3" s="35"/>
      <c r="AIF3" s="35"/>
      <c r="AIG3" s="35"/>
      <c r="AIH3" s="35"/>
      <c r="AII3" s="35"/>
      <c r="AIJ3" s="35"/>
      <c r="AIK3" s="35"/>
      <c r="AIL3" s="35"/>
      <c r="AIM3" s="35"/>
      <c r="AIN3" s="35"/>
      <c r="AIO3" s="35"/>
      <c r="AIP3" s="35"/>
      <c r="AIQ3" s="35"/>
      <c r="AIR3" s="35"/>
      <c r="AIS3" s="35"/>
      <c r="AIT3" s="35"/>
      <c r="AIU3" s="35"/>
      <c r="AIV3" s="35"/>
      <c r="AIW3" s="35"/>
      <c r="AIX3" s="35"/>
      <c r="AIY3" s="35"/>
      <c r="AIZ3" s="35"/>
      <c r="AJA3" s="35"/>
      <c r="AJB3" s="35"/>
      <c r="AJC3" s="35"/>
      <c r="AJD3" s="35"/>
      <c r="AJE3" s="35"/>
      <c r="AJF3" s="35"/>
      <c r="AJG3" s="35"/>
      <c r="AJH3" s="35"/>
      <c r="AJI3" s="35"/>
      <c r="AJJ3" s="35"/>
      <c r="AJK3" s="35"/>
      <c r="AJL3" s="35"/>
      <c r="AJM3" s="35"/>
      <c r="AJN3" s="35"/>
      <c r="AJO3" s="35"/>
      <c r="AJP3" s="35"/>
      <c r="AJQ3" s="35"/>
      <c r="AJR3" s="35"/>
      <c r="AJS3" s="35"/>
      <c r="AJT3" s="35"/>
      <c r="AJU3" s="35"/>
      <c r="AJV3" s="35"/>
      <c r="AJW3" s="35"/>
      <c r="AJX3" s="35"/>
      <c r="AJY3" s="35"/>
      <c r="AJZ3" s="35"/>
      <c r="AKA3" s="35"/>
      <c r="AKB3" s="35"/>
      <c r="AKC3" s="35"/>
      <c r="AKD3" s="35"/>
      <c r="AKE3" s="35"/>
      <c r="AKF3" s="35"/>
      <c r="AKG3" s="35"/>
      <c r="AKH3" s="35"/>
      <c r="AKI3" s="35"/>
      <c r="AKJ3" s="35"/>
      <c r="AKK3" s="35"/>
      <c r="AKL3" s="35"/>
      <c r="AKM3" s="35"/>
      <c r="AKN3" s="35"/>
      <c r="AKO3" s="35"/>
      <c r="AKP3" s="35"/>
      <c r="AKQ3" s="35"/>
      <c r="AKR3" s="35"/>
      <c r="AKS3" s="35"/>
      <c r="AKT3" s="35"/>
      <c r="AKU3" s="35"/>
      <c r="AKV3" s="35"/>
      <c r="AKW3" s="35"/>
      <c r="AKX3" s="35"/>
      <c r="AKY3" s="35"/>
      <c r="AKZ3" s="35"/>
      <c r="ALA3" s="35"/>
      <c r="ALB3" s="35"/>
      <c r="ALC3" s="35"/>
      <c r="ALD3" s="35"/>
      <c r="ALE3" s="35"/>
      <c r="ALF3" s="35"/>
      <c r="ALG3" s="35"/>
      <c r="ALH3" s="35"/>
      <c r="ALI3" s="35"/>
      <c r="ALJ3" s="35"/>
      <c r="ALK3" s="35"/>
      <c r="ALL3" s="35"/>
      <c r="ALM3" s="35"/>
      <c r="ALN3" s="35"/>
      <c r="ALO3" s="35"/>
      <c r="ALP3" s="35"/>
      <c r="ALQ3" s="35"/>
      <c r="ALR3" s="35"/>
      <c r="ALS3" s="35"/>
      <c r="ALT3" s="35"/>
      <c r="ALU3" s="35"/>
      <c r="ALV3" s="35"/>
      <c r="ALW3" s="35"/>
      <c r="ALX3" s="35"/>
      <c r="ALY3" s="35"/>
      <c r="ALZ3" s="35"/>
      <c r="AMA3" s="35"/>
      <c r="AMB3" s="35"/>
      <c r="AMC3" s="35"/>
      <c r="AMD3" s="35"/>
      <c r="AME3" s="35"/>
      <c r="AMF3" s="35"/>
      <c r="AMG3" s="35"/>
      <c r="AMH3" s="35"/>
      <c r="AMI3" s="35"/>
      <c r="AMJ3" s="35"/>
      <c r="AMK3" s="35"/>
      <c r="AML3" s="35"/>
      <c r="AMM3" s="35"/>
      <c r="AMN3" s="35"/>
      <c r="AMO3" s="35"/>
      <c r="AMP3" s="35"/>
      <c r="AMQ3" s="35"/>
      <c r="AMR3" s="35"/>
      <c r="AMS3" s="35"/>
      <c r="AMT3" s="35"/>
      <c r="AMU3" s="35"/>
      <c r="AMV3" s="35"/>
      <c r="AMW3" s="35"/>
      <c r="AMX3" s="35"/>
      <c r="AMY3" s="35"/>
      <c r="AMZ3" s="35"/>
      <c r="ANA3" s="35"/>
    </row>
    <row r="4" customFormat="false" ht="7.85" hidden="true" customHeight="true" outlineLevel="1" collapsed="false">
      <c r="A4" s="36" t="n">
        <f aca="false">A3</f>
        <v>0</v>
      </c>
      <c r="B4" s="37" t="n">
        <f aca="false">B3</f>
        <v>0</v>
      </c>
      <c r="C4" s="37" t="n">
        <f aca="false">C3</f>
        <v>0</v>
      </c>
      <c r="D4" s="38" t="n">
        <f aca="false">D3</f>
        <v>0</v>
      </c>
      <c r="E4" s="38" t="n">
        <f aca="false">E3</f>
        <v>0</v>
      </c>
      <c r="F4" s="37" t="n">
        <f aca="false">F3</f>
        <v>0</v>
      </c>
      <c r="G4" s="37" t="n">
        <f aca="false">G3</f>
        <v>0</v>
      </c>
      <c r="H4" s="37" t="n">
        <f aca="false">H3</f>
        <v>0</v>
      </c>
      <c r="I4" s="37" t="n">
        <f aca="false">I3</f>
        <v>0</v>
      </c>
      <c r="J4" s="37" t="n">
        <f aca="false">J3</f>
        <v>0</v>
      </c>
      <c r="K4" s="37" t="n">
        <f aca="false">K3</f>
        <v>0</v>
      </c>
      <c r="L4" s="37" t="n">
        <f aca="false">L3</f>
        <v>0</v>
      </c>
      <c r="M4" s="37" t="n">
        <f aca="false">M3</f>
        <v>0</v>
      </c>
      <c r="N4" s="37" t="n">
        <f aca="false">N3</f>
        <v>0</v>
      </c>
      <c r="O4" s="37" t="n">
        <f aca="false">O3</f>
        <v>0</v>
      </c>
      <c r="P4" s="37" t="n">
        <f aca="false">P3</f>
        <v>0</v>
      </c>
      <c r="Q4" s="37" t="n">
        <f aca="false">Q3</f>
        <v>0</v>
      </c>
      <c r="R4" s="37" t="n">
        <f aca="false">R3</f>
        <v>0</v>
      </c>
      <c r="S4" s="37"/>
      <c r="T4" s="37"/>
      <c r="U4" s="37"/>
      <c r="V4" s="37"/>
      <c r="W4" s="37"/>
      <c r="X4" s="39"/>
      <c r="Y4" s="39"/>
      <c r="Z4" s="37" t="n">
        <f aca="false">Z3</f>
        <v>0</v>
      </c>
      <c r="AA4" s="37"/>
      <c r="AB4" s="37" t="n">
        <f aca="false">AB3</f>
        <v>0</v>
      </c>
      <c r="AC4" s="37" t="n">
        <f aca="false">AC3</f>
        <v>0</v>
      </c>
      <c r="AD4" s="37" t="n">
        <f aca="false">AD3</f>
        <v>0</v>
      </c>
      <c r="AE4" s="37" t="n">
        <f aca="false">AE3</f>
        <v>0</v>
      </c>
      <c r="AF4" s="37" t="n">
        <f aca="false">AF3</f>
        <v>0</v>
      </c>
      <c r="AG4" s="37" t="n">
        <f aca="false">AG3</f>
        <v>0</v>
      </c>
      <c r="AH4" s="37" t="n">
        <f aca="false">AH3</f>
        <v>0</v>
      </c>
      <c r="AI4" s="37" t="n">
        <f aca="false">AI3</f>
        <v>0</v>
      </c>
      <c r="AJ4" s="37" t="n">
        <f aca="false">AJ3</f>
        <v>0</v>
      </c>
      <c r="AK4" s="37" t="n">
        <f aca="false">AK3</f>
        <v>0</v>
      </c>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t="str">
        <f aca="false">BW3</f>
        <v>x</v>
      </c>
      <c r="BX4" s="35"/>
      <c r="BY4" s="35"/>
      <c r="BZ4" s="35"/>
      <c r="CA4" s="35"/>
      <c r="CB4" s="35"/>
      <c r="CC4" s="35"/>
      <c r="CD4" s="35"/>
      <c r="CE4" s="35"/>
      <c r="CF4" s="35"/>
      <c r="CG4" s="35"/>
      <c r="CH4" s="35"/>
      <c r="CI4" s="35"/>
      <c r="CJ4" s="35"/>
      <c r="CK4" s="35"/>
      <c r="CL4" s="35"/>
      <c r="CM4" s="35"/>
      <c r="CN4" s="35"/>
      <c r="CO4" s="35"/>
      <c r="CP4" s="35"/>
      <c r="CQ4" s="35"/>
      <c r="CR4" s="35"/>
      <c r="CS4" s="35"/>
      <c r="CT4" s="35"/>
      <c r="CU4" s="35"/>
      <c r="CV4" s="35"/>
      <c r="CW4" s="35"/>
      <c r="CX4" s="35"/>
      <c r="CY4" s="35"/>
      <c r="CZ4" s="35"/>
      <c r="DA4" s="35"/>
      <c r="DB4" s="35"/>
      <c r="DC4" s="35"/>
      <c r="DD4" s="35"/>
      <c r="DE4" s="35"/>
      <c r="DF4" s="35"/>
      <c r="DG4" s="35"/>
      <c r="DH4" s="35"/>
      <c r="DI4" s="35"/>
      <c r="DJ4" s="35"/>
      <c r="DK4" s="35"/>
      <c r="DL4" s="35"/>
      <c r="DM4" s="35"/>
      <c r="DN4" s="35"/>
      <c r="DO4" s="35"/>
      <c r="DP4" s="35"/>
      <c r="DQ4" s="35"/>
      <c r="DR4" s="35"/>
      <c r="DS4" s="35"/>
      <c r="DT4" s="35"/>
      <c r="DU4" s="35"/>
      <c r="DV4" s="35"/>
      <c r="DW4" s="35"/>
      <c r="DX4" s="35"/>
      <c r="DY4" s="35"/>
      <c r="DZ4" s="35"/>
      <c r="EA4" s="35"/>
      <c r="EB4" s="35"/>
      <c r="EC4" s="35"/>
      <c r="ED4" s="35"/>
      <c r="EE4" s="35"/>
      <c r="EF4" s="35"/>
      <c r="EG4" s="35"/>
      <c r="EH4" s="35"/>
      <c r="EI4" s="35"/>
      <c r="EJ4" s="35"/>
      <c r="EK4" s="35"/>
      <c r="EL4" s="35"/>
      <c r="EM4" s="35"/>
      <c r="EN4" s="35"/>
      <c r="EO4" s="35"/>
      <c r="EP4" s="35"/>
      <c r="EQ4" s="35"/>
      <c r="ER4" s="35"/>
      <c r="ES4" s="35"/>
      <c r="ET4" s="35"/>
      <c r="EU4" s="35"/>
      <c r="EV4" s="35"/>
      <c r="EW4" s="35"/>
      <c r="EX4" s="35"/>
      <c r="EY4" s="35"/>
      <c r="EZ4" s="35"/>
      <c r="FA4" s="35"/>
      <c r="FB4" s="35"/>
      <c r="FC4" s="35"/>
      <c r="FD4" s="35"/>
      <c r="FE4" s="35"/>
      <c r="FF4" s="35"/>
      <c r="FG4" s="35"/>
      <c r="FH4" s="35"/>
      <c r="FI4" s="35"/>
      <c r="FJ4" s="35"/>
      <c r="FK4" s="35"/>
      <c r="FL4" s="35"/>
      <c r="FM4" s="35"/>
      <c r="FN4" s="35"/>
      <c r="FO4" s="35"/>
      <c r="FP4" s="35"/>
      <c r="FQ4" s="35"/>
      <c r="FR4" s="35"/>
      <c r="FS4" s="35"/>
      <c r="FT4" s="35"/>
      <c r="FU4" s="35"/>
      <c r="FV4" s="35"/>
      <c r="FW4" s="35"/>
      <c r="FX4" s="35"/>
      <c r="FY4" s="35"/>
      <c r="FZ4" s="35"/>
      <c r="GA4" s="35"/>
      <c r="GB4" s="35"/>
      <c r="GC4" s="35"/>
      <c r="GD4" s="35"/>
      <c r="GE4" s="35"/>
      <c r="GF4" s="35"/>
      <c r="GG4" s="35"/>
      <c r="GH4" s="35"/>
      <c r="GI4" s="35"/>
      <c r="GJ4" s="35"/>
      <c r="GK4" s="35"/>
      <c r="GL4" s="35"/>
      <c r="GM4" s="35"/>
      <c r="GN4" s="35"/>
      <c r="GO4" s="35"/>
      <c r="GP4" s="35"/>
      <c r="GQ4" s="35"/>
      <c r="GR4" s="35"/>
      <c r="GS4" s="35"/>
      <c r="GT4" s="35"/>
      <c r="GU4" s="35"/>
      <c r="GV4" s="35"/>
      <c r="GW4" s="35"/>
      <c r="GX4" s="35"/>
      <c r="GY4" s="35"/>
      <c r="GZ4" s="35"/>
      <c r="HA4" s="35"/>
      <c r="HB4" s="35"/>
      <c r="HC4" s="35"/>
      <c r="HD4" s="35"/>
      <c r="HE4" s="35"/>
      <c r="HF4" s="35"/>
      <c r="HG4" s="35"/>
      <c r="HH4" s="35"/>
      <c r="HI4" s="35"/>
      <c r="HJ4" s="35"/>
      <c r="HK4" s="35"/>
      <c r="HL4" s="35"/>
      <c r="HM4" s="35"/>
      <c r="HN4" s="35"/>
      <c r="HO4" s="35"/>
      <c r="HP4" s="35"/>
      <c r="HQ4" s="35"/>
      <c r="HR4" s="35"/>
      <c r="HS4" s="35"/>
      <c r="HT4" s="35"/>
      <c r="HU4" s="35"/>
      <c r="HV4" s="35"/>
      <c r="HW4" s="35"/>
      <c r="HX4" s="35"/>
      <c r="HY4" s="35"/>
      <c r="HZ4" s="35"/>
      <c r="IA4" s="35"/>
      <c r="IB4" s="35"/>
      <c r="IC4" s="35"/>
      <c r="ID4" s="35"/>
      <c r="IE4" s="35"/>
      <c r="IF4" s="35"/>
      <c r="IG4" s="35"/>
      <c r="IH4" s="35"/>
      <c r="II4" s="35"/>
      <c r="IJ4" s="35"/>
      <c r="IK4" s="35"/>
      <c r="IL4" s="35"/>
      <c r="IM4" s="35"/>
      <c r="IN4" s="35"/>
      <c r="IO4" s="35"/>
      <c r="IP4" s="35"/>
      <c r="IQ4" s="35"/>
      <c r="IR4" s="35"/>
      <c r="IS4" s="35"/>
      <c r="IT4" s="35"/>
      <c r="IU4" s="35"/>
      <c r="IV4" s="35"/>
      <c r="IW4" s="35"/>
      <c r="IX4" s="35"/>
      <c r="IY4" s="35"/>
      <c r="IZ4" s="35"/>
      <c r="JA4" s="35"/>
      <c r="JB4" s="35"/>
      <c r="JC4" s="35"/>
      <c r="JD4" s="35"/>
      <c r="JE4" s="35"/>
      <c r="JF4" s="35"/>
      <c r="JG4" s="35"/>
      <c r="JH4" s="35"/>
      <c r="JI4" s="35"/>
      <c r="JJ4" s="35"/>
      <c r="JK4" s="35"/>
      <c r="JL4" s="35"/>
      <c r="JM4" s="35"/>
      <c r="JN4" s="35"/>
      <c r="JO4" s="35"/>
      <c r="JP4" s="35"/>
      <c r="JQ4" s="35"/>
      <c r="JR4" s="35"/>
      <c r="JS4" s="35"/>
      <c r="JT4" s="35"/>
      <c r="JU4" s="35"/>
      <c r="JV4" s="35"/>
      <c r="JW4" s="35"/>
      <c r="JX4" s="35"/>
      <c r="JY4" s="35"/>
      <c r="JZ4" s="35"/>
      <c r="KA4" s="35"/>
      <c r="KB4" s="35"/>
      <c r="KC4" s="35"/>
      <c r="KD4" s="35"/>
      <c r="KE4" s="35"/>
      <c r="KF4" s="35"/>
      <c r="KG4" s="35"/>
      <c r="KH4" s="35"/>
      <c r="KI4" s="35"/>
      <c r="KJ4" s="35"/>
      <c r="KK4" s="35"/>
      <c r="KL4" s="35"/>
      <c r="KM4" s="35"/>
      <c r="KN4" s="35"/>
      <c r="KO4" s="35"/>
      <c r="KP4" s="35"/>
      <c r="KQ4" s="35"/>
      <c r="KR4" s="35"/>
      <c r="KS4" s="35"/>
      <c r="KT4" s="35"/>
      <c r="KU4" s="35"/>
      <c r="KV4" s="35"/>
      <c r="KW4" s="35"/>
      <c r="KX4" s="35"/>
      <c r="KY4" s="35"/>
      <c r="KZ4" s="35"/>
      <c r="LA4" s="35"/>
      <c r="LB4" s="35"/>
      <c r="LC4" s="35"/>
      <c r="LD4" s="35"/>
      <c r="LE4" s="35"/>
      <c r="LF4" s="35"/>
      <c r="LG4" s="35"/>
      <c r="LH4" s="35"/>
      <c r="LI4" s="35"/>
      <c r="LJ4" s="35"/>
      <c r="LK4" s="35"/>
      <c r="LL4" s="35"/>
      <c r="LM4" s="35"/>
      <c r="LN4" s="35"/>
      <c r="LO4" s="35"/>
      <c r="LP4" s="35"/>
      <c r="LQ4" s="35"/>
      <c r="LR4" s="35"/>
      <c r="LS4" s="35"/>
      <c r="LT4" s="35"/>
      <c r="LU4" s="35"/>
      <c r="LV4" s="35"/>
      <c r="LW4" s="35"/>
      <c r="LX4" s="35"/>
      <c r="LY4" s="35"/>
      <c r="LZ4" s="35"/>
      <c r="MA4" s="35"/>
      <c r="MB4" s="35"/>
      <c r="MC4" s="35"/>
      <c r="MD4" s="35"/>
      <c r="ME4" s="35"/>
      <c r="MF4" s="35"/>
      <c r="MG4" s="35"/>
      <c r="MH4" s="35"/>
      <c r="MI4" s="35"/>
      <c r="MJ4" s="35"/>
      <c r="MK4" s="35"/>
      <c r="ML4" s="35"/>
      <c r="MM4" s="35"/>
      <c r="MN4" s="35"/>
      <c r="MO4" s="35"/>
      <c r="MP4" s="35"/>
      <c r="MQ4" s="35"/>
      <c r="MR4" s="35"/>
      <c r="MS4" s="35"/>
      <c r="MT4" s="35"/>
      <c r="MU4" s="35"/>
      <c r="MV4" s="35"/>
      <c r="MW4" s="35"/>
      <c r="MX4" s="35"/>
      <c r="MY4" s="35"/>
      <c r="MZ4" s="35"/>
      <c r="NA4" s="35"/>
      <c r="NB4" s="35"/>
      <c r="NC4" s="35"/>
      <c r="ND4" s="35"/>
      <c r="NE4" s="35"/>
      <c r="NF4" s="35"/>
      <c r="NG4" s="35"/>
      <c r="NH4" s="35"/>
      <c r="NI4" s="35"/>
      <c r="NJ4" s="35"/>
      <c r="NK4" s="35"/>
      <c r="NL4" s="35"/>
      <c r="NM4" s="35"/>
      <c r="NN4" s="35"/>
      <c r="NO4" s="35"/>
      <c r="NP4" s="35"/>
      <c r="NQ4" s="35"/>
      <c r="NR4" s="35"/>
      <c r="NS4" s="35"/>
      <c r="NT4" s="35"/>
      <c r="NU4" s="35"/>
      <c r="NV4" s="35"/>
      <c r="NW4" s="35"/>
      <c r="NX4" s="35"/>
      <c r="NY4" s="35"/>
      <c r="NZ4" s="35"/>
      <c r="OA4" s="35"/>
      <c r="OB4" s="35"/>
      <c r="OC4" s="35"/>
      <c r="OD4" s="35"/>
      <c r="OE4" s="35"/>
      <c r="OF4" s="35"/>
      <c r="OG4" s="35"/>
      <c r="OH4" s="35"/>
      <c r="OI4" s="35"/>
      <c r="OJ4" s="35"/>
      <c r="OK4" s="35"/>
      <c r="OL4" s="35"/>
      <c r="OM4" s="35"/>
      <c r="ON4" s="35"/>
      <c r="OO4" s="35"/>
      <c r="OP4" s="35"/>
      <c r="OQ4" s="35"/>
      <c r="OR4" s="35"/>
      <c r="OS4" s="35"/>
      <c r="OT4" s="35"/>
      <c r="OU4" s="35"/>
      <c r="OV4" s="35"/>
      <c r="OW4" s="35"/>
      <c r="OX4" s="35"/>
      <c r="OY4" s="35"/>
      <c r="OZ4" s="35"/>
      <c r="PA4" s="35"/>
      <c r="PB4" s="35"/>
      <c r="PC4" s="35"/>
      <c r="PD4" s="35"/>
      <c r="PE4" s="35"/>
      <c r="PF4" s="35"/>
      <c r="PG4" s="35"/>
      <c r="PH4" s="35"/>
      <c r="PI4" s="35"/>
      <c r="PJ4" s="35"/>
      <c r="PK4" s="35"/>
      <c r="PL4" s="35"/>
      <c r="PM4" s="35"/>
      <c r="PN4" s="35"/>
      <c r="PO4" s="35"/>
      <c r="PP4" s="35"/>
      <c r="PQ4" s="35"/>
      <c r="PR4" s="35"/>
      <c r="PS4" s="35"/>
      <c r="PT4" s="35"/>
      <c r="PU4" s="35"/>
      <c r="PV4" s="35"/>
      <c r="PW4" s="35"/>
      <c r="PX4" s="35"/>
      <c r="PY4" s="35"/>
      <c r="PZ4" s="35"/>
      <c r="QA4" s="35"/>
      <c r="QB4" s="35"/>
      <c r="QC4" s="35"/>
      <c r="QD4" s="35"/>
      <c r="QE4" s="35"/>
      <c r="QF4" s="35"/>
      <c r="QG4" s="35"/>
      <c r="QH4" s="35"/>
      <c r="QI4" s="35"/>
      <c r="QJ4" s="35"/>
      <c r="QK4" s="35"/>
      <c r="QL4" s="35"/>
      <c r="QM4" s="35"/>
      <c r="QN4" s="35"/>
      <c r="QO4" s="35"/>
      <c r="QP4" s="35"/>
      <c r="QQ4" s="35"/>
      <c r="QR4" s="35"/>
      <c r="QS4" s="35"/>
      <c r="QT4" s="35"/>
      <c r="QU4" s="35"/>
      <c r="QV4" s="35"/>
      <c r="QW4" s="35"/>
      <c r="QX4" s="35"/>
      <c r="QY4" s="35"/>
      <c r="QZ4" s="35"/>
      <c r="RA4" s="35"/>
      <c r="RB4" s="35"/>
      <c r="RC4" s="35"/>
      <c r="RD4" s="35"/>
      <c r="RE4" s="35"/>
      <c r="RF4" s="35"/>
      <c r="RG4" s="35"/>
      <c r="RH4" s="35"/>
      <c r="RI4" s="35"/>
      <c r="RJ4" s="35"/>
      <c r="RK4" s="35"/>
      <c r="RL4" s="35"/>
      <c r="RM4" s="35"/>
      <c r="RN4" s="35"/>
      <c r="RO4" s="35"/>
      <c r="RP4" s="35"/>
      <c r="RQ4" s="35"/>
      <c r="RR4" s="35"/>
      <c r="RS4" s="35"/>
      <c r="RT4" s="35"/>
      <c r="RU4" s="35"/>
      <c r="RV4" s="35"/>
      <c r="RW4" s="35"/>
      <c r="RX4" s="35"/>
      <c r="RY4" s="35"/>
      <c r="RZ4" s="35"/>
      <c r="SA4" s="35"/>
      <c r="SB4" s="35"/>
      <c r="SC4" s="35"/>
      <c r="SD4" s="35"/>
      <c r="SE4" s="35"/>
      <c r="SF4" s="35"/>
      <c r="SG4" s="35"/>
      <c r="SH4" s="35"/>
      <c r="SI4" s="35"/>
      <c r="SJ4" s="35"/>
      <c r="SK4" s="35"/>
      <c r="SL4" s="35"/>
      <c r="SM4" s="35"/>
      <c r="SN4" s="35"/>
      <c r="SO4" s="35"/>
      <c r="SP4" s="35"/>
      <c r="SQ4" s="35"/>
      <c r="SR4" s="35"/>
      <c r="SS4" s="35"/>
      <c r="ST4" s="35"/>
      <c r="SU4" s="35"/>
      <c r="SV4" s="35"/>
      <c r="SW4" s="35"/>
      <c r="SX4" s="35"/>
      <c r="SY4" s="35"/>
      <c r="SZ4" s="35"/>
      <c r="TA4" s="35"/>
      <c r="TB4" s="35"/>
      <c r="TC4" s="35"/>
      <c r="TD4" s="35"/>
      <c r="TE4" s="35"/>
      <c r="TF4" s="35"/>
      <c r="TG4" s="35"/>
      <c r="TH4" s="35"/>
      <c r="TI4" s="35"/>
      <c r="TJ4" s="35"/>
      <c r="TK4" s="35"/>
      <c r="TL4" s="35"/>
      <c r="TM4" s="35"/>
      <c r="TN4" s="35"/>
      <c r="TO4" s="35"/>
      <c r="TP4" s="35"/>
      <c r="TQ4" s="35"/>
      <c r="TR4" s="35"/>
      <c r="TS4" s="35"/>
      <c r="TT4" s="35"/>
      <c r="TU4" s="35"/>
      <c r="TV4" s="35"/>
      <c r="TW4" s="35"/>
      <c r="TX4" s="35"/>
      <c r="TY4" s="35"/>
      <c r="TZ4" s="35"/>
      <c r="UA4" s="35"/>
      <c r="UB4" s="35"/>
      <c r="UC4" s="35"/>
      <c r="UD4" s="35"/>
      <c r="UE4" s="35"/>
      <c r="UF4" s="35"/>
      <c r="UG4" s="35"/>
      <c r="UH4" s="35"/>
      <c r="UI4" s="35"/>
      <c r="UJ4" s="35"/>
      <c r="UK4" s="35"/>
      <c r="UL4" s="35"/>
      <c r="UM4" s="35"/>
      <c r="UN4" s="35"/>
      <c r="UO4" s="35"/>
      <c r="UP4" s="35"/>
      <c r="UQ4" s="35"/>
      <c r="UR4" s="35"/>
      <c r="US4" s="35"/>
      <c r="UT4" s="35"/>
      <c r="UU4" s="35"/>
      <c r="UV4" s="35"/>
      <c r="UW4" s="35"/>
      <c r="UX4" s="35"/>
      <c r="UY4" s="35"/>
      <c r="UZ4" s="35"/>
      <c r="VA4" s="35"/>
      <c r="VB4" s="35"/>
      <c r="VC4" s="35"/>
      <c r="VD4" s="35"/>
      <c r="VE4" s="35"/>
      <c r="VF4" s="35"/>
      <c r="VG4" s="35"/>
      <c r="VH4" s="35"/>
      <c r="VI4" s="35"/>
      <c r="VJ4" s="35"/>
      <c r="VK4" s="35"/>
      <c r="VL4" s="35"/>
      <c r="VM4" s="35"/>
      <c r="VN4" s="35"/>
      <c r="VO4" s="35"/>
      <c r="VP4" s="35"/>
      <c r="VQ4" s="35"/>
      <c r="VR4" s="35"/>
      <c r="VS4" s="35"/>
      <c r="VT4" s="35"/>
      <c r="VU4" s="35"/>
      <c r="VV4" s="35"/>
      <c r="VW4" s="35"/>
      <c r="VX4" s="35"/>
      <c r="VY4" s="35"/>
      <c r="VZ4" s="35"/>
      <c r="WA4" s="35"/>
      <c r="WB4" s="35"/>
      <c r="WC4" s="35"/>
      <c r="WD4" s="35"/>
      <c r="WE4" s="35"/>
      <c r="WF4" s="35"/>
      <c r="WG4" s="35"/>
      <c r="WH4" s="35"/>
      <c r="WI4" s="35"/>
      <c r="WJ4" s="35"/>
      <c r="WK4" s="35"/>
      <c r="WL4" s="35"/>
      <c r="WM4" s="35"/>
      <c r="WN4" s="35"/>
      <c r="WO4" s="35"/>
      <c r="WP4" s="35"/>
      <c r="WQ4" s="35"/>
      <c r="WR4" s="35"/>
      <c r="WS4" s="35"/>
      <c r="WT4" s="35"/>
      <c r="WU4" s="35"/>
      <c r="WV4" s="35"/>
      <c r="WW4" s="35"/>
      <c r="WX4" s="35"/>
      <c r="WY4" s="35"/>
      <c r="WZ4" s="35"/>
      <c r="XA4" s="35"/>
      <c r="XB4" s="35"/>
      <c r="XC4" s="35"/>
      <c r="XD4" s="35"/>
      <c r="XE4" s="35"/>
      <c r="XF4" s="35"/>
      <c r="XG4" s="35"/>
      <c r="XH4" s="35"/>
      <c r="XI4" s="35"/>
      <c r="XJ4" s="35"/>
      <c r="XK4" s="35"/>
      <c r="XL4" s="35"/>
      <c r="XM4" s="35"/>
      <c r="XN4" s="35"/>
      <c r="XO4" s="35"/>
      <c r="XP4" s="35"/>
      <c r="XQ4" s="35"/>
      <c r="XR4" s="35"/>
      <c r="XS4" s="35"/>
      <c r="XT4" s="35"/>
      <c r="XU4" s="35"/>
      <c r="XV4" s="35"/>
      <c r="XW4" s="35"/>
      <c r="XX4" s="35"/>
      <c r="XY4" s="35"/>
      <c r="XZ4" s="35"/>
      <c r="YA4" s="35"/>
      <c r="YB4" s="35"/>
      <c r="YC4" s="35"/>
      <c r="YD4" s="35"/>
      <c r="YE4" s="35"/>
      <c r="YF4" s="35"/>
      <c r="YG4" s="35"/>
      <c r="YH4" s="35"/>
      <c r="YI4" s="35"/>
      <c r="YJ4" s="35"/>
      <c r="YK4" s="35"/>
      <c r="YL4" s="35"/>
      <c r="YM4" s="35"/>
      <c r="YN4" s="35"/>
      <c r="YO4" s="35"/>
      <c r="YP4" s="35"/>
      <c r="YQ4" s="35"/>
      <c r="YR4" s="35"/>
      <c r="YS4" s="35"/>
      <c r="YT4" s="35"/>
      <c r="YU4" s="35"/>
      <c r="YV4" s="35"/>
      <c r="YW4" s="35"/>
      <c r="YX4" s="35"/>
      <c r="YY4" s="35"/>
      <c r="YZ4" s="35"/>
      <c r="ZA4" s="35"/>
      <c r="ZB4" s="35"/>
      <c r="ZC4" s="35"/>
      <c r="ZD4" s="35"/>
      <c r="ZE4" s="35"/>
      <c r="ZF4" s="35"/>
      <c r="ZG4" s="35"/>
      <c r="ZH4" s="35"/>
      <c r="ZI4" s="35"/>
      <c r="ZJ4" s="35"/>
      <c r="ZK4" s="35"/>
      <c r="ZL4" s="35"/>
      <c r="ZM4" s="35"/>
      <c r="ZN4" s="35"/>
      <c r="ZO4" s="35"/>
      <c r="ZP4" s="35"/>
      <c r="ZQ4" s="35"/>
      <c r="ZR4" s="35"/>
      <c r="ZS4" s="35"/>
      <c r="ZT4" s="35"/>
      <c r="ZU4" s="35"/>
      <c r="ZV4" s="35"/>
      <c r="ZW4" s="35"/>
      <c r="ZX4" s="35"/>
      <c r="ZY4" s="35"/>
      <c r="ZZ4" s="35"/>
      <c r="AAA4" s="35"/>
      <c r="AAB4" s="35"/>
      <c r="AAC4" s="35"/>
      <c r="AAD4" s="35"/>
      <c r="AAE4" s="35"/>
      <c r="AAF4" s="35"/>
      <c r="AAG4" s="35"/>
      <c r="AAH4" s="35"/>
      <c r="AAI4" s="35"/>
      <c r="AAJ4" s="35"/>
      <c r="AAK4" s="35"/>
      <c r="AAL4" s="35"/>
      <c r="AAM4" s="35"/>
      <c r="AAN4" s="35"/>
      <c r="AAO4" s="35"/>
      <c r="AAP4" s="35"/>
      <c r="AAQ4" s="35"/>
      <c r="AAR4" s="35"/>
      <c r="AAS4" s="35"/>
      <c r="AAT4" s="35"/>
      <c r="AAU4" s="35"/>
      <c r="AAV4" s="35"/>
      <c r="AAW4" s="35"/>
      <c r="AAX4" s="35"/>
      <c r="AAY4" s="35"/>
      <c r="AAZ4" s="35"/>
      <c r="ABA4" s="35"/>
      <c r="ABB4" s="35"/>
      <c r="ABC4" s="35"/>
      <c r="ABD4" s="35"/>
      <c r="ABE4" s="35"/>
      <c r="ABF4" s="35"/>
      <c r="ABG4" s="35"/>
      <c r="ABH4" s="35"/>
      <c r="ABI4" s="35"/>
      <c r="ABJ4" s="35"/>
      <c r="ABK4" s="35"/>
      <c r="ABL4" s="35"/>
      <c r="ABM4" s="35"/>
      <c r="ABN4" s="35"/>
      <c r="ABO4" s="35"/>
      <c r="ABP4" s="35"/>
      <c r="ABQ4" s="35"/>
      <c r="ABR4" s="35"/>
      <c r="ABS4" s="35"/>
      <c r="ABT4" s="35"/>
      <c r="ABU4" s="35"/>
      <c r="ABV4" s="35"/>
      <c r="ABW4" s="35"/>
      <c r="ABX4" s="35"/>
      <c r="ABY4" s="35"/>
      <c r="ABZ4" s="35"/>
      <c r="ACA4" s="35"/>
      <c r="ACB4" s="35"/>
      <c r="ACC4" s="35"/>
      <c r="ACD4" s="35"/>
      <c r="ACE4" s="35"/>
      <c r="ACF4" s="35"/>
      <c r="ACG4" s="35"/>
      <c r="ACH4" s="35"/>
      <c r="ACI4" s="35"/>
      <c r="ACJ4" s="35"/>
      <c r="ACK4" s="35"/>
      <c r="ACL4" s="35"/>
      <c r="ACM4" s="35"/>
      <c r="ACN4" s="35"/>
      <c r="ACO4" s="35"/>
      <c r="ACP4" s="35"/>
      <c r="ACQ4" s="35"/>
      <c r="ACR4" s="35"/>
      <c r="ACS4" s="35"/>
      <c r="ACT4" s="35"/>
      <c r="ACU4" s="35"/>
      <c r="ACV4" s="35"/>
      <c r="ACW4" s="35"/>
      <c r="ACX4" s="35"/>
      <c r="ACY4" s="35"/>
      <c r="ACZ4" s="35"/>
      <c r="ADA4" s="35"/>
      <c r="ADB4" s="35"/>
      <c r="ADC4" s="35"/>
      <c r="ADD4" s="35"/>
      <c r="ADE4" s="35"/>
      <c r="ADF4" s="35"/>
      <c r="ADG4" s="35"/>
      <c r="ADH4" s="35"/>
      <c r="ADI4" s="35"/>
      <c r="ADJ4" s="35"/>
      <c r="ADK4" s="35"/>
      <c r="ADL4" s="35"/>
      <c r="ADM4" s="35"/>
      <c r="ADN4" s="35"/>
      <c r="ADO4" s="35"/>
      <c r="ADP4" s="35"/>
      <c r="ADQ4" s="35"/>
      <c r="ADR4" s="35"/>
      <c r="ADS4" s="35"/>
      <c r="ADT4" s="35"/>
      <c r="ADU4" s="35"/>
      <c r="ADV4" s="35"/>
      <c r="ADW4" s="35"/>
      <c r="ADX4" s="35"/>
      <c r="ADY4" s="35"/>
      <c r="ADZ4" s="35"/>
      <c r="AEA4" s="35"/>
      <c r="AEB4" s="35"/>
      <c r="AEC4" s="35"/>
      <c r="AED4" s="35"/>
      <c r="AEE4" s="35"/>
      <c r="AEF4" s="35"/>
      <c r="AEG4" s="35"/>
      <c r="AEH4" s="35"/>
      <c r="AEI4" s="35"/>
      <c r="AEJ4" s="35"/>
      <c r="AEK4" s="35"/>
      <c r="AEL4" s="35"/>
      <c r="AEM4" s="35"/>
      <c r="AEN4" s="35"/>
      <c r="AEO4" s="35"/>
      <c r="AEP4" s="35"/>
      <c r="AEQ4" s="35"/>
      <c r="AER4" s="35"/>
      <c r="AES4" s="35"/>
      <c r="AET4" s="35"/>
      <c r="AEU4" s="35"/>
      <c r="AEV4" s="35"/>
      <c r="AEW4" s="35"/>
      <c r="AEX4" s="35"/>
      <c r="AEY4" s="35"/>
      <c r="AEZ4" s="35"/>
      <c r="AFA4" s="35"/>
      <c r="AFB4" s="35"/>
      <c r="AFC4" s="35"/>
      <c r="AFD4" s="35"/>
      <c r="AFE4" s="35"/>
      <c r="AFF4" s="35"/>
      <c r="AFG4" s="35"/>
      <c r="AFH4" s="35"/>
      <c r="AFI4" s="35"/>
      <c r="AFJ4" s="35"/>
      <c r="AFK4" s="35"/>
      <c r="AFL4" s="35"/>
      <c r="AFM4" s="35"/>
      <c r="AFN4" s="35"/>
      <c r="AFO4" s="35"/>
      <c r="AFP4" s="35"/>
      <c r="AFQ4" s="35"/>
      <c r="AFR4" s="35"/>
      <c r="AFS4" s="35"/>
      <c r="AFT4" s="35"/>
      <c r="AFU4" s="35"/>
      <c r="AFV4" s="35"/>
      <c r="AFW4" s="35"/>
      <c r="AFX4" s="35"/>
      <c r="AFY4" s="35"/>
      <c r="AFZ4" s="35"/>
      <c r="AGA4" s="35"/>
      <c r="AGB4" s="35"/>
      <c r="AGC4" s="35"/>
      <c r="AGD4" s="35"/>
      <c r="AGE4" s="35"/>
      <c r="AGF4" s="35"/>
      <c r="AGG4" s="35"/>
      <c r="AGH4" s="35"/>
      <c r="AGI4" s="35"/>
      <c r="AGJ4" s="35"/>
      <c r="AGK4" s="35"/>
      <c r="AGL4" s="35"/>
      <c r="AGM4" s="35"/>
      <c r="AGN4" s="35"/>
      <c r="AGO4" s="35"/>
      <c r="AGP4" s="35"/>
      <c r="AGQ4" s="35"/>
      <c r="AGR4" s="35"/>
      <c r="AGS4" s="35"/>
      <c r="AGT4" s="35"/>
      <c r="AGU4" s="35"/>
      <c r="AGV4" s="35"/>
      <c r="AGW4" s="35"/>
      <c r="AGX4" s="35"/>
      <c r="AGY4" s="35"/>
      <c r="AGZ4" s="35"/>
      <c r="AHA4" s="35"/>
      <c r="AHB4" s="35"/>
      <c r="AHC4" s="35"/>
      <c r="AHD4" s="35"/>
      <c r="AHE4" s="35"/>
      <c r="AHF4" s="35"/>
      <c r="AHG4" s="35"/>
      <c r="AHH4" s="35"/>
      <c r="AHI4" s="35"/>
      <c r="AHJ4" s="35"/>
      <c r="AHK4" s="35"/>
      <c r="AHL4" s="35"/>
      <c r="AHM4" s="35"/>
      <c r="AHN4" s="35"/>
      <c r="AHO4" s="35"/>
      <c r="AHP4" s="35"/>
      <c r="AHQ4" s="35"/>
      <c r="AHR4" s="35"/>
      <c r="AHS4" s="35"/>
      <c r="AHT4" s="35"/>
      <c r="AHU4" s="35"/>
      <c r="AHV4" s="35"/>
      <c r="AHW4" s="35"/>
      <c r="AHX4" s="35"/>
      <c r="AHY4" s="35"/>
      <c r="AHZ4" s="35"/>
      <c r="AIA4" s="35"/>
      <c r="AIB4" s="35"/>
      <c r="AIC4" s="35"/>
      <c r="AID4" s="35"/>
      <c r="AIE4" s="35"/>
      <c r="AIF4" s="35"/>
      <c r="AIG4" s="35"/>
      <c r="AIH4" s="35"/>
      <c r="AII4" s="35"/>
      <c r="AIJ4" s="35"/>
      <c r="AIK4" s="35"/>
      <c r="AIL4" s="35"/>
      <c r="AIM4" s="35"/>
      <c r="AIN4" s="35"/>
      <c r="AIO4" s="35"/>
      <c r="AIP4" s="35"/>
      <c r="AIQ4" s="35"/>
      <c r="AIR4" s="35"/>
      <c r="AIS4" s="35"/>
      <c r="AIT4" s="35"/>
      <c r="AIU4" s="35"/>
      <c r="AIV4" s="35"/>
      <c r="AIW4" s="35"/>
      <c r="AIX4" s="35"/>
      <c r="AIY4" s="35"/>
      <c r="AIZ4" s="35"/>
      <c r="AJA4" s="35"/>
      <c r="AJB4" s="35"/>
      <c r="AJC4" s="35"/>
      <c r="AJD4" s="35"/>
      <c r="AJE4" s="35"/>
      <c r="AJF4" s="35"/>
      <c r="AJG4" s="35"/>
      <c r="AJH4" s="35"/>
      <c r="AJI4" s="35"/>
      <c r="AJJ4" s="35"/>
      <c r="AJK4" s="35"/>
      <c r="AJL4" s="35"/>
      <c r="AJM4" s="35"/>
      <c r="AJN4" s="35"/>
      <c r="AJO4" s="35"/>
      <c r="AJP4" s="35"/>
      <c r="AJQ4" s="35"/>
      <c r="AJR4" s="35"/>
      <c r="AJS4" s="35"/>
      <c r="AJT4" s="35"/>
      <c r="AJU4" s="35"/>
      <c r="AJV4" s="35"/>
      <c r="AJW4" s="35"/>
      <c r="AJX4" s="35"/>
      <c r="AJY4" s="35"/>
      <c r="AJZ4" s="35"/>
      <c r="AKA4" s="35"/>
      <c r="AKB4" s="35"/>
      <c r="AKC4" s="35"/>
      <c r="AKD4" s="35"/>
      <c r="AKE4" s="35"/>
      <c r="AKF4" s="35"/>
      <c r="AKG4" s="35"/>
      <c r="AKH4" s="35"/>
      <c r="AKI4" s="35"/>
      <c r="AKJ4" s="35"/>
      <c r="AKK4" s="35"/>
      <c r="AKL4" s="35"/>
      <c r="AKM4" s="35"/>
      <c r="AKN4" s="35"/>
      <c r="AKO4" s="35"/>
      <c r="AKP4" s="35"/>
      <c r="AKQ4" s="35"/>
      <c r="AKR4" s="35"/>
      <c r="AKS4" s="35"/>
      <c r="AKT4" s="35"/>
      <c r="AKU4" s="35"/>
      <c r="AKV4" s="35"/>
      <c r="AKW4" s="35"/>
      <c r="AKX4" s="35"/>
      <c r="AKY4" s="35"/>
      <c r="AKZ4" s="35"/>
      <c r="ALA4" s="35"/>
      <c r="ALB4" s="35"/>
      <c r="ALC4" s="35"/>
      <c r="ALD4" s="35"/>
      <c r="ALE4" s="35"/>
      <c r="ALF4" s="35"/>
      <c r="ALG4" s="35"/>
      <c r="ALH4" s="35"/>
      <c r="ALI4" s="35"/>
      <c r="ALJ4" s="35"/>
      <c r="ALK4" s="35"/>
      <c r="ALL4" s="35"/>
      <c r="ALM4" s="35"/>
      <c r="ALN4" s="35"/>
      <c r="ALO4" s="35"/>
      <c r="ALP4" s="35"/>
      <c r="ALQ4" s="35"/>
      <c r="ALR4" s="35"/>
      <c r="ALS4" s="35"/>
      <c r="ALT4" s="35"/>
      <c r="ALU4" s="35"/>
      <c r="ALV4" s="35"/>
      <c r="ALW4" s="35"/>
      <c r="ALX4" s="35"/>
      <c r="ALY4" s="35"/>
      <c r="ALZ4" s="35"/>
      <c r="AMA4" s="35"/>
      <c r="AMB4" s="35"/>
      <c r="AMC4" s="35"/>
      <c r="AMD4" s="35"/>
      <c r="AME4" s="35"/>
      <c r="AMF4" s="35"/>
      <c r="AMG4" s="35"/>
      <c r="AMH4" s="35"/>
      <c r="AMI4" s="35"/>
      <c r="AMJ4" s="35"/>
      <c r="AMK4" s="35"/>
      <c r="AML4" s="35"/>
      <c r="AMM4" s="35"/>
      <c r="AMN4" s="35"/>
      <c r="AMO4" s="35"/>
      <c r="AMP4" s="35"/>
      <c r="AMQ4" s="35"/>
      <c r="AMR4" s="35"/>
      <c r="AMS4" s="35"/>
      <c r="AMT4" s="35"/>
      <c r="AMU4" s="35"/>
      <c r="AMV4" s="35"/>
      <c r="AMW4" s="35"/>
      <c r="AMX4" s="35"/>
      <c r="AMY4" s="35"/>
      <c r="AMZ4" s="35"/>
      <c r="ANA4" s="35"/>
    </row>
    <row r="5" customFormat="false" ht="12.8" hidden="true" customHeight="true" outlineLevel="1" collapsed="false">
      <c r="A5" s="40"/>
      <c r="B5" s="40"/>
      <c r="C5" s="40"/>
      <c r="D5" s="40"/>
      <c r="E5" s="40"/>
      <c r="F5" s="40"/>
      <c r="G5" s="40"/>
      <c r="H5" s="40"/>
      <c r="I5" s="40"/>
      <c r="J5" s="40"/>
      <c r="K5" s="40"/>
      <c r="L5" s="40"/>
      <c r="M5" s="40"/>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0"/>
      <c r="BK5" s="40"/>
      <c r="BL5" s="40"/>
      <c r="BM5" s="40"/>
      <c r="BN5" s="40"/>
      <c r="BO5" s="40"/>
      <c r="BP5" s="40"/>
      <c r="BQ5" s="40"/>
      <c r="BR5" s="40"/>
      <c r="BS5" s="40"/>
      <c r="BT5" s="40"/>
      <c r="BU5" s="40"/>
      <c r="BV5" s="40"/>
      <c r="BW5" s="40" t="s">
        <v>364</v>
      </c>
      <c r="BX5" s="35"/>
      <c r="BY5" s="35"/>
      <c r="BZ5" s="35"/>
      <c r="CA5" s="35"/>
      <c r="CB5" s="35"/>
      <c r="CC5" s="35"/>
      <c r="CD5" s="35"/>
      <c r="CE5" s="35"/>
      <c r="CF5" s="35"/>
      <c r="CG5" s="35"/>
      <c r="CH5" s="35"/>
      <c r="CI5" s="35"/>
      <c r="CJ5" s="35"/>
      <c r="CK5" s="35"/>
      <c r="CL5" s="35"/>
      <c r="CM5" s="35"/>
      <c r="CN5" s="35"/>
      <c r="CO5" s="35"/>
      <c r="CP5" s="35"/>
      <c r="CQ5" s="35"/>
      <c r="CR5" s="35"/>
      <c r="CS5" s="35"/>
      <c r="CT5" s="35"/>
      <c r="CU5" s="35"/>
      <c r="CV5" s="35"/>
      <c r="CW5" s="35"/>
      <c r="CX5" s="35"/>
      <c r="CY5" s="35"/>
      <c r="CZ5" s="35"/>
      <c r="DA5" s="35"/>
      <c r="DB5" s="35"/>
      <c r="DC5" s="35"/>
      <c r="DD5" s="35"/>
      <c r="DE5" s="35"/>
      <c r="DF5" s="35"/>
      <c r="DG5" s="35"/>
      <c r="DH5" s="35"/>
      <c r="DI5" s="35"/>
      <c r="DJ5" s="35"/>
      <c r="DK5" s="35"/>
      <c r="DL5" s="35"/>
      <c r="DM5" s="35"/>
      <c r="DN5" s="35"/>
      <c r="DO5" s="35"/>
      <c r="DP5" s="35"/>
      <c r="DQ5" s="35"/>
      <c r="DR5" s="35"/>
      <c r="DS5" s="35"/>
      <c r="DT5" s="35"/>
      <c r="DU5" s="35"/>
      <c r="DV5" s="35"/>
      <c r="DW5" s="35"/>
      <c r="DX5" s="35"/>
      <c r="DY5" s="35"/>
      <c r="DZ5" s="35"/>
      <c r="EA5" s="35"/>
      <c r="EB5" s="35"/>
      <c r="EC5" s="35"/>
      <c r="ED5" s="35"/>
      <c r="EE5" s="35"/>
      <c r="EF5" s="35"/>
      <c r="EG5" s="35"/>
      <c r="EH5" s="35"/>
      <c r="EI5" s="35"/>
      <c r="EJ5" s="35"/>
      <c r="EK5" s="35"/>
      <c r="EL5" s="35"/>
      <c r="EM5" s="35"/>
      <c r="EN5" s="35"/>
      <c r="EO5" s="35"/>
      <c r="EP5" s="35"/>
      <c r="EQ5" s="35"/>
      <c r="ER5" s="35"/>
      <c r="ES5" s="35"/>
      <c r="ET5" s="35"/>
      <c r="EU5" s="35"/>
      <c r="EV5" s="35"/>
      <c r="EW5" s="35"/>
      <c r="EX5" s="35"/>
      <c r="EY5" s="35"/>
      <c r="EZ5" s="35"/>
      <c r="FA5" s="35"/>
      <c r="FB5" s="35"/>
      <c r="FC5" s="35"/>
      <c r="FD5" s="35"/>
      <c r="FE5" s="35"/>
      <c r="FF5" s="35"/>
      <c r="FG5" s="35"/>
      <c r="FH5" s="35"/>
      <c r="FI5" s="35"/>
      <c r="FJ5" s="35"/>
      <c r="FK5" s="35"/>
      <c r="FL5" s="35"/>
      <c r="FM5" s="35"/>
      <c r="FN5" s="35"/>
      <c r="FO5" s="35"/>
      <c r="FP5" s="35"/>
      <c r="FQ5" s="35"/>
      <c r="FR5" s="35"/>
      <c r="FS5" s="35"/>
      <c r="FT5" s="35"/>
      <c r="FU5" s="35"/>
      <c r="FV5" s="35"/>
      <c r="FW5" s="35"/>
      <c r="FX5" s="35"/>
      <c r="FY5" s="35"/>
      <c r="FZ5" s="35"/>
      <c r="GA5" s="35"/>
      <c r="GB5" s="35"/>
      <c r="GC5" s="35"/>
      <c r="GD5" s="35"/>
      <c r="GE5" s="35"/>
      <c r="GF5" s="35"/>
      <c r="GG5" s="35"/>
      <c r="GH5" s="35"/>
      <c r="GI5" s="35"/>
      <c r="GJ5" s="35"/>
      <c r="GK5" s="35"/>
      <c r="GL5" s="35"/>
      <c r="GM5" s="35"/>
      <c r="GN5" s="35"/>
      <c r="GO5" s="35"/>
      <c r="GP5" s="35"/>
      <c r="GQ5" s="35"/>
      <c r="GR5" s="35"/>
      <c r="GS5" s="35"/>
      <c r="GT5" s="35"/>
      <c r="GU5" s="35"/>
      <c r="GV5" s="35"/>
      <c r="GW5" s="35"/>
      <c r="GX5" s="35"/>
      <c r="GY5" s="35"/>
      <c r="GZ5" s="35"/>
      <c r="HA5" s="35"/>
      <c r="HB5" s="35"/>
      <c r="HC5" s="35"/>
      <c r="HD5" s="35"/>
      <c r="HE5" s="35"/>
      <c r="HF5" s="35"/>
      <c r="HG5" s="35"/>
      <c r="HH5" s="35"/>
      <c r="HI5" s="35"/>
      <c r="HJ5" s="35"/>
      <c r="HK5" s="35"/>
      <c r="HL5" s="35"/>
      <c r="HM5" s="35"/>
      <c r="HN5" s="35"/>
      <c r="HO5" s="35"/>
      <c r="HP5" s="35"/>
      <c r="HQ5" s="35"/>
      <c r="HR5" s="35"/>
      <c r="HS5" s="35"/>
      <c r="HT5" s="35"/>
      <c r="HU5" s="35"/>
      <c r="HV5" s="35"/>
      <c r="HW5" s="35"/>
      <c r="HX5" s="35"/>
      <c r="HY5" s="35"/>
      <c r="HZ5" s="35"/>
      <c r="IA5" s="35"/>
      <c r="IB5" s="35"/>
      <c r="IC5" s="35"/>
      <c r="ID5" s="35"/>
      <c r="IE5" s="35"/>
      <c r="IF5" s="35"/>
      <c r="IG5" s="35"/>
      <c r="IH5" s="35"/>
      <c r="II5" s="35"/>
      <c r="IJ5" s="35"/>
      <c r="IK5" s="35"/>
      <c r="IL5" s="35"/>
      <c r="IM5" s="35"/>
      <c r="IN5" s="35"/>
      <c r="IO5" s="35"/>
      <c r="IP5" s="35"/>
      <c r="IQ5" s="35"/>
      <c r="IR5" s="35"/>
      <c r="IS5" s="35"/>
      <c r="IT5" s="35"/>
      <c r="IU5" s="35"/>
      <c r="IV5" s="35"/>
      <c r="IW5" s="35"/>
      <c r="IX5" s="35"/>
      <c r="IY5" s="35"/>
      <c r="IZ5" s="35"/>
      <c r="JA5" s="35"/>
      <c r="JB5" s="35"/>
      <c r="JC5" s="35"/>
      <c r="JD5" s="35"/>
      <c r="JE5" s="35"/>
      <c r="JF5" s="35"/>
      <c r="JG5" s="35"/>
      <c r="JH5" s="35"/>
      <c r="JI5" s="35"/>
      <c r="JJ5" s="35"/>
      <c r="JK5" s="35"/>
      <c r="JL5" s="35"/>
      <c r="JM5" s="35"/>
      <c r="JN5" s="35"/>
      <c r="JO5" s="35"/>
      <c r="JP5" s="35"/>
      <c r="JQ5" s="35"/>
      <c r="JR5" s="35"/>
      <c r="JS5" s="35"/>
      <c r="JT5" s="35"/>
      <c r="JU5" s="35"/>
      <c r="JV5" s="35"/>
      <c r="JW5" s="35"/>
      <c r="JX5" s="35"/>
      <c r="JY5" s="35"/>
      <c r="JZ5" s="35"/>
      <c r="KA5" s="35"/>
      <c r="KB5" s="35"/>
      <c r="KC5" s="35"/>
      <c r="KD5" s="35"/>
      <c r="KE5" s="35"/>
      <c r="KF5" s="35"/>
      <c r="KG5" s="35"/>
      <c r="KH5" s="35"/>
      <c r="KI5" s="35"/>
      <c r="KJ5" s="35"/>
      <c r="KK5" s="35"/>
      <c r="KL5" s="35"/>
      <c r="KM5" s="35"/>
      <c r="KN5" s="35"/>
      <c r="KO5" s="35"/>
      <c r="KP5" s="35"/>
      <c r="KQ5" s="35"/>
      <c r="KR5" s="35"/>
      <c r="KS5" s="35"/>
      <c r="KT5" s="35"/>
      <c r="KU5" s="35"/>
      <c r="KV5" s="35"/>
      <c r="KW5" s="35"/>
      <c r="KX5" s="35"/>
      <c r="KY5" s="35"/>
      <c r="KZ5" s="35"/>
      <c r="LA5" s="35"/>
      <c r="LB5" s="35"/>
      <c r="LC5" s="35"/>
      <c r="LD5" s="35"/>
      <c r="LE5" s="35"/>
      <c r="LF5" s="35"/>
      <c r="LG5" s="35"/>
      <c r="LH5" s="35"/>
      <c r="LI5" s="35"/>
      <c r="LJ5" s="35"/>
      <c r="LK5" s="35"/>
      <c r="LL5" s="35"/>
      <c r="LM5" s="35"/>
      <c r="LN5" s="35"/>
      <c r="LO5" s="35"/>
      <c r="LP5" s="35"/>
      <c r="LQ5" s="35"/>
      <c r="LR5" s="35"/>
      <c r="LS5" s="35"/>
      <c r="LT5" s="35"/>
      <c r="LU5" s="35"/>
      <c r="LV5" s="35"/>
      <c r="LW5" s="35"/>
      <c r="LX5" s="35"/>
      <c r="LY5" s="35"/>
      <c r="LZ5" s="35"/>
      <c r="MA5" s="35"/>
      <c r="MB5" s="35"/>
      <c r="MC5" s="35"/>
      <c r="MD5" s="35"/>
      <c r="ME5" s="35"/>
      <c r="MF5" s="35"/>
      <c r="MG5" s="35"/>
      <c r="MH5" s="35"/>
      <c r="MI5" s="35"/>
      <c r="MJ5" s="35"/>
      <c r="MK5" s="35"/>
      <c r="ML5" s="35"/>
      <c r="MM5" s="35"/>
      <c r="MN5" s="35"/>
      <c r="MO5" s="35"/>
      <c r="MP5" s="35"/>
      <c r="MQ5" s="35"/>
      <c r="MR5" s="35"/>
      <c r="MS5" s="35"/>
      <c r="MT5" s="35"/>
      <c r="MU5" s="35"/>
      <c r="MV5" s="35"/>
      <c r="MW5" s="35"/>
      <c r="MX5" s="35"/>
      <c r="MY5" s="35"/>
      <c r="MZ5" s="35"/>
      <c r="NA5" s="35"/>
      <c r="NB5" s="35"/>
      <c r="NC5" s="35"/>
      <c r="ND5" s="35"/>
      <c r="NE5" s="35"/>
      <c r="NF5" s="35"/>
      <c r="NG5" s="35"/>
      <c r="NH5" s="35"/>
      <c r="NI5" s="35"/>
      <c r="NJ5" s="35"/>
      <c r="NK5" s="35"/>
      <c r="NL5" s="35"/>
      <c r="NM5" s="35"/>
      <c r="NN5" s="35"/>
      <c r="NO5" s="35"/>
      <c r="NP5" s="35"/>
      <c r="NQ5" s="35"/>
      <c r="NR5" s="35"/>
      <c r="NS5" s="35"/>
      <c r="NT5" s="35"/>
      <c r="NU5" s="35"/>
      <c r="NV5" s="35"/>
      <c r="NW5" s="35"/>
      <c r="NX5" s="35"/>
      <c r="NY5" s="35"/>
      <c r="NZ5" s="35"/>
      <c r="OA5" s="35"/>
      <c r="OB5" s="35"/>
      <c r="OC5" s="35"/>
      <c r="OD5" s="35"/>
      <c r="OE5" s="35"/>
      <c r="OF5" s="35"/>
      <c r="OG5" s="35"/>
      <c r="OH5" s="35"/>
      <c r="OI5" s="35"/>
      <c r="OJ5" s="35"/>
      <c r="OK5" s="35"/>
      <c r="OL5" s="35"/>
      <c r="OM5" s="35"/>
      <c r="ON5" s="35"/>
      <c r="OO5" s="35"/>
      <c r="OP5" s="35"/>
      <c r="OQ5" s="35"/>
      <c r="OR5" s="35"/>
      <c r="OS5" s="35"/>
      <c r="OT5" s="35"/>
      <c r="OU5" s="35"/>
      <c r="OV5" s="35"/>
      <c r="OW5" s="35"/>
      <c r="OX5" s="35"/>
      <c r="OY5" s="35"/>
      <c r="OZ5" s="35"/>
      <c r="PA5" s="35"/>
      <c r="PB5" s="35"/>
      <c r="PC5" s="35"/>
      <c r="PD5" s="35"/>
      <c r="PE5" s="35"/>
      <c r="PF5" s="35"/>
      <c r="PG5" s="35"/>
      <c r="PH5" s="35"/>
      <c r="PI5" s="35"/>
      <c r="PJ5" s="35"/>
      <c r="PK5" s="35"/>
      <c r="PL5" s="35"/>
      <c r="PM5" s="35"/>
      <c r="PN5" s="35"/>
      <c r="PO5" s="35"/>
      <c r="PP5" s="35"/>
      <c r="PQ5" s="35"/>
      <c r="PR5" s="35"/>
      <c r="PS5" s="35"/>
      <c r="PT5" s="35"/>
      <c r="PU5" s="35"/>
      <c r="PV5" s="35"/>
      <c r="PW5" s="35"/>
      <c r="PX5" s="35"/>
      <c r="PY5" s="35"/>
      <c r="PZ5" s="35"/>
      <c r="QA5" s="35"/>
      <c r="QB5" s="35"/>
      <c r="QC5" s="35"/>
      <c r="QD5" s="35"/>
      <c r="QE5" s="35"/>
      <c r="QF5" s="35"/>
      <c r="QG5" s="35"/>
      <c r="QH5" s="35"/>
      <c r="QI5" s="35"/>
      <c r="QJ5" s="35"/>
      <c r="QK5" s="35"/>
      <c r="QL5" s="35"/>
      <c r="QM5" s="35"/>
      <c r="QN5" s="35"/>
      <c r="QO5" s="35"/>
      <c r="QP5" s="35"/>
      <c r="QQ5" s="35"/>
      <c r="QR5" s="35"/>
      <c r="QS5" s="35"/>
      <c r="QT5" s="35"/>
      <c r="QU5" s="35"/>
      <c r="QV5" s="35"/>
      <c r="QW5" s="35"/>
      <c r="QX5" s="35"/>
      <c r="QY5" s="35"/>
      <c r="QZ5" s="35"/>
      <c r="RA5" s="35"/>
      <c r="RB5" s="35"/>
      <c r="RC5" s="35"/>
      <c r="RD5" s="35"/>
      <c r="RE5" s="35"/>
      <c r="RF5" s="35"/>
      <c r="RG5" s="35"/>
      <c r="RH5" s="35"/>
      <c r="RI5" s="35"/>
      <c r="RJ5" s="35"/>
      <c r="RK5" s="35"/>
      <c r="RL5" s="35"/>
      <c r="RM5" s="35"/>
      <c r="RN5" s="35"/>
      <c r="RO5" s="35"/>
      <c r="RP5" s="35"/>
      <c r="RQ5" s="35"/>
      <c r="RR5" s="35"/>
      <c r="RS5" s="35"/>
      <c r="RT5" s="35"/>
      <c r="RU5" s="35"/>
      <c r="RV5" s="35"/>
      <c r="RW5" s="35"/>
      <c r="RX5" s="35"/>
      <c r="RY5" s="35"/>
      <c r="RZ5" s="35"/>
      <c r="SA5" s="35"/>
      <c r="SB5" s="35"/>
      <c r="SC5" s="35"/>
      <c r="SD5" s="35"/>
      <c r="SE5" s="35"/>
      <c r="SF5" s="35"/>
      <c r="SG5" s="35"/>
      <c r="SH5" s="35"/>
      <c r="SI5" s="35"/>
      <c r="SJ5" s="35"/>
      <c r="SK5" s="35"/>
      <c r="SL5" s="35"/>
      <c r="SM5" s="35"/>
      <c r="SN5" s="35"/>
      <c r="SO5" s="35"/>
      <c r="SP5" s="35"/>
      <c r="SQ5" s="35"/>
      <c r="SR5" s="35"/>
      <c r="SS5" s="35"/>
      <c r="ST5" s="35"/>
      <c r="SU5" s="35"/>
      <c r="SV5" s="35"/>
      <c r="SW5" s="35"/>
      <c r="SX5" s="35"/>
      <c r="SY5" s="35"/>
      <c r="SZ5" s="35"/>
      <c r="TA5" s="35"/>
      <c r="TB5" s="35"/>
      <c r="TC5" s="35"/>
      <c r="TD5" s="35"/>
      <c r="TE5" s="35"/>
      <c r="TF5" s="35"/>
      <c r="TG5" s="35"/>
      <c r="TH5" s="35"/>
      <c r="TI5" s="35"/>
      <c r="TJ5" s="35"/>
      <c r="TK5" s="35"/>
      <c r="TL5" s="35"/>
      <c r="TM5" s="35"/>
      <c r="TN5" s="35"/>
      <c r="TO5" s="35"/>
      <c r="TP5" s="35"/>
      <c r="TQ5" s="35"/>
      <c r="TR5" s="35"/>
      <c r="TS5" s="35"/>
      <c r="TT5" s="35"/>
      <c r="TU5" s="35"/>
      <c r="TV5" s="35"/>
      <c r="TW5" s="35"/>
      <c r="TX5" s="35"/>
      <c r="TY5" s="35"/>
      <c r="TZ5" s="35"/>
      <c r="UA5" s="35"/>
      <c r="UB5" s="35"/>
      <c r="UC5" s="35"/>
      <c r="UD5" s="35"/>
      <c r="UE5" s="35"/>
      <c r="UF5" s="35"/>
      <c r="UG5" s="35"/>
      <c r="UH5" s="35"/>
      <c r="UI5" s="35"/>
      <c r="UJ5" s="35"/>
      <c r="UK5" s="35"/>
      <c r="UL5" s="35"/>
      <c r="UM5" s="35"/>
      <c r="UN5" s="35"/>
      <c r="UO5" s="35"/>
      <c r="UP5" s="35"/>
      <c r="UQ5" s="35"/>
      <c r="UR5" s="35"/>
      <c r="US5" s="35"/>
      <c r="UT5" s="35"/>
      <c r="UU5" s="35"/>
      <c r="UV5" s="35"/>
      <c r="UW5" s="35"/>
      <c r="UX5" s="35"/>
      <c r="UY5" s="35"/>
      <c r="UZ5" s="35"/>
      <c r="VA5" s="35"/>
      <c r="VB5" s="35"/>
      <c r="VC5" s="35"/>
      <c r="VD5" s="35"/>
      <c r="VE5" s="35"/>
      <c r="VF5" s="35"/>
      <c r="VG5" s="35"/>
      <c r="VH5" s="35"/>
      <c r="VI5" s="35"/>
      <c r="VJ5" s="35"/>
      <c r="VK5" s="35"/>
      <c r="VL5" s="35"/>
      <c r="VM5" s="35"/>
      <c r="VN5" s="35"/>
      <c r="VO5" s="35"/>
      <c r="VP5" s="35"/>
      <c r="VQ5" s="35"/>
      <c r="VR5" s="35"/>
      <c r="VS5" s="35"/>
      <c r="VT5" s="35"/>
      <c r="VU5" s="35"/>
      <c r="VV5" s="35"/>
      <c r="VW5" s="35"/>
      <c r="VX5" s="35"/>
      <c r="VY5" s="35"/>
      <c r="VZ5" s="35"/>
      <c r="WA5" s="35"/>
      <c r="WB5" s="35"/>
      <c r="WC5" s="35"/>
      <c r="WD5" s="35"/>
      <c r="WE5" s="35"/>
      <c r="WF5" s="35"/>
      <c r="WG5" s="35"/>
      <c r="WH5" s="35"/>
      <c r="WI5" s="35"/>
      <c r="WJ5" s="35"/>
      <c r="WK5" s="35"/>
      <c r="WL5" s="35"/>
      <c r="WM5" s="35"/>
      <c r="WN5" s="35"/>
      <c r="WO5" s="35"/>
      <c r="WP5" s="35"/>
      <c r="WQ5" s="35"/>
      <c r="WR5" s="35"/>
      <c r="WS5" s="35"/>
      <c r="WT5" s="35"/>
      <c r="WU5" s="35"/>
      <c r="WV5" s="35"/>
      <c r="WW5" s="35"/>
      <c r="WX5" s="35"/>
      <c r="WY5" s="35"/>
      <c r="WZ5" s="35"/>
      <c r="XA5" s="35"/>
      <c r="XB5" s="35"/>
      <c r="XC5" s="35"/>
      <c r="XD5" s="35"/>
      <c r="XE5" s="35"/>
      <c r="XF5" s="35"/>
      <c r="XG5" s="35"/>
      <c r="XH5" s="35"/>
      <c r="XI5" s="35"/>
      <c r="XJ5" s="35"/>
      <c r="XK5" s="35"/>
      <c r="XL5" s="35"/>
      <c r="XM5" s="35"/>
      <c r="XN5" s="35"/>
      <c r="XO5" s="35"/>
      <c r="XP5" s="35"/>
      <c r="XQ5" s="35"/>
      <c r="XR5" s="35"/>
      <c r="XS5" s="35"/>
      <c r="XT5" s="35"/>
      <c r="XU5" s="35"/>
      <c r="XV5" s="35"/>
      <c r="XW5" s="35"/>
      <c r="XX5" s="35"/>
      <c r="XY5" s="35"/>
      <c r="XZ5" s="35"/>
      <c r="YA5" s="35"/>
      <c r="YB5" s="35"/>
      <c r="YC5" s="35"/>
      <c r="YD5" s="35"/>
      <c r="YE5" s="35"/>
      <c r="YF5" s="35"/>
      <c r="YG5" s="35"/>
      <c r="YH5" s="35"/>
      <c r="YI5" s="35"/>
      <c r="YJ5" s="35"/>
      <c r="YK5" s="35"/>
      <c r="YL5" s="35"/>
      <c r="YM5" s="35"/>
      <c r="YN5" s="35"/>
      <c r="YO5" s="35"/>
      <c r="YP5" s="35"/>
      <c r="YQ5" s="35"/>
      <c r="YR5" s="35"/>
      <c r="YS5" s="35"/>
      <c r="YT5" s="35"/>
      <c r="YU5" s="35"/>
      <c r="YV5" s="35"/>
      <c r="YW5" s="35"/>
      <c r="YX5" s="35"/>
      <c r="YY5" s="35"/>
      <c r="YZ5" s="35"/>
      <c r="ZA5" s="35"/>
      <c r="ZB5" s="35"/>
      <c r="ZC5" s="35"/>
      <c r="ZD5" s="35"/>
      <c r="ZE5" s="35"/>
      <c r="ZF5" s="35"/>
      <c r="ZG5" s="35"/>
      <c r="ZH5" s="35"/>
      <c r="ZI5" s="35"/>
      <c r="ZJ5" s="35"/>
      <c r="ZK5" s="35"/>
      <c r="ZL5" s="35"/>
      <c r="ZM5" s="35"/>
      <c r="ZN5" s="35"/>
      <c r="ZO5" s="35"/>
      <c r="ZP5" s="35"/>
      <c r="ZQ5" s="35"/>
      <c r="ZR5" s="35"/>
      <c r="ZS5" s="35"/>
      <c r="ZT5" s="35"/>
      <c r="ZU5" s="35"/>
      <c r="ZV5" s="35"/>
      <c r="ZW5" s="35"/>
      <c r="ZX5" s="35"/>
      <c r="ZY5" s="35"/>
      <c r="ZZ5" s="35"/>
      <c r="AAA5" s="35"/>
      <c r="AAB5" s="35"/>
      <c r="AAC5" s="35"/>
      <c r="AAD5" s="35"/>
      <c r="AAE5" s="35"/>
      <c r="AAF5" s="35"/>
      <c r="AAG5" s="35"/>
      <c r="AAH5" s="35"/>
      <c r="AAI5" s="35"/>
      <c r="AAJ5" s="35"/>
      <c r="AAK5" s="35"/>
      <c r="AAL5" s="35"/>
      <c r="AAM5" s="35"/>
      <c r="AAN5" s="35"/>
      <c r="AAO5" s="35"/>
      <c r="AAP5" s="35"/>
      <c r="AAQ5" s="35"/>
      <c r="AAR5" s="35"/>
      <c r="AAS5" s="35"/>
      <c r="AAT5" s="35"/>
      <c r="AAU5" s="35"/>
      <c r="AAV5" s="35"/>
      <c r="AAW5" s="35"/>
      <c r="AAX5" s="35"/>
      <c r="AAY5" s="35"/>
      <c r="AAZ5" s="35"/>
      <c r="ABA5" s="35"/>
      <c r="ABB5" s="35"/>
      <c r="ABC5" s="35"/>
      <c r="ABD5" s="35"/>
      <c r="ABE5" s="35"/>
      <c r="ABF5" s="35"/>
      <c r="ABG5" s="35"/>
      <c r="ABH5" s="35"/>
      <c r="ABI5" s="35"/>
      <c r="ABJ5" s="35"/>
      <c r="ABK5" s="35"/>
      <c r="ABL5" s="35"/>
      <c r="ABM5" s="35"/>
      <c r="ABN5" s="35"/>
      <c r="ABO5" s="35"/>
      <c r="ABP5" s="35"/>
      <c r="ABQ5" s="35"/>
      <c r="ABR5" s="35"/>
      <c r="ABS5" s="35"/>
      <c r="ABT5" s="35"/>
      <c r="ABU5" s="35"/>
      <c r="ABV5" s="35"/>
      <c r="ABW5" s="35"/>
      <c r="ABX5" s="35"/>
      <c r="ABY5" s="35"/>
      <c r="ABZ5" s="35"/>
      <c r="ACA5" s="35"/>
      <c r="ACB5" s="35"/>
      <c r="ACC5" s="35"/>
      <c r="ACD5" s="35"/>
      <c r="ACE5" s="35"/>
      <c r="ACF5" s="35"/>
      <c r="ACG5" s="35"/>
      <c r="ACH5" s="35"/>
      <c r="ACI5" s="35"/>
      <c r="ACJ5" s="35"/>
      <c r="ACK5" s="35"/>
      <c r="ACL5" s="35"/>
      <c r="ACM5" s="35"/>
      <c r="ACN5" s="35"/>
      <c r="ACO5" s="35"/>
      <c r="ACP5" s="35"/>
      <c r="ACQ5" s="35"/>
      <c r="ACR5" s="35"/>
      <c r="ACS5" s="35"/>
      <c r="ACT5" s="35"/>
      <c r="ACU5" s="35"/>
      <c r="ACV5" s="35"/>
      <c r="ACW5" s="35"/>
      <c r="ACX5" s="35"/>
      <c r="ACY5" s="35"/>
      <c r="ACZ5" s="35"/>
      <c r="ADA5" s="35"/>
      <c r="ADB5" s="35"/>
      <c r="ADC5" s="35"/>
      <c r="ADD5" s="35"/>
      <c r="ADE5" s="35"/>
      <c r="ADF5" s="35"/>
      <c r="ADG5" s="35"/>
      <c r="ADH5" s="35"/>
      <c r="ADI5" s="35"/>
      <c r="ADJ5" s="35"/>
      <c r="ADK5" s="35"/>
      <c r="ADL5" s="35"/>
      <c r="ADM5" s="35"/>
      <c r="ADN5" s="35"/>
      <c r="ADO5" s="35"/>
      <c r="ADP5" s="35"/>
      <c r="ADQ5" s="35"/>
      <c r="ADR5" s="35"/>
      <c r="ADS5" s="35"/>
      <c r="ADT5" s="35"/>
      <c r="ADU5" s="35"/>
      <c r="ADV5" s="35"/>
      <c r="ADW5" s="35"/>
      <c r="ADX5" s="35"/>
      <c r="ADY5" s="35"/>
      <c r="ADZ5" s="35"/>
      <c r="AEA5" s="35"/>
      <c r="AEB5" s="35"/>
      <c r="AEC5" s="35"/>
      <c r="AED5" s="35"/>
      <c r="AEE5" s="35"/>
      <c r="AEF5" s="35"/>
      <c r="AEG5" s="35"/>
      <c r="AEH5" s="35"/>
      <c r="AEI5" s="35"/>
      <c r="AEJ5" s="35"/>
      <c r="AEK5" s="35"/>
      <c r="AEL5" s="35"/>
      <c r="AEM5" s="35"/>
      <c r="AEN5" s="35"/>
      <c r="AEO5" s="35"/>
      <c r="AEP5" s="35"/>
      <c r="AEQ5" s="35"/>
      <c r="AER5" s="35"/>
      <c r="AES5" s="35"/>
      <c r="AET5" s="35"/>
      <c r="AEU5" s="35"/>
      <c r="AEV5" s="35"/>
      <c r="AEW5" s="35"/>
      <c r="AEX5" s="35"/>
      <c r="AEY5" s="35"/>
      <c r="AEZ5" s="35"/>
      <c r="AFA5" s="35"/>
      <c r="AFB5" s="35"/>
      <c r="AFC5" s="35"/>
      <c r="AFD5" s="35"/>
      <c r="AFE5" s="35"/>
      <c r="AFF5" s="35"/>
      <c r="AFG5" s="35"/>
      <c r="AFH5" s="35"/>
      <c r="AFI5" s="35"/>
      <c r="AFJ5" s="35"/>
      <c r="AFK5" s="35"/>
      <c r="AFL5" s="35"/>
      <c r="AFM5" s="35"/>
      <c r="AFN5" s="35"/>
      <c r="AFO5" s="35"/>
      <c r="AFP5" s="35"/>
      <c r="AFQ5" s="35"/>
      <c r="AFR5" s="35"/>
      <c r="AFS5" s="35"/>
      <c r="AFT5" s="35"/>
      <c r="AFU5" s="35"/>
      <c r="AFV5" s="35"/>
      <c r="AFW5" s="35"/>
      <c r="AFX5" s="35"/>
      <c r="AFY5" s="35"/>
      <c r="AFZ5" s="35"/>
      <c r="AGA5" s="35"/>
      <c r="AGB5" s="35"/>
      <c r="AGC5" s="35"/>
      <c r="AGD5" s="35"/>
      <c r="AGE5" s="35"/>
      <c r="AGF5" s="35"/>
      <c r="AGG5" s="35"/>
      <c r="AGH5" s="35"/>
      <c r="AGI5" s="35"/>
      <c r="AGJ5" s="35"/>
      <c r="AGK5" s="35"/>
      <c r="AGL5" s="35"/>
      <c r="AGM5" s="35"/>
      <c r="AGN5" s="35"/>
      <c r="AGO5" s="35"/>
      <c r="AGP5" s="35"/>
      <c r="AGQ5" s="35"/>
      <c r="AGR5" s="35"/>
      <c r="AGS5" s="35"/>
      <c r="AGT5" s="35"/>
      <c r="AGU5" s="35"/>
      <c r="AGV5" s="35"/>
      <c r="AGW5" s="35"/>
      <c r="AGX5" s="35"/>
      <c r="AGY5" s="35"/>
      <c r="AGZ5" s="35"/>
      <c r="AHA5" s="35"/>
      <c r="AHB5" s="35"/>
      <c r="AHC5" s="35"/>
      <c r="AHD5" s="35"/>
      <c r="AHE5" s="35"/>
      <c r="AHF5" s="35"/>
      <c r="AHG5" s="35"/>
      <c r="AHH5" s="35"/>
      <c r="AHI5" s="35"/>
      <c r="AHJ5" s="35"/>
      <c r="AHK5" s="35"/>
      <c r="AHL5" s="35"/>
      <c r="AHM5" s="35"/>
      <c r="AHN5" s="35"/>
      <c r="AHO5" s="35"/>
      <c r="AHP5" s="35"/>
      <c r="AHQ5" s="35"/>
      <c r="AHR5" s="35"/>
      <c r="AHS5" s="35"/>
      <c r="AHT5" s="35"/>
      <c r="AHU5" s="35"/>
      <c r="AHV5" s="35"/>
      <c r="AHW5" s="35"/>
      <c r="AHX5" s="35"/>
      <c r="AHY5" s="35"/>
      <c r="AHZ5" s="35"/>
      <c r="AIA5" s="35"/>
      <c r="AIB5" s="35"/>
      <c r="AIC5" s="35"/>
      <c r="AID5" s="35"/>
      <c r="AIE5" s="35"/>
      <c r="AIF5" s="35"/>
      <c r="AIG5" s="35"/>
      <c r="AIH5" s="35"/>
      <c r="AII5" s="35"/>
      <c r="AIJ5" s="35"/>
      <c r="AIK5" s="35"/>
      <c r="AIL5" s="35"/>
      <c r="AIM5" s="35"/>
      <c r="AIN5" s="35"/>
      <c r="AIO5" s="35"/>
      <c r="AIP5" s="35"/>
      <c r="AIQ5" s="35"/>
      <c r="AIR5" s="35"/>
      <c r="AIS5" s="35"/>
      <c r="AIT5" s="35"/>
      <c r="AIU5" s="35"/>
      <c r="AIV5" s="35"/>
      <c r="AIW5" s="35"/>
      <c r="AIX5" s="35"/>
      <c r="AIY5" s="35"/>
      <c r="AIZ5" s="35"/>
      <c r="AJA5" s="35"/>
      <c r="AJB5" s="35"/>
      <c r="AJC5" s="35"/>
      <c r="AJD5" s="35"/>
      <c r="AJE5" s="35"/>
      <c r="AJF5" s="35"/>
      <c r="AJG5" s="35"/>
      <c r="AJH5" s="35"/>
      <c r="AJI5" s="35"/>
      <c r="AJJ5" s="35"/>
      <c r="AJK5" s="35"/>
      <c r="AJL5" s="35"/>
      <c r="AJM5" s="35"/>
      <c r="AJN5" s="35"/>
      <c r="AJO5" s="35"/>
      <c r="AJP5" s="35"/>
      <c r="AJQ5" s="35"/>
      <c r="AJR5" s="35"/>
      <c r="AJS5" s="35"/>
      <c r="AJT5" s="35"/>
      <c r="AJU5" s="35"/>
      <c r="AJV5" s="35"/>
      <c r="AJW5" s="35"/>
      <c r="AJX5" s="35"/>
      <c r="AJY5" s="35"/>
      <c r="AJZ5" s="35"/>
      <c r="AKA5" s="35"/>
      <c r="AKB5" s="35"/>
      <c r="AKC5" s="35"/>
      <c r="AKD5" s="35"/>
      <c r="AKE5" s="35"/>
      <c r="AKF5" s="35"/>
      <c r="AKG5" s="35"/>
      <c r="AKH5" s="35"/>
      <c r="AKI5" s="35"/>
      <c r="AKJ5" s="35"/>
      <c r="AKK5" s="35"/>
      <c r="AKL5" s="35"/>
      <c r="AKM5" s="35"/>
      <c r="AKN5" s="35"/>
      <c r="AKO5" s="35"/>
      <c r="AKP5" s="35"/>
      <c r="AKQ5" s="35"/>
      <c r="AKR5" s="35"/>
      <c r="AKS5" s="35"/>
      <c r="AKT5" s="35"/>
      <c r="AKU5" s="35"/>
      <c r="AKV5" s="35"/>
      <c r="AKW5" s="35"/>
      <c r="AKX5" s="35"/>
      <c r="AKY5" s="35"/>
      <c r="AKZ5" s="35"/>
      <c r="ALA5" s="35"/>
      <c r="ALB5" s="35"/>
      <c r="ALC5" s="35"/>
      <c r="ALD5" s="35"/>
      <c r="ALE5" s="35"/>
      <c r="ALF5" s="35"/>
      <c r="ALG5" s="35"/>
      <c r="ALH5" s="35"/>
      <c r="ALI5" s="35"/>
      <c r="ALJ5" s="35"/>
      <c r="ALK5" s="35"/>
      <c r="ALL5" s="35"/>
      <c r="ALM5" s="35"/>
      <c r="ALN5" s="35"/>
      <c r="ALO5" s="35"/>
      <c r="ALP5" s="35"/>
      <c r="ALQ5" s="35"/>
      <c r="ALR5" s="35"/>
      <c r="ALS5" s="35"/>
      <c r="ALT5" s="35"/>
      <c r="ALU5" s="35"/>
      <c r="ALV5" s="35"/>
      <c r="ALW5" s="35"/>
      <c r="ALX5" s="35"/>
      <c r="ALY5" s="35"/>
      <c r="ALZ5" s="35"/>
      <c r="AMA5" s="35"/>
      <c r="AMB5" s="35"/>
      <c r="AMC5" s="35"/>
      <c r="AMD5" s="35"/>
      <c r="AME5" s="35"/>
      <c r="AMF5" s="35"/>
      <c r="AMG5" s="35"/>
      <c r="AMH5" s="35"/>
      <c r="AMI5" s="35"/>
      <c r="AMJ5" s="35"/>
      <c r="AMK5" s="35"/>
      <c r="AML5" s="35"/>
      <c r="AMM5" s="35"/>
      <c r="AMN5" s="35"/>
      <c r="AMO5" s="35"/>
      <c r="AMP5" s="35"/>
      <c r="AMQ5" s="35"/>
      <c r="AMR5" s="35"/>
      <c r="AMS5" s="35"/>
      <c r="AMT5" s="35"/>
      <c r="AMU5" s="35"/>
      <c r="AMV5" s="35"/>
      <c r="AMW5" s="35"/>
      <c r="AMX5" s="35"/>
      <c r="AMY5" s="35"/>
      <c r="AMZ5" s="35"/>
      <c r="ANA5" s="35"/>
    </row>
    <row r="6" customFormat="false" ht="12.8" hidden="true" customHeight="true" outlineLevel="1" collapsed="false">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c r="BP6" s="40"/>
      <c r="BQ6" s="40"/>
      <c r="BR6" s="40"/>
      <c r="BS6" s="40"/>
      <c r="BT6" s="40"/>
      <c r="BU6" s="40"/>
      <c r="BV6" s="40"/>
      <c r="BW6" s="40" t="s">
        <v>364</v>
      </c>
      <c r="BX6" s="35"/>
      <c r="BY6" s="35"/>
      <c r="BZ6" s="35"/>
      <c r="CA6" s="35"/>
      <c r="CB6" s="35"/>
      <c r="CC6" s="35"/>
      <c r="CD6" s="35"/>
      <c r="CE6" s="35"/>
      <c r="CF6" s="35"/>
      <c r="CG6" s="35"/>
      <c r="CH6" s="35"/>
      <c r="CI6" s="35"/>
      <c r="CJ6" s="35"/>
      <c r="CK6" s="35"/>
      <c r="CL6" s="35"/>
      <c r="CM6" s="35"/>
      <c r="CN6" s="35"/>
      <c r="CO6" s="35"/>
      <c r="CP6" s="35"/>
      <c r="CQ6" s="35"/>
      <c r="CR6" s="35"/>
      <c r="CS6" s="35"/>
      <c r="CT6" s="35"/>
      <c r="CU6" s="35"/>
      <c r="CV6" s="35"/>
      <c r="CW6" s="35"/>
      <c r="CX6" s="35"/>
      <c r="CY6" s="35"/>
      <c r="CZ6" s="35"/>
      <c r="DA6" s="35"/>
      <c r="DB6" s="35"/>
      <c r="DC6" s="35"/>
      <c r="DD6" s="35"/>
      <c r="DE6" s="35"/>
      <c r="DF6" s="35"/>
      <c r="DG6" s="35"/>
      <c r="DH6" s="35"/>
      <c r="DI6" s="35"/>
      <c r="DJ6" s="35"/>
      <c r="DK6" s="35"/>
      <c r="DL6" s="35"/>
      <c r="DM6" s="35"/>
      <c r="DN6" s="35"/>
      <c r="DO6" s="35"/>
      <c r="DP6" s="35"/>
      <c r="DQ6" s="35"/>
      <c r="DR6" s="35"/>
      <c r="DS6" s="35"/>
      <c r="DT6" s="35"/>
      <c r="DU6" s="35"/>
      <c r="DV6" s="35"/>
      <c r="DW6" s="35"/>
      <c r="DX6" s="35"/>
      <c r="DY6" s="35"/>
      <c r="DZ6" s="35"/>
      <c r="EA6" s="35"/>
      <c r="EB6" s="35"/>
      <c r="EC6" s="35"/>
      <c r="ED6" s="35"/>
      <c r="EE6" s="35"/>
      <c r="EF6" s="35"/>
      <c r="EG6" s="35"/>
      <c r="EH6" s="35"/>
      <c r="EI6" s="35"/>
      <c r="EJ6" s="35"/>
      <c r="EK6" s="35"/>
      <c r="EL6" s="35"/>
      <c r="EM6" s="35"/>
      <c r="EN6" s="35"/>
      <c r="EO6" s="35"/>
      <c r="EP6" s="35"/>
      <c r="EQ6" s="35"/>
      <c r="ER6" s="35"/>
      <c r="ES6" s="35"/>
      <c r="ET6" s="35"/>
      <c r="EU6" s="35"/>
      <c r="EV6" s="35"/>
      <c r="EW6" s="35"/>
      <c r="EX6" s="35"/>
      <c r="EY6" s="35"/>
      <c r="EZ6" s="35"/>
      <c r="FA6" s="35"/>
      <c r="FB6" s="35"/>
      <c r="FC6" s="35"/>
      <c r="FD6" s="35"/>
      <c r="FE6" s="35"/>
      <c r="FF6" s="35"/>
      <c r="FG6" s="35"/>
      <c r="FH6" s="35"/>
      <c r="FI6" s="35"/>
      <c r="FJ6" s="35"/>
      <c r="FK6" s="35"/>
      <c r="FL6" s="35"/>
      <c r="FM6" s="35"/>
      <c r="FN6" s="35"/>
      <c r="FO6" s="35"/>
      <c r="FP6" s="35"/>
      <c r="FQ6" s="35"/>
      <c r="FR6" s="35"/>
      <c r="FS6" s="35"/>
      <c r="FT6" s="35"/>
      <c r="FU6" s="35"/>
      <c r="FV6" s="35"/>
      <c r="FW6" s="35"/>
      <c r="FX6" s="35"/>
      <c r="FY6" s="35"/>
      <c r="FZ6" s="35"/>
      <c r="GA6" s="35"/>
      <c r="GB6" s="35"/>
      <c r="GC6" s="35"/>
      <c r="GD6" s="35"/>
      <c r="GE6" s="35"/>
      <c r="GF6" s="35"/>
      <c r="GG6" s="35"/>
      <c r="GH6" s="35"/>
      <c r="GI6" s="35"/>
      <c r="GJ6" s="35"/>
      <c r="GK6" s="35"/>
      <c r="GL6" s="35"/>
      <c r="GM6" s="35"/>
      <c r="GN6" s="35"/>
      <c r="GO6" s="35"/>
      <c r="GP6" s="35"/>
      <c r="GQ6" s="35"/>
      <c r="GR6" s="35"/>
      <c r="GS6" s="35"/>
      <c r="GT6" s="35"/>
      <c r="GU6" s="35"/>
      <c r="GV6" s="35"/>
      <c r="GW6" s="35"/>
      <c r="GX6" s="35"/>
      <c r="GY6" s="35"/>
      <c r="GZ6" s="35"/>
      <c r="HA6" s="35"/>
      <c r="HB6" s="35"/>
      <c r="HC6" s="35"/>
      <c r="HD6" s="35"/>
      <c r="HE6" s="35"/>
      <c r="HF6" s="35"/>
      <c r="HG6" s="35"/>
      <c r="HH6" s="35"/>
      <c r="HI6" s="35"/>
      <c r="HJ6" s="35"/>
      <c r="HK6" s="35"/>
      <c r="HL6" s="35"/>
      <c r="HM6" s="35"/>
      <c r="HN6" s="35"/>
      <c r="HO6" s="35"/>
      <c r="HP6" s="35"/>
      <c r="HQ6" s="35"/>
      <c r="HR6" s="35"/>
      <c r="HS6" s="35"/>
      <c r="HT6" s="35"/>
      <c r="HU6" s="35"/>
      <c r="HV6" s="35"/>
      <c r="HW6" s="35"/>
      <c r="HX6" s="35"/>
      <c r="HY6" s="35"/>
      <c r="HZ6" s="35"/>
      <c r="IA6" s="35"/>
      <c r="IB6" s="35"/>
      <c r="IC6" s="35"/>
      <c r="ID6" s="35"/>
      <c r="IE6" s="35"/>
      <c r="IF6" s="35"/>
      <c r="IG6" s="35"/>
      <c r="IH6" s="35"/>
      <c r="II6" s="35"/>
      <c r="IJ6" s="35"/>
      <c r="IK6" s="35"/>
      <c r="IL6" s="35"/>
      <c r="IM6" s="35"/>
      <c r="IN6" s="35"/>
      <c r="IO6" s="35"/>
      <c r="IP6" s="35"/>
      <c r="IQ6" s="35"/>
      <c r="IR6" s="35"/>
      <c r="IS6" s="35"/>
      <c r="IT6" s="35"/>
      <c r="IU6" s="35"/>
      <c r="IV6" s="35"/>
      <c r="IW6" s="35"/>
      <c r="IX6" s="35"/>
      <c r="IY6" s="35"/>
      <c r="IZ6" s="35"/>
      <c r="JA6" s="35"/>
      <c r="JB6" s="35"/>
      <c r="JC6" s="35"/>
      <c r="JD6" s="35"/>
      <c r="JE6" s="35"/>
      <c r="JF6" s="35"/>
      <c r="JG6" s="35"/>
      <c r="JH6" s="35"/>
      <c r="JI6" s="35"/>
      <c r="JJ6" s="35"/>
      <c r="JK6" s="35"/>
      <c r="JL6" s="35"/>
      <c r="JM6" s="35"/>
      <c r="JN6" s="35"/>
      <c r="JO6" s="35"/>
      <c r="JP6" s="35"/>
      <c r="JQ6" s="35"/>
      <c r="JR6" s="35"/>
      <c r="JS6" s="35"/>
      <c r="JT6" s="35"/>
      <c r="JU6" s="35"/>
      <c r="JV6" s="35"/>
      <c r="JW6" s="35"/>
      <c r="JX6" s="35"/>
      <c r="JY6" s="35"/>
      <c r="JZ6" s="35"/>
      <c r="KA6" s="35"/>
      <c r="KB6" s="35"/>
      <c r="KC6" s="35"/>
      <c r="KD6" s="35"/>
      <c r="KE6" s="35"/>
      <c r="KF6" s="35"/>
      <c r="KG6" s="35"/>
      <c r="KH6" s="35"/>
      <c r="KI6" s="35"/>
      <c r="KJ6" s="35"/>
      <c r="KK6" s="35"/>
      <c r="KL6" s="35"/>
      <c r="KM6" s="35"/>
      <c r="KN6" s="35"/>
      <c r="KO6" s="35"/>
      <c r="KP6" s="35"/>
      <c r="KQ6" s="35"/>
      <c r="KR6" s="35"/>
      <c r="KS6" s="35"/>
      <c r="KT6" s="35"/>
      <c r="KU6" s="35"/>
      <c r="KV6" s="35"/>
      <c r="KW6" s="35"/>
      <c r="KX6" s="35"/>
      <c r="KY6" s="35"/>
      <c r="KZ6" s="35"/>
      <c r="LA6" s="35"/>
      <c r="LB6" s="35"/>
      <c r="LC6" s="35"/>
      <c r="LD6" s="35"/>
      <c r="LE6" s="35"/>
      <c r="LF6" s="35"/>
      <c r="LG6" s="35"/>
      <c r="LH6" s="35"/>
      <c r="LI6" s="35"/>
      <c r="LJ6" s="35"/>
      <c r="LK6" s="35"/>
      <c r="LL6" s="35"/>
      <c r="LM6" s="35"/>
      <c r="LN6" s="35"/>
      <c r="LO6" s="35"/>
      <c r="LP6" s="35"/>
      <c r="LQ6" s="35"/>
      <c r="LR6" s="35"/>
      <c r="LS6" s="35"/>
      <c r="LT6" s="35"/>
      <c r="LU6" s="35"/>
      <c r="LV6" s="35"/>
      <c r="LW6" s="35"/>
      <c r="LX6" s="35"/>
      <c r="LY6" s="35"/>
      <c r="LZ6" s="35"/>
      <c r="MA6" s="35"/>
      <c r="MB6" s="35"/>
      <c r="MC6" s="35"/>
      <c r="MD6" s="35"/>
      <c r="ME6" s="35"/>
      <c r="MF6" s="35"/>
      <c r="MG6" s="35"/>
      <c r="MH6" s="35"/>
      <c r="MI6" s="35"/>
      <c r="MJ6" s="35"/>
      <c r="MK6" s="35"/>
      <c r="ML6" s="35"/>
      <c r="MM6" s="35"/>
      <c r="MN6" s="35"/>
      <c r="MO6" s="35"/>
      <c r="MP6" s="35"/>
      <c r="MQ6" s="35"/>
      <c r="MR6" s="35"/>
      <c r="MS6" s="35"/>
      <c r="MT6" s="35"/>
      <c r="MU6" s="35"/>
      <c r="MV6" s="35"/>
      <c r="MW6" s="35"/>
      <c r="MX6" s="35"/>
      <c r="MY6" s="35"/>
      <c r="MZ6" s="35"/>
      <c r="NA6" s="35"/>
      <c r="NB6" s="35"/>
      <c r="NC6" s="35"/>
      <c r="ND6" s="35"/>
      <c r="NE6" s="35"/>
      <c r="NF6" s="35"/>
      <c r="NG6" s="35"/>
      <c r="NH6" s="35"/>
      <c r="NI6" s="35"/>
      <c r="NJ6" s="35"/>
      <c r="NK6" s="35"/>
      <c r="NL6" s="35"/>
      <c r="NM6" s="35"/>
      <c r="NN6" s="35"/>
      <c r="NO6" s="35"/>
      <c r="NP6" s="35"/>
      <c r="NQ6" s="35"/>
      <c r="NR6" s="35"/>
      <c r="NS6" s="35"/>
      <c r="NT6" s="35"/>
      <c r="NU6" s="35"/>
      <c r="NV6" s="35"/>
      <c r="NW6" s="35"/>
      <c r="NX6" s="35"/>
      <c r="NY6" s="35"/>
      <c r="NZ6" s="35"/>
      <c r="OA6" s="35"/>
      <c r="OB6" s="35"/>
      <c r="OC6" s="35"/>
      <c r="OD6" s="35"/>
      <c r="OE6" s="35"/>
      <c r="OF6" s="35"/>
      <c r="OG6" s="35"/>
      <c r="OH6" s="35"/>
      <c r="OI6" s="35"/>
      <c r="OJ6" s="35"/>
      <c r="OK6" s="35"/>
      <c r="OL6" s="35"/>
      <c r="OM6" s="35"/>
      <c r="ON6" s="35"/>
      <c r="OO6" s="35"/>
      <c r="OP6" s="35"/>
      <c r="OQ6" s="35"/>
      <c r="OR6" s="35"/>
      <c r="OS6" s="35"/>
      <c r="OT6" s="35"/>
      <c r="OU6" s="35"/>
      <c r="OV6" s="35"/>
      <c r="OW6" s="35"/>
      <c r="OX6" s="35"/>
      <c r="OY6" s="35"/>
      <c r="OZ6" s="35"/>
      <c r="PA6" s="35"/>
      <c r="PB6" s="35"/>
      <c r="PC6" s="35"/>
      <c r="PD6" s="35"/>
      <c r="PE6" s="35"/>
      <c r="PF6" s="35"/>
      <c r="PG6" s="35"/>
      <c r="PH6" s="35"/>
      <c r="PI6" s="35"/>
      <c r="PJ6" s="35"/>
      <c r="PK6" s="35"/>
      <c r="PL6" s="35"/>
      <c r="PM6" s="35"/>
      <c r="PN6" s="35"/>
      <c r="PO6" s="35"/>
      <c r="PP6" s="35"/>
      <c r="PQ6" s="35"/>
      <c r="PR6" s="35"/>
      <c r="PS6" s="35"/>
      <c r="PT6" s="35"/>
      <c r="PU6" s="35"/>
      <c r="PV6" s="35"/>
      <c r="PW6" s="35"/>
      <c r="PX6" s="35"/>
      <c r="PY6" s="35"/>
      <c r="PZ6" s="35"/>
      <c r="QA6" s="35"/>
      <c r="QB6" s="35"/>
      <c r="QC6" s="35"/>
      <c r="QD6" s="35"/>
      <c r="QE6" s="35"/>
      <c r="QF6" s="35"/>
      <c r="QG6" s="35"/>
      <c r="QH6" s="35"/>
      <c r="QI6" s="35"/>
      <c r="QJ6" s="35"/>
      <c r="QK6" s="35"/>
      <c r="QL6" s="35"/>
      <c r="QM6" s="35"/>
      <c r="QN6" s="35"/>
      <c r="QO6" s="35"/>
      <c r="QP6" s="35"/>
      <c r="QQ6" s="35"/>
      <c r="QR6" s="35"/>
      <c r="QS6" s="35"/>
      <c r="QT6" s="35"/>
      <c r="QU6" s="35"/>
      <c r="QV6" s="35"/>
      <c r="QW6" s="35"/>
      <c r="QX6" s="35"/>
      <c r="QY6" s="35"/>
      <c r="QZ6" s="35"/>
      <c r="RA6" s="35"/>
      <c r="RB6" s="35"/>
      <c r="RC6" s="35"/>
      <c r="RD6" s="35"/>
      <c r="RE6" s="35"/>
      <c r="RF6" s="35"/>
      <c r="RG6" s="35"/>
      <c r="RH6" s="35"/>
      <c r="RI6" s="35"/>
      <c r="RJ6" s="35"/>
      <c r="RK6" s="35"/>
      <c r="RL6" s="35"/>
      <c r="RM6" s="35"/>
      <c r="RN6" s="35"/>
      <c r="RO6" s="35"/>
      <c r="RP6" s="35"/>
      <c r="RQ6" s="35"/>
      <c r="RR6" s="35"/>
      <c r="RS6" s="35"/>
      <c r="RT6" s="35"/>
      <c r="RU6" s="35"/>
      <c r="RV6" s="35"/>
      <c r="RW6" s="35"/>
      <c r="RX6" s="35"/>
      <c r="RY6" s="35"/>
      <c r="RZ6" s="35"/>
      <c r="SA6" s="35"/>
      <c r="SB6" s="35"/>
      <c r="SC6" s="35"/>
      <c r="SD6" s="35"/>
      <c r="SE6" s="35"/>
      <c r="SF6" s="35"/>
      <c r="SG6" s="35"/>
      <c r="SH6" s="35"/>
      <c r="SI6" s="35"/>
      <c r="SJ6" s="35"/>
      <c r="SK6" s="35"/>
      <c r="SL6" s="35"/>
      <c r="SM6" s="35"/>
      <c r="SN6" s="35"/>
      <c r="SO6" s="35"/>
      <c r="SP6" s="35"/>
      <c r="SQ6" s="35"/>
      <c r="SR6" s="35"/>
      <c r="SS6" s="35"/>
      <c r="ST6" s="35"/>
      <c r="SU6" s="35"/>
      <c r="SV6" s="35"/>
      <c r="SW6" s="35"/>
      <c r="SX6" s="35"/>
      <c r="SY6" s="35"/>
      <c r="SZ6" s="35"/>
      <c r="TA6" s="35"/>
      <c r="TB6" s="35"/>
      <c r="TC6" s="35"/>
      <c r="TD6" s="35"/>
      <c r="TE6" s="35"/>
      <c r="TF6" s="35"/>
      <c r="TG6" s="35"/>
      <c r="TH6" s="35"/>
      <c r="TI6" s="35"/>
      <c r="TJ6" s="35"/>
      <c r="TK6" s="35"/>
      <c r="TL6" s="35"/>
      <c r="TM6" s="35"/>
      <c r="TN6" s="35"/>
      <c r="TO6" s="35"/>
      <c r="TP6" s="35"/>
      <c r="TQ6" s="35"/>
      <c r="TR6" s="35"/>
      <c r="TS6" s="35"/>
      <c r="TT6" s="35"/>
      <c r="TU6" s="35"/>
      <c r="TV6" s="35"/>
      <c r="TW6" s="35"/>
      <c r="TX6" s="35"/>
      <c r="TY6" s="35"/>
      <c r="TZ6" s="35"/>
      <c r="UA6" s="35"/>
      <c r="UB6" s="35"/>
      <c r="UC6" s="35"/>
      <c r="UD6" s="35"/>
      <c r="UE6" s="35"/>
      <c r="UF6" s="35"/>
      <c r="UG6" s="35"/>
      <c r="UH6" s="35"/>
      <c r="UI6" s="35"/>
      <c r="UJ6" s="35"/>
      <c r="UK6" s="35"/>
      <c r="UL6" s="35"/>
      <c r="UM6" s="35"/>
      <c r="UN6" s="35"/>
      <c r="UO6" s="35"/>
      <c r="UP6" s="35"/>
      <c r="UQ6" s="35"/>
      <c r="UR6" s="35"/>
      <c r="US6" s="35"/>
      <c r="UT6" s="35"/>
      <c r="UU6" s="35"/>
      <c r="UV6" s="35"/>
      <c r="UW6" s="35"/>
      <c r="UX6" s="35"/>
      <c r="UY6" s="35"/>
      <c r="UZ6" s="35"/>
      <c r="VA6" s="35"/>
      <c r="VB6" s="35"/>
      <c r="VC6" s="35"/>
      <c r="VD6" s="35"/>
      <c r="VE6" s="35"/>
      <c r="VF6" s="35"/>
      <c r="VG6" s="35"/>
      <c r="VH6" s="35"/>
      <c r="VI6" s="35"/>
      <c r="VJ6" s="35"/>
      <c r="VK6" s="35"/>
      <c r="VL6" s="35"/>
      <c r="VM6" s="35"/>
      <c r="VN6" s="35"/>
      <c r="VO6" s="35"/>
      <c r="VP6" s="35"/>
      <c r="VQ6" s="35"/>
      <c r="VR6" s="35"/>
      <c r="VS6" s="35"/>
      <c r="VT6" s="35"/>
      <c r="VU6" s="35"/>
      <c r="VV6" s="35"/>
      <c r="VW6" s="35"/>
      <c r="VX6" s="35"/>
      <c r="VY6" s="35"/>
      <c r="VZ6" s="35"/>
      <c r="WA6" s="35"/>
      <c r="WB6" s="35"/>
      <c r="WC6" s="35"/>
      <c r="WD6" s="35"/>
      <c r="WE6" s="35"/>
      <c r="WF6" s="35"/>
      <c r="WG6" s="35"/>
      <c r="WH6" s="35"/>
      <c r="WI6" s="35"/>
      <c r="WJ6" s="35"/>
      <c r="WK6" s="35"/>
      <c r="WL6" s="35"/>
      <c r="WM6" s="35"/>
      <c r="WN6" s="35"/>
      <c r="WO6" s="35"/>
      <c r="WP6" s="35"/>
      <c r="WQ6" s="35"/>
      <c r="WR6" s="35"/>
      <c r="WS6" s="35"/>
      <c r="WT6" s="35"/>
      <c r="WU6" s="35"/>
      <c r="WV6" s="35"/>
      <c r="WW6" s="35"/>
      <c r="WX6" s="35"/>
      <c r="WY6" s="35"/>
      <c r="WZ6" s="35"/>
      <c r="XA6" s="35"/>
      <c r="XB6" s="35"/>
      <c r="XC6" s="35"/>
      <c r="XD6" s="35"/>
      <c r="XE6" s="35"/>
      <c r="XF6" s="35"/>
      <c r="XG6" s="35"/>
      <c r="XH6" s="35"/>
      <c r="XI6" s="35"/>
      <c r="XJ6" s="35"/>
      <c r="XK6" s="35"/>
      <c r="XL6" s="35"/>
      <c r="XM6" s="35"/>
      <c r="XN6" s="35"/>
      <c r="XO6" s="35"/>
      <c r="XP6" s="35"/>
      <c r="XQ6" s="35"/>
      <c r="XR6" s="35"/>
      <c r="XS6" s="35"/>
      <c r="XT6" s="35"/>
      <c r="XU6" s="35"/>
      <c r="XV6" s="35"/>
      <c r="XW6" s="35"/>
      <c r="XX6" s="35"/>
      <c r="XY6" s="35"/>
      <c r="XZ6" s="35"/>
      <c r="YA6" s="35"/>
      <c r="YB6" s="35"/>
      <c r="YC6" s="35"/>
      <c r="YD6" s="35"/>
      <c r="YE6" s="35"/>
      <c r="YF6" s="35"/>
      <c r="YG6" s="35"/>
      <c r="YH6" s="35"/>
      <c r="YI6" s="35"/>
      <c r="YJ6" s="35"/>
      <c r="YK6" s="35"/>
      <c r="YL6" s="35"/>
      <c r="YM6" s="35"/>
      <c r="YN6" s="35"/>
      <c r="YO6" s="35"/>
      <c r="YP6" s="35"/>
      <c r="YQ6" s="35"/>
      <c r="YR6" s="35"/>
      <c r="YS6" s="35"/>
      <c r="YT6" s="35"/>
      <c r="YU6" s="35"/>
      <c r="YV6" s="35"/>
      <c r="YW6" s="35"/>
      <c r="YX6" s="35"/>
      <c r="YY6" s="35"/>
      <c r="YZ6" s="35"/>
      <c r="ZA6" s="35"/>
      <c r="ZB6" s="35"/>
      <c r="ZC6" s="35"/>
      <c r="ZD6" s="35"/>
      <c r="ZE6" s="35"/>
      <c r="ZF6" s="35"/>
      <c r="ZG6" s="35"/>
      <c r="ZH6" s="35"/>
      <c r="ZI6" s="35"/>
      <c r="ZJ6" s="35"/>
      <c r="ZK6" s="35"/>
      <c r="ZL6" s="35"/>
      <c r="ZM6" s="35"/>
      <c r="ZN6" s="35"/>
      <c r="ZO6" s="35"/>
      <c r="ZP6" s="35"/>
      <c r="ZQ6" s="35"/>
      <c r="ZR6" s="35"/>
      <c r="ZS6" s="35"/>
      <c r="ZT6" s="35"/>
      <c r="ZU6" s="35"/>
      <c r="ZV6" s="35"/>
      <c r="ZW6" s="35"/>
      <c r="ZX6" s="35"/>
      <c r="ZY6" s="35"/>
      <c r="ZZ6" s="35"/>
      <c r="AAA6" s="35"/>
      <c r="AAB6" s="35"/>
      <c r="AAC6" s="35"/>
      <c r="AAD6" s="35"/>
      <c r="AAE6" s="35"/>
      <c r="AAF6" s="35"/>
      <c r="AAG6" s="35"/>
      <c r="AAH6" s="35"/>
      <c r="AAI6" s="35"/>
      <c r="AAJ6" s="35"/>
      <c r="AAK6" s="35"/>
      <c r="AAL6" s="35"/>
      <c r="AAM6" s="35"/>
      <c r="AAN6" s="35"/>
      <c r="AAO6" s="35"/>
      <c r="AAP6" s="35"/>
      <c r="AAQ6" s="35"/>
      <c r="AAR6" s="35"/>
      <c r="AAS6" s="35"/>
      <c r="AAT6" s="35"/>
      <c r="AAU6" s="35"/>
      <c r="AAV6" s="35"/>
      <c r="AAW6" s="35"/>
      <c r="AAX6" s="35"/>
      <c r="AAY6" s="35"/>
      <c r="AAZ6" s="35"/>
      <c r="ABA6" s="35"/>
      <c r="ABB6" s="35"/>
      <c r="ABC6" s="35"/>
      <c r="ABD6" s="35"/>
      <c r="ABE6" s="35"/>
      <c r="ABF6" s="35"/>
      <c r="ABG6" s="35"/>
      <c r="ABH6" s="35"/>
      <c r="ABI6" s="35"/>
      <c r="ABJ6" s="35"/>
      <c r="ABK6" s="35"/>
      <c r="ABL6" s="35"/>
      <c r="ABM6" s="35"/>
      <c r="ABN6" s="35"/>
      <c r="ABO6" s="35"/>
      <c r="ABP6" s="35"/>
      <c r="ABQ6" s="35"/>
      <c r="ABR6" s="35"/>
      <c r="ABS6" s="35"/>
      <c r="ABT6" s="35"/>
      <c r="ABU6" s="35"/>
      <c r="ABV6" s="35"/>
      <c r="ABW6" s="35"/>
      <c r="ABX6" s="35"/>
      <c r="ABY6" s="35"/>
      <c r="ABZ6" s="35"/>
      <c r="ACA6" s="35"/>
      <c r="ACB6" s="35"/>
      <c r="ACC6" s="35"/>
      <c r="ACD6" s="35"/>
      <c r="ACE6" s="35"/>
      <c r="ACF6" s="35"/>
      <c r="ACG6" s="35"/>
      <c r="ACH6" s="35"/>
      <c r="ACI6" s="35"/>
      <c r="ACJ6" s="35"/>
      <c r="ACK6" s="35"/>
      <c r="ACL6" s="35"/>
      <c r="ACM6" s="35"/>
      <c r="ACN6" s="35"/>
      <c r="ACO6" s="35"/>
      <c r="ACP6" s="35"/>
      <c r="ACQ6" s="35"/>
      <c r="ACR6" s="35"/>
      <c r="ACS6" s="35"/>
      <c r="ACT6" s="35"/>
      <c r="ACU6" s="35"/>
      <c r="ACV6" s="35"/>
      <c r="ACW6" s="35"/>
      <c r="ACX6" s="35"/>
      <c r="ACY6" s="35"/>
      <c r="ACZ6" s="35"/>
      <c r="ADA6" s="35"/>
      <c r="ADB6" s="35"/>
      <c r="ADC6" s="35"/>
      <c r="ADD6" s="35"/>
      <c r="ADE6" s="35"/>
      <c r="ADF6" s="35"/>
      <c r="ADG6" s="35"/>
      <c r="ADH6" s="35"/>
      <c r="ADI6" s="35"/>
      <c r="ADJ6" s="35"/>
      <c r="ADK6" s="35"/>
      <c r="ADL6" s="35"/>
      <c r="ADM6" s="35"/>
      <c r="ADN6" s="35"/>
      <c r="ADO6" s="35"/>
      <c r="ADP6" s="35"/>
      <c r="ADQ6" s="35"/>
      <c r="ADR6" s="35"/>
      <c r="ADS6" s="35"/>
      <c r="ADT6" s="35"/>
      <c r="ADU6" s="35"/>
      <c r="ADV6" s="35"/>
      <c r="ADW6" s="35"/>
      <c r="ADX6" s="35"/>
      <c r="ADY6" s="35"/>
      <c r="ADZ6" s="35"/>
      <c r="AEA6" s="35"/>
      <c r="AEB6" s="35"/>
      <c r="AEC6" s="35"/>
      <c r="AED6" s="35"/>
      <c r="AEE6" s="35"/>
      <c r="AEF6" s="35"/>
      <c r="AEG6" s="35"/>
      <c r="AEH6" s="35"/>
      <c r="AEI6" s="35"/>
      <c r="AEJ6" s="35"/>
      <c r="AEK6" s="35"/>
      <c r="AEL6" s="35"/>
      <c r="AEM6" s="35"/>
      <c r="AEN6" s="35"/>
      <c r="AEO6" s="35"/>
      <c r="AEP6" s="35"/>
      <c r="AEQ6" s="35"/>
      <c r="AER6" s="35"/>
      <c r="AES6" s="35"/>
      <c r="AET6" s="35"/>
      <c r="AEU6" s="35"/>
      <c r="AEV6" s="35"/>
      <c r="AEW6" s="35"/>
      <c r="AEX6" s="35"/>
      <c r="AEY6" s="35"/>
      <c r="AEZ6" s="35"/>
      <c r="AFA6" s="35"/>
      <c r="AFB6" s="35"/>
      <c r="AFC6" s="35"/>
      <c r="AFD6" s="35"/>
      <c r="AFE6" s="35"/>
      <c r="AFF6" s="35"/>
      <c r="AFG6" s="35"/>
      <c r="AFH6" s="35"/>
      <c r="AFI6" s="35"/>
      <c r="AFJ6" s="35"/>
      <c r="AFK6" s="35"/>
      <c r="AFL6" s="35"/>
      <c r="AFM6" s="35"/>
      <c r="AFN6" s="35"/>
      <c r="AFO6" s="35"/>
      <c r="AFP6" s="35"/>
      <c r="AFQ6" s="35"/>
      <c r="AFR6" s="35"/>
      <c r="AFS6" s="35"/>
      <c r="AFT6" s="35"/>
      <c r="AFU6" s="35"/>
      <c r="AFV6" s="35"/>
      <c r="AFW6" s="35"/>
      <c r="AFX6" s="35"/>
      <c r="AFY6" s="35"/>
      <c r="AFZ6" s="35"/>
      <c r="AGA6" s="35"/>
      <c r="AGB6" s="35"/>
      <c r="AGC6" s="35"/>
      <c r="AGD6" s="35"/>
      <c r="AGE6" s="35"/>
      <c r="AGF6" s="35"/>
      <c r="AGG6" s="35"/>
      <c r="AGH6" s="35"/>
      <c r="AGI6" s="35"/>
      <c r="AGJ6" s="35"/>
      <c r="AGK6" s="35"/>
      <c r="AGL6" s="35"/>
      <c r="AGM6" s="35"/>
      <c r="AGN6" s="35"/>
      <c r="AGO6" s="35"/>
      <c r="AGP6" s="35"/>
      <c r="AGQ6" s="35"/>
      <c r="AGR6" s="35"/>
      <c r="AGS6" s="35"/>
      <c r="AGT6" s="35"/>
      <c r="AGU6" s="35"/>
      <c r="AGV6" s="35"/>
      <c r="AGW6" s="35"/>
      <c r="AGX6" s="35"/>
      <c r="AGY6" s="35"/>
      <c r="AGZ6" s="35"/>
      <c r="AHA6" s="35"/>
      <c r="AHB6" s="35"/>
      <c r="AHC6" s="35"/>
      <c r="AHD6" s="35"/>
      <c r="AHE6" s="35"/>
      <c r="AHF6" s="35"/>
      <c r="AHG6" s="35"/>
      <c r="AHH6" s="35"/>
      <c r="AHI6" s="35"/>
      <c r="AHJ6" s="35"/>
      <c r="AHK6" s="35"/>
      <c r="AHL6" s="35"/>
      <c r="AHM6" s="35"/>
      <c r="AHN6" s="35"/>
      <c r="AHO6" s="35"/>
      <c r="AHP6" s="35"/>
      <c r="AHQ6" s="35"/>
      <c r="AHR6" s="35"/>
      <c r="AHS6" s="35"/>
      <c r="AHT6" s="35"/>
      <c r="AHU6" s="35"/>
      <c r="AHV6" s="35"/>
      <c r="AHW6" s="35"/>
      <c r="AHX6" s="35"/>
      <c r="AHY6" s="35"/>
      <c r="AHZ6" s="35"/>
      <c r="AIA6" s="35"/>
      <c r="AIB6" s="35"/>
      <c r="AIC6" s="35"/>
      <c r="AID6" s="35"/>
      <c r="AIE6" s="35"/>
      <c r="AIF6" s="35"/>
      <c r="AIG6" s="35"/>
      <c r="AIH6" s="35"/>
      <c r="AII6" s="35"/>
      <c r="AIJ6" s="35"/>
      <c r="AIK6" s="35"/>
      <c r="AIL6" s="35"/>
      <c r="AIM6" s="35"/>
      <c r="AIN6" s="35"/>
      <c r="AIO6" s="35"/>
      <c r="AIP6" s="35"/>
      <c r="AIQ6" s="35"/>
      <c r="AIR6" s="35"/>
      <c r="AIS6" s="35"/>
      <c r="AIT6" s="35"/>
      <c r="AIU6" s="35"/>
      <c r="AIV6" s="35"/>
      <c r="AIW6" s="35"/>
      <c r="AIX6" s="35"/>
      <c r="AIY6" s="35"/>
      <c r="AIZ6" s="35"/>
      <c r="AJA6" s="35"/>
      <c r="AJB6" s="35"/>
      <c r="AJC6" s="35"/>
      <c r="AJD6" s="35"/>
      <c r="AJE6" s="35"/>
      <c r="AJF6" s="35"/>
      <c r="AJG6" s="35"/>
      <c r="AJH6" s="35"/>
      <c r="AJI6" s="35"/>
      <c r="AJJ6" s="35"/>
      <c r="AJK6" s="35"/>
      <c r="AJL6" s="35"/>
      <c r="AJM6" s="35"/>
      <c r="AJN6" s="35"/>
      <c r="AJO6" s="35"/>
      <c r="AJP6" s="35"/>
      <c r="AJQ6" s="35"/>
      <c r="AJR6" s="35"/>
      <c r="AJS6" s="35"/>
      <c r="AJT6" s="35"/>
      <c r="AJU6" s="35"/>
      <c r="AJV6" s="35"/>
      <c r="AJW6" s="35"/>
      <c r="AJX6" s="35"/>
      <c r="AJY6" s="35"/>
      <c r="AJZ6" s="35"/>
      <c r="AKA6" s="35"/>
      <c r="AKB6" s="35"/>
      <c r="AKC6" s="35"/>
      <c r="AKD6" s="35"/>
      <c r="AKE6" s="35"/>
      <c r="AKF6" s="35"/>
      <c r="AKG6" s="35"/>
      <c r="AKH6" s="35"/>
      <c r="AKI6" s="35"/>
      <c r="AKJ6" s="35"/>
      <c r="AKK6" s="35"/>
      <c r="AKL6" s="35"/>
      <c r="AKM6" s="35"/>
      <c r="AKN6" s="35"/>
      <c r="AKO6" s="35"/>
      <c r="AKP6" s="35"/>
      <c r="AKQ6" s="35"/>
      <c r="AKR6" s="35"/>
      <c r="AKS6" s="35"/>
      <c r="AKT6" s="35"/>
      <c r="AKU6" s="35"/>
      <c r="AKV6" s="35"/>
      <c r="AKW6" s="35"/>
      <c r="AKX6" s="35"/>
      <c r="AKY6" s="35"/>
      <c r="AKZ6" s="35"/>
      <c r="ALA6" s="35"/>
      <c r="ALB6" s="35"/>
      <c r="ALC6" s="35"/>
      <c r="ALD6" s="35"/>
      <c r="ALE6" s="35"/>
      <c r="ALF6" s="35"/>
      <c r="ALG6" s="35"/>
      <c r="ALH6" s="35"/>
      <c r="ALI6" s="35"/>
      <c r="ALJ6" s="35"/>
      <c r="ALK6" s="35"/>
      <c r="ALL6" s="35"/>
      <c r="ALM6" s="35"/>
      <c r="ALN6" s="35"/>
      <c r="ALO6" s="35"/>
      <c r="ALP6" s="35"/>
      <c r="ALQ6" s="35"/>
      <c r="ALR6" s="35"/>
      <c r="ALS6" s="35"/>
      <c r="ALT6" s="35"/>
      <c r="ALU6" s="35"/>
      <c r="ALV6" s="35"/>
      <c r="ALW6" s="35"/>
      <c r="ALX6" s="35"/>
      <c r="ALY6" s="35"/>
      <c r="ALZ6" s="35"/>
      <c r="AMA6" s="35"/>
      <c r="AMB6" s="35"/>
      <c r="AMC6" s="35"/>
      <c r="AMD6" s="35"/>
      <c r="AME6" s="35"/>
      <c r="AMF6" s="35"/>
      <c r="AMG6" s="35"/>
      <c r="AMH6" s="35"/>
      <c r="AMI6" s="35"/>
      <c r="AMJ6" s="35"/>
      <c r="AMK6" s="35"/>
      <c r="AML6" s="35"/>
      <c r="AMM6" s="35"/>
      <c r="AMN6" s="35"/>
      <c r="AMO6" s="35"/>
      <c r="AMP6" s="35"/>
      <c r="AMQ6" s="35"/>
      <c r="AMR6" s="35"/>
      <c r="AMS6" s="35"/>
      <c r="AMT6" s="35"/>
      <c r="AMU6" s="35"/>
      <c r="AMV6" s="35"/>
      <c r="AMW6" s="35"/>
      <c r="AMX6" s="35"/>
      <c r="AMY6" s="35"/>
      <c r="AMZ6" s="35"/>
      <c r="ANA6" s="35"/>
    </row>
    <row r="7" customFormat="false" ht="12.8" hidden="true" customHeight="true" outlineLevel="1" collapsed="false">
      <c r="A7" s="40"/>
      <c r="B7" s="40"/>
      <c r="C7" s="40"/>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A7" s="40"/>
      <c r="BB7" s="40"/>
      <c r="BC7" s="40"/>
      <c r="BD7" s="40"/>
      <c r="BE7" s="40"/>
      <c r="BF7" s="40"/>
      <c r="BG7" s="40"/>
      <c r="BH7" s="40"/>
      <c r="BI7" s="40"/>
      <c r="BJ7" s="40"/>
      <c r="BK7" s="40"/>
      <c r="BL7" s="40"/>
      <c r="BM7" s="40"/>
      <c r="BN7" s="40"/>
      <c r="BO7" s="40"/>
      <c r="BP7" s="40"/>
      <c r="BQ7" s="40"/>
      <c r="BR7" s="40"/>
      <c r="BS7" s="40"/>
      <c r="BT7" s="40"/>
      <c r="BU7" s="40"/>
      <c r="BV7" s="40"/>
      <c r="BW7" s="40" t="s">
        <v>364</v>
      </c>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c r="GJ7" s="35"/>
      <c r="GK7" s="35"/>
      <c r="GL7" s="35"/>
      <c r="GM7" s="35"/>
      <c r="GN7" s="35"/>
      <c r="GO7" s="35"/>
      <c r="GP7" s="35"/>
      <c r="GQ7" s="35"/>
      <c r="GR7" s="35"/>
      <c r="GS7" s="35"/>
      <c r="GT7" s="35"/>
      <c r="GU7" s="35"/>
      <c r="GV7" s="35"/>
      <c r="GW7" s="35"/>
      <c r="GX7" s="35"/>
      <c r="GY7" s="35"/>
      <c r="GZ7" s="35"/>
      <c r="HA7" s="35"/>
      <c r="HB7" s="35"/>
      <c r="HC7" s="35"/>
      <c r="HD7" s="35"/>
      <c r="HE7" s="35"/>
      <c r="HF7" s="35"/>
      <c r="HG7" s="35"/>
      <c r="HH7" s="35"/>
      <c r="HI7" s="35"/>
      <c r="HJ7" s="35"/>
      <c r="HK7" s="35"/>
      <c r="HL7" s="35"/>
      <c r="HM7" s="35"/>
      <c r="HN7" s="35"/>
      <c r="HO7" s="35"/>
      <c r="HP7" s="35"/>
      <c r="HQ7" s="35"/>
      <c r="HR7" s="35"/>
      <c r="HS7" s="35"/>
      <c r="HT7" s="35"/>
      <c r="HU7" s="35"/>
      <c r="HV7" s="35"/>
      <c r="HW7" s="35"/>
      <c r="HX7" s="35"/>
      <c r="HY7" s="35"/>
      <c r="HZ7" s="35"/>
      <c r="IA7" s="35"/>
      <c r="IB7" s="35"/>
      <c r="IC7" s="35"/>
      <c r="ID7" s="35"/>
      <c r="IE7" s="35"/>
      <c r="IF7" s="35"/>
      <c r="IG7" s="35"/>
      <c r="IH7" s="35"/>
      <c r="II7" s="35"/>
      <c r="IJ7" s="35"/>
      <c r="IK7" s="35"/>
      <c r="IL7" s="35"/>
      <c r="IM7" s="35"/>
      <c r="IN7" s="35"/>
      <c r="IO7" s="35"/>
      <c r="IP7" s="35"/>
      <c r="IQ7" s="35"/>
      <c r="IR7" s="35"/>
      <c r="IS7" s="35"/>
      <c r="IT7" s="35"/>
      <c r="IU7" s="35"/>
      <c r="IV7" s="35"/>
      <c r="IW7" s="35"/>
      <c r="IX7" s="35"/>
      <c r="IY7" s="35"/>
      <c r="IZ7" s="35"/>
      <c r="JA7" s="35"/>
      <c r="JB7" s="35"/>
      <c r="JC7" s="35"/>
      <c r="JD7" s="35"/>
      <c r="JE7" s="35"/>
      <c r="JF7" s="35"/>
      <c r="JG7" s="35"/>
      <c r="JH7" s="35"/>
      <c r="JI7" s="35"/>
      <c r="JJ7" s="35"/>
      <c r="JK7" s="35"/>
      <c r="JL7" s="35"/>
      <c r="JM7" s="35"/>
      <c r="JN7" s="35"/>
      <c r="JO7" s="35"/>
      <c r="JP7" s="35"/>
      <c r="JQ7" s="35"/>
      <c r="JR7" s="35"/>
      <c r="JS7" s="35"/>
      <c r="JT7" s="35"/>
      <c r="JU7" s="35"/>
      <c r="JV7" s="35"/>
      <c r="JW7" s="35"/>
      <c r="JX7" s="35"/>
      <c r="JY7" s="35"/>
      <c r="JZ7" s="35"/>
      <c r="KA7" s="35"/>
      <c r="KB7" s="35"/>
      <c r="KC7" s="35"/>
      <c r="KD7" s="35"/>
      <c r="KE7" s="35"/>
      <c r="KF7" s="35"/>
      <c r="KG7" s="35"/>
      <c r="KH7" s="35"/>
      <c r="KI7" s="35"/>
      <c r="KJ7" s="35"/>
      <c r="KK7" s="35"/>
      <c r="KL7" s="35"/>
      <c r="KM7" s="35"/>
      <c r="KN7" s="35"/>
      <c r="KO7" s="35"/>
      <c r="KP7" s="35"/>
      <c r="KQ7" s="35"/>
      <c r="KR7" s="35"/>
      <c r="KS7" s="35"/>
      <c r="KT7" s="35"/>
      <c r="KU7" s="35"/>
      <c r="KV7" s="35"/>
      <c r="KW7" s="35"/>
      <c r="KX7" s="35"/>
      <c r="KY7" s="35"/>
      <c r="KZ7" s="35"/>
      <c r="LA7" s="35"/>
      <c r="LB7" s="35"/>
      <c r="LC7" s="35"/>
      <c r="LD7" s="35"/>
      <c r="LE7" s="35"/>
      <c r="LF7" s="35"/>
      <c r="LG7" s="35"/>
      <c r="LH7" s="35"/>
      <c r="LI7" s="35"/>
      <c r="LJ7" s="35"/>
      <c r="LK7" s="35"/>
      <c r="LL7" s="35"/>
      <c r="LM7" s="35"/>
      <c r="LN7" s="35"/>
      <c r="LO7" s="35"/>
      <c r="LP7" s="35"/>
      <c r="LQ7" s="35"/>
      <c r="LR7" s="35"/>
      <c r="LS7" s="35"/>
      <c r="LT7" s="35"/>
      <c r="LU7" s="35"/>
      <c r="LV7" s="35"/>
      <c r="LW7" s="35"/>
      <c r="LX7" s="35"/>
      <c r="LY7" s="35"/>
      <c r="LZ7" s="35"/>
      <c r="MA7" s="35"/>
      <c r="MB7" s="35"/>
      <c r="MC7" s="35"/>
      <c r="MD7" s="35"/>
      <c r="ME7" s="35"/>
      <c r="MF7" s="35"/>
      <c r="MG7" s="35"/>
      <c r="MH7" s="35"/>
      <c r="MI7" s="35"/>
      <c r="MJ7" s="35"/>
      <c r="MK7" s="35"/>
      <c r="ML7" s="35"/>
      <c r="MM7" s="35"/>
      <c r="MN7" s="35"/>
      <c r="MO7" s="35"/>
      <c r="MP7" s="35"/>
      <c r="MQ7" s="35"/>
      <c r="MR7" s="35"/>
      <c r="MS7" s="35"/>
      <c r="MT7" s="35"/>
      <c r="MU7" s="35"/>
      <c r="MV7" s="35"/>
      <c r="MW7" s="35"/>
      <c r="MX7" s="35"/>
      <c r="MY7" s="35"/>
      <c r="MZ7" s="35"/>
      <c r="NA7" s="35"/>
      <c r="NB7" s="35"/>
      <c r="NC7" s="35"/>
      <c r="ND7" s="35"/>
      <c r="NE7" s="35"/>
      <c r="NF7" s="35"/>
      <c r="NG7" s="35"/>
      <c r="NH7" s="35"/>
      <c r="NI7" s="35"/>
      <c r="NJ7" s="35"/>
      <c r="NK7" s="35"/>
      <c r="NL7" s="35"/>
      <c r="NM7" s="35"/>
      <c r="NN7" s="35"/>
      <c r="NO7" s="35"/>
      <c r="NP7" s="35"/>
      <c r="NQ7" s="35"/>
      <c r="NR7" s="35"/>
      <c r="NS7" s="35"/>
      <c r="NT7" s="35"/>
      <c r="NU7" s="35"/>
      <c r="NV7" s="35"/>
      <c r="NW7" s="35"/>
      <c r="NX7" s="35"/>
      <c r="NY7" s="35"/>
      <c r="NZ7" s="35"/>
      <c r="OA7" s="35"/>
      <c r="OB7" s="35"/>
      <c r="OC7" s="35"/>
      <c r="OD7" s="35"/>
      <c r="OE7" s="35"/>
      <c r="OF7" s="35"/>
      <c r="OG7" s="35"/>
      <c r="OH7" s="35"/>
      <c r="OI7" s="35"/>
      <c r="OJ7" s="35"/>
      <c r="OK7" s="35"/>
      <c r="OL7" s="35"/>
      <c r="OM7" s="35"/>
      <c r="ON7" s="35"/>
      <c r="OO7" s="35"/>
      <c r="OP7" s="35"/>
      <c r="OQ7" s="35"/>
      <c r="OR7" s="35"/>
      <c r="OS7" s="35"/>
      <c r="OT7" s="35"/>
      <c r="OU7" s="35"/>
      <c r="OV7" s="35"/>
      <c r="OW7" s="35"/>
      <c r="OX7" s="35"/>
      <c r="OY7" s="35"/>
      <c r="OZ7" s="35"/>
      <c r="PA7" s="35"/>
      <c r="PB7" s="35"/>
      <c r="PC7" s="35"/>
      <c r="PD7" s="35"/>
      <c r="PE7" s="35"/>
      <c r="PF7" s="35"/>
      <c r="PG7" s="35"/>
      <c r="PH7" s="35"/>
      <c r="PI7" s="35"/>
      <c r="PJ7" s="35"/>
      <c r="PK7" s="35"/>
      <c r="PL7" s="35"/>
      <c r="PM7" s="35"/>
      <c r="PN7" s="35"/>
      <c r="PO7" s="35"/>
      <c r="PP7" s="35"/>
      <c r="PQ7" s="35"/>
      <c r="PR7" s="35"/>
      <c r="PS7" s="35"/>
      <c r="PT7" s="35"/>
      <c r="PU7" s="35"/>
      <c r="PV7" s="35"/>
      <c r="PW7" s="35"/>
      <c r="PX7" s="35"/>
      <c r="PY7" s="35"/>
      <c r="PZ7" s="35"/>
      <c r="QA7" s="35"/>
      <c r="QB7" s="35"/>
      <c r="QC7" s="35"/>
      <c r="QD7" s="35"/>
      <c r="QE7" s="35"/>
      <c r="QF7" s="35"/>
      <c r="QG7" s="35"/>
      <c r="QH7" s="35"/>
      <c r="QI7" s="35"/>
      <c r="QJ7" s="35"/>
      <c r="QK7" s="35"/>
      <c r="QL7" s="35"/>
      <c r="QM7" s="35"/>
      <c r="QN7" s="35"/>
      <c r="QO7" s="35"/>
      <c r="QP7" s="35"/>
      <c r="QQ7" s="35"/>
      <c r="QR7" s="35"/>
      <c r="QS7" s="35"/>
      <c r="QT7" s="35"/>
      <c r="QU7" s="35"/>
      <c r="QV7" s="35"/>
      <c r="QW7" s="35"/>
      <c r="QX7" s="35"/>
      <c r="QY7" s="35"/>
      <c r="QZ7" s="35"/>
      <c r="RA7" s="35"/>
      <c r="RB7" s="35"/>
      <c r="RC7" s="35"/>
      <c r="RD7" s="35"/>
      <c r="RE7" s="35"/>
      <c r="RF7" s="35"/>
      <c r="RG7" s="35"/>
      <c r="RH7" s="35"/>
      <c r="RI7" s="35"/>
      <c r="RJ7" s="35"/>
      <c r="RK7" s="35"/>
      <c r="RL7" s="35"/>
      <c r="RM7" s="35"/>
      <c r="RN7" s="35"/>
      <c r="RO7" s="35"/>
      <c r="RP7" s="35"/>
      <c r="RQ7" s="35"/>
      <c r="RR7" s="35"/>
      <c r="RS7" s="35"/>
      <c r="RT7" s="35"/>
      <c r="RU7" s="35"/>
      <c r="RV7" s="35"/>
      <c r="RW7" s="35"/>
      <c r="RX7" s="35"/>
      <c r="RY7" s="35"/>
      <c r="RZ7" s="35"/>
      <c r="SA7" s="35"/>
      <c r="SB7" s="35"/>
      <c r="SC7" s="35"/>
      <c r="SD7" s="35"/>
      <c r="SE7" s="35"/>
      <c r="SF7" s="35"/>
      <c r="SG7" s="35"/>
      <c r="SH7" s="35"/>
      <c r="SI7" s="35"/>
      <c r="SJ7" s="35"/>
      <c r="SK7" s="35"/>
      <c r="SL7" s="35"/>
      <c r="SM7" s="35"/>
      <c r="SN7" s="35"/>
      <c r="SO7" s="35"/>
      <c r="SP7" s="35"/>
      <c r="SQ7" s="35"/>
      <c r="SR7" s="35"/>
      <c r="SS7" s="35"/>
      <c r="ST7" s="35"/>
      <c r="SU7" s="35"/>
      <c r="SV7" s="35"/>
      <c r="SW7" s="35"/>
      <c r="SX7" s="35"/>
      <c r="SY7" s="35"/>
      <c r="SZ7" s="35"/>
      <c r="TA7" s="35"/>
      <c r="TB7" s="35"/>
      <c r="TC7" s="35"/>
      <c r="TD7" s="35"/>
      <c r="TE7" s="35"/>
      <c r="TF7" s="35"/>
      <c r="TG7" s="35"/>
      <c r="TH7" s="35"/>
      <c r="TI7" s="35"/>
      <c r="TJ7" s="35"/>
      <c r="TK7" s="35"/>
      <c r="TL7" s="35"/>
      <c r="TM7" s="35"/>
      <c r="TN7" s="35"/>
      <c r="TO7" s="35"/>
      <c r="TP7" s="35"/>
      <c r="TQ7" s="35"/>
      <c r="TR7" s="35"/>
      <c r="TS7" s="35"/>
      <c r="TT7" s="35"/>
      <c r="TU7" s="35"/>
      <c r="TV7" s="35"/>
      <c r="TW7" s="35"/>
      <c r="TX7" s="35"/>
      <c r="TY7" s="35"/>
      <c r="TZ7" s="35"/>
      <c r="UA7" s="35"/>
      <c r="UB7" s="35"/>
      <c r="UC7" s="35"/>
      <c r="UD7" s="35"/>
      <c r="UE7" s="35"/>
      <c r="UF7" s="35"/>
      <c r="UG7" s="35"/>
      <c r="UH7" s="35"/>
      <c r="UI7" s="35"/>
      <c r="UJ7" s="35"/>
      <c r="UK7" s="35"/>
      <c r="UL7" s="35"/>
      <c r="UM7" s="35"/>
      <c r="UN7" s="35"/>
      <c r="UO7" s="35"/>
      <c r="UP7" s="35"/>
      <c r="UQ7" s="35"/>
      <c r="UR7" s="35"/>
      <c r="US7" s="35"/>
      <c r="UT7" s="35"/>
      <c r="UU7" s="35"/>
      <c r="UV7" s="35"/>
      <c r="UW7" s="35"/>
      <c r="UX7" s="35"/>
      <c r="UY7" s="35"/>
      <c r="UZ7" s="35"/>
      <c r="VA7" s="35"/>
      <c r="VB7" s="35"/>
      <c r="VC7" s="35"/>
      <c r="VD7" s="35"/>
      <c r="VE7" s="35"/>
      <c r="VF7" s="35"/>
      <c r="VG7" s="35"/>
      <c r="VH7" s="35"/>
      <c r="VI7" s="35"/>
      <c r="VJ7" s="35"/>
      <c r="VK7" s="35"/>
      <c r="VL7" s="35"/>
      <c r="VM7" s="35"/>
      <c r="VN7" s="35"/>
      <c r="VO7" s="35"/>
      <c r="VP7" s="35"/>
      <c r="VQ7" s="35"/>
      <c r="VR7" s="35"/>
      <c r="VS7" s="35"/>
      <c r="VT7" s="35"/>
      <c r="VU7" s="35"/>
      <c r="VV7" s="35"/>
      <c r="VW7" s="35"/>
      <c r="VX7" s="35"/>
      <c r="VY7" s="35"/>
      <c r="VZ7" s="35"/>
      <c r="WA7" s="35"/>
      <c r="WB7" s="35"/>
      <c r="WC7" s="35"/>
      <c r="WD7" s="35"/>
      <c r="WE7" s="35"/>
      <c r="WF7" s="35"/>
      <c r="WG7" s="35"/>
      <c r="WH7" s="35"/>
      <c r="WI7" s="35"/>
      <c r="WJ7" s="35"/>
      <c r="WK7" s="35"/>
      <c r="WL7" s="35"/>
      <c r="WM7" s="35"/>
      <c r="WN7" s="35"/>
      <c r="WO7" s="35"/>
      <c r="WP7" s="35"/>
      <c r="WQ7" s="35"/>
      <c r="WR7" s="35"/>
      <c r="WS7" s="35"/>
      <c r="WT7" s="35"/>
      <c r="WU7" s="35"/>
      <c r="WV7" s="35"/>
      <c r="WW7" s="35"/>
      <c r="WX7" s="35"/>
      <c r="WY7" s="35"/>
      <c r="WZ7" s="35"/>
      <c r="XA7" s="35"/>
      <c r="XB7" s="35"/>
      <c r="XC7" s="35"/>
      <c r="XD7" s="35"/>
      <c r="XE7" s="35"/>
      <c r="XF7" s="35"/>
      <c r="XG7" s="35"/>
      <c r="XH7" s="35"/>
      <c r="XI7" s="35"/>
      <c r="XJ7" s="35"/>
      <c r="XK7" s="35"/>
      <c r="XL7" s="35"/>
      <c r="XM7" s="35"/>
      <c r="XN7" s="35"/>
      <c r="XO7" s="35"/>
      <c r="XP7" s="35"/>
      <c r="XQ7" s="35"/>
      <c r="XR7" s="35"/>
      <c r="XS7" s="35"/>
      <c r="XT7" s="35"/>
      <c r="XU7" s="35"/>
      <c r="XV7" s="35"/>
      <c r="XW7" s="35"/>
      <c r="XX7" s="35"/>
      <c r="XY7" s="35"/>
      <c r="XZ7" s="35"/>
      <c r="YA7" s="35"/>
      <c r="YB7" s="35"/>
      <c r="YC7" s="35"/>
      <c r="YD7" s="35"/>
      <c r="YE7" s="35"/>
      <c r="YF7" s="35"/>
      <c r="YG7" s="35"/>
      <c r="YH7" s="35"/>
      <c r="YI7" s="35"/>
      <c r="YJ7" s="35"/>
      <c r="YK7" s="35"/>
      <c r="YL7" s="35"/>
      <c r="YM7" s="35"/>
      <c r="YN7" s="35"/>
      <c r="YO7" s="35"/>
      <c r="YP7" s="35"/>
      <c r="YQ7" s="35"/>
      <c r="YR7" s="35"/>
      <c r="YS7" s="35"/>
      <c r="YT7" s="35"/>
      <c r="YU7" s="35"/>
      <c r="YV7" s="35"/>
      <c r="YW7" s="35"/>
      <c r="YX7" s="35"/>
      <c r="YY7" s="35"/>
      <c r="YZ7" s="35"/>
      <c r="ZA7" s="35"/>
      <c r="ZB7" s="35"/>
      <c r="ZC7" s="35"/>
      <c r="ZD7" s="35"/>
      <c r="ZE7" s="35"/>
      <c r="ZF7" s="35"/>
      <c r="ZG7" s="35"/>
      <c r="ZH7" s="35"/>
      <c r="ZI7" s="35"/>
      <c r="ZJ7" s="35"/>
      <c r="ZK7" s="35"/>
      <c r="ZL7" s="35"/>
      <c r="ZM7" s="35"/>
      <c r="ZN7" s="35"/>
      <c r="ZO7" s="35"/>
      <c r="ZP7" s="35"/>
      <c r="ZQ7" s="35"/>
      <c r="ZR7" s="35"/>
      <c r="ZS7" s="35"/>
      <c r="ZT7" s="35"/>
      <c r="ZU7" s="35"/>
      <c r="ZV7" s="35"/>
      <c r="ZW7" s="35"/>
      <c r="ZX7" s="35"/>
      <c r="ZY7" s="35"/>
      <c r="ZZ7" s="35"/>
      <c r="AAA7" s="35"/>
      <c r="AAB7" s="35"/>
      <c r="AAC7" s="35"/>
      <c r="AAD7" s="35"/>
      <c r="AAE7" s="35"/>
      <c r="AAF7" s="35"/>
      <c r="AAG7" s="35"/>
      <c r="AAH7" s="35"/>
      <c r="AAI7" s="35"/>
      <c r="AAJ7" s="35"/>
      <c r="AAK7" s="35"/>
      <c r="AAL7" s="35"/>
      <c r="AAM7" s="35"/>
      <c r="AAN7" s="35"/>
      <c r="AAO7" s="35"/>
      <c r="AAP7" s="35"/>
      <c r="AAQ7" s="35"/>
      <c r="AAR7" s="35"/>
      <c r="AAS7" s="35"/>
      <c r="AAT7" s="35"/>
      <c r="AAU7" s="35"/>
      <c r="AAV7" s="35"/>
      <c r="AAW7" s="35"/>
      <c r="AAX7" s="35"/>
      <c r="AAY7" s="35"/>
      <c r="AAZ7" s="35"/>
      <c r="ABA7" s="35"/>
      <c r="ABB7" s="35"/>
      <c r="ABC7" s="35"/>
      <c r="ABD7" s="35"/>
      <c r="ABE7" s="35"/>
      <c r="ABF7" s="35"/>
      <c r="ABG7" s="35"/>
      <c r="ABH7" s="35"/>
      <c r="ABI7" s="35"/>
      <c r="ABJ7" s="35"/>
      <c r="ABK7" s="35"/>
      <c r="ABL7" s="35"/>
      <c r="ABM7" s="35"/>
      <c r="ABN7" s="35"/>
      <c r="ABO7" s="35"/>
      <c r="ABP7" s="35"/>
      <c r="ABQ7" s="35"/>
      <c r="ABR7" s="35"/>
      <c r="ABS7" s="35"/>
      <c r="ABT7" s="35"/>
      <c r="ABU7" s="35"/>
      <c r="ABV7" s="35"/>
      <c r="ABW7" s="35"/>
      <c r="ABX7" s="35"/>
      <c r="ABY7" s="35"/>
      <c r="ABZ7" s="35"/>
      <c r="ACA7" s="35"/>
      <c r="ACB7" s="35"/>
      <c r="ACC7" s="35"/>
      <c r="ACD7" s="35"/>
      <c r="ACE7" s="35"/>
      <c r="ACF7" s="35"/>
      <c r="ACG7" s="35"/>
      <c r="ACH7" s="35"/>
      <c r="ACI7" s="35"/>
      <c r="ACJ7" s="35"/>
      <c r="ACK7" s="35"/>
      <c r="ACL7" s="35"/>
      <c r="ACM7" s="35"/>
      <c r="ACN7" s="35"/>
      <c r="ACO7" s="35"/>
      <c r="ACP7" s="35"/>
      <c r="ACQ7" s="35"/>
      <c r="ACR7" s="35"/>
      <c r="ACS7" s="35"/>
      <c r="ACT7" s="35"/>
      <c r="ACU7" s="35"/>
      <c r="ACV7" s="35"/>
      <c r="ACW7" s="35"/>
      <c r="ACX7" s="35"/>
      <c r="ACY7" s="35"/>
      <c r="ACZ7" s="35"/>
      <c r="ADA7" s="35"/>
      <c r="ADB7" s="35"/>
      <c r="ADC7" s="35"/>
      <c r="ADD7" s="35"/>
      <c r="ADE7" s="35"/>
      <c r="ADF7" s="35"/>
      <c r="ADG7" s="35"/>
      <c r="ADH7" s="35"/>
      <c r="ADI7" s="35"/>
      <c r="ADJ7" s="35"/>
      <c r="ADK7" s="35"/>
      <c r="ADL7" s="35"/>
      <c r="ADM7" s="35"/>
      <c r="ADN7" s="35"/>
      <c r="ADO7" s="35"/>
      <c r="ADP7" s="35"/>
      <c r="ADQ7" s="35"/>
      <c r="ADR7" s="35"/>
      <c r="ADS7" s="35"/>
      <c r="ADT7" s="35"/>
      <c r="ADU7" s="35"/>
      <c r="ADV7" s="35"/>
      <c r="ADW7" s="35"/>
      <c r="ADX7" s="35"/>
      <c r="ADY7" s="35"/>
      <c r="ADZ7" s="35"/>
      <c r="AEA7" s="35"/>
      <c r="AEB7" s="35"/>
      <c r="AEC7" s="35"/>
      <c r="AED7" s="35"/>
      <c r="AEE7" s="35"/>
      <c r="AEF7" s="35"/>
      <c r="AEG7" s="35"/>
      <c r="AEH7" s="35"/>
      <c r="AEI7" s="35"/>
      <c r="AEJ7" s="35"/>
      <c r="AEK7" s="35"/>
      <c r="AEL7" s="35"/>
      <c r="AEM7" s="35"/>
      <c r="AEN7" s="35"/>
      <c r="AEO7" s="35"/>
      <c r="AEP7" s="35"/>
      <c r="AEQ7" s="35"/>
      <c r="AER7" s="35"/>
      <c r="AES7" s="35"/>
      <c r="AET7" s="35"/>
      <c r="AEU7" s="35"/>
      <c r="AEV7" s="35"/>
      <c r="AEW7" s="35"/>
      <c r="AEX7" s="35"/>
      <c r="AEY7" s="35"/>
      <c r="AEZ7" s="35"/>
      <c r="AFA7" s="35"/>
      <c r="AFB7" s="35"/>
      <c r="AFC7" s="35"/>
      <c r="AFD7" s="35"/>
      <c r="AFE7" s="35"/>
      <c r="AFF7" s="35"/>
      <c r="AFG7" s="35"/>
      <c r="AFH7" s="35"/>
      <c r="AFI7" s="35"/>
      <c r="AFJ7" s="35"/>
      <c r="AFK7" s="35"/>
      <c r="AFL7" s="35"/>
      <c r="AFM7" s="35"/>
      <c r="AFN7" s="35"/>
      <c r="AFO7" s="35"/>
      <c r="AFP7" s="35"/>
      <c r="AFQ7" s="35"/>
      <c r="AFR7" s="35"/>
      <c r="AFS7" s="35"/>
      <c r="AFT7" s="35"/>
      <c r="AFU7" s="35"/>
      <c r="AFV7" s="35"/>
      <c r="AFW7" s="35"/>
      <c r="AFX7" s="35"/>
      <c r="AFY7" s="35"/>
      <c r="AFZ7" s="35"/>
      <c r="AGA7" s="35"/>
      <c r="AGB7" s="35"/>
      <c r="AGC7" s="35"/>
      <c r="AGD7" s="35"/>
      <c r="AGE7" s="35"/>
      <c r="AGF7" s="35"/>
      <c r="AGG7" s="35"/>
      <c r="AGH7" s="35"/>
      <c r="AGI7" s="35"/>
      <c r="AGJ7" s="35"/>
      <c r="AGK7" s="35"/>
      <c r="AGL7" s="35"/>
      <c r="AGM7" s="35"/>
      <c r="AGN7" s="35"/>
      <c r="AGO7" s="35"/>
      <c r="AGP7" s="35"/>
      <c r="AGQ7" s="35"/>
      <c r="AGR7" s="35"/>
      <c r="AGS7" s="35"/>
      <c r="AGT7" s="35"/>
      <c r="AGU7" s="35"/>
      <c r="AGV7" s="35"/>
      <c r="AGW7" s="35"/>
      <c r="AGX7" s="35"/>
      <c r="AGY7" s="35"/>
      <c r="AGZ7" s="35"/>
      <c r="AHA7" s="35"/>
      <c r="AHB7" s="35"/>
      <c r="AHC7" s="35"/>
      <c r="AHD7" s="35"/>
      <c r="AHE7" s="35"/>
      <c r="AHF7" s="35"/>
      <c r="AHG7" s="35"/>
      <c r="AHH7" s="35"/>
      <c r="AHI7" s="35"/>
      <c r="AHJ7" s="35"/>
      <c r="AHK7" s="35"/>
      <c r="AHL7" s="35"/>
      <c r="AHM7" s="35"/>
      <c r="AHN7" s="35"/>
      <c r="AHO7" s="35"/>
      <c r="AHP7" s="35"/>
      <c r="AHQ7" s="35"/>
      <c r="AHR7" s="35"/>
      <c r="AHS7" s="35"/>
      <c r="AHT7" s="35"/>
      <c r="AHU7" s="35"/>
      <c r="AHV7" s="35"/>
      <c r="AHW7" s="35"/>
      <c r="AHX7" s="35"/>
      <c r="AHY7" s="35"/>
      <c r="AHZ7" s="35"/>
      <c r="AIA7" s="35"/>
      <c r="AIB7" s="35"/>
      <c r="AIC7" s="35"/>
      <c r="AID7" s="35"/>
      <c r="AIE7" s="35"/>
      <c r="AIF7" s="35"/>
      <c r="AIG7" s="35"/>
      <c r="AIH7" s="35"/>
      <c r="AII7" s="35"/>
      <c r="AIJ7" s="35"/>
      <c r="AIK7" s="35"/>
      <c r="AIL7" s="35"/>
      <c r="AIM7" s="35"/>
      <c r="AIN7" s="35"/>
      <c r="AIO7" s="35"/>
      <c r="AIP7" s="35"/>
      <c r="AIQ7" s="35"/>
      <c r="AIR7" s="35"/>
      <c r="AIS7" s="35"/>
      <c r="AIT7" s="35"/>
      <c r="AIU7" s="35"/>
      <c r="AIV7" s="35"/>
      <c r="AIW7" s="35"/>
      <c r="AIX7" s="35"/>
      <c r="AIY7" s="35"/>
      <c r="AIZ7" s="35"/>
      <c r="AJA7" s="35"/>
      <c r="AJB7" s="35"/>
      <c r="AJC7" s="35"/>
      <c r="AJD7" s="35"/>
      <c r="AJE7" s="35"/>
      <c r="AJF7" s="35"/>
      <c r="AJG7" s="35"/>
      <c r="AJH7" s="35"/>
      <c r="AJI7" s="35"/>
      <c r="AJJ7" s="35"/>
      <c r="AJK7" s="35"/>
      <c r="AJL7" s="35"/>
      <c r="AJM7" s="35"/>
      <c r="AJN7" s="35"/>
      <c r="AJO7" s="35"/>
      <c r="AJP7" s="35"/>
      <c r="AJQ7" s="35"/>
      <c r="AJR7" s="35"/>
      <c r="AJS7" s="35"/>
      <c r="AJT7" s="35"/>
      <c r="AJU7" s="35"/>
      <c r="AJV7" s="35"/>
      <c r="AJW7" s="35"/>
      <c r="AJX7" s="35"/>
      <c r="AJY7" s="35"/>
      <c r="AJZ7" s="35"/>
      <c r="AKA7" s="35"/>
      <c r="AKB7" s="35"/>
      <c r="AKC7" s="35"/>
      <c r="AKD7" s="35"/>
      <c r="AKE7" s="35"/>
      <c r="AKF7" s="35"/>
      <c r="AKG7" s="35"/>
      <c r="AKH7" s="35"/>
      <c r="AKI7" s="35"/>
      <c r="AKJ7" s="35"/>
      <c r="AKK7" s="35"/>
      <c r="AKL7" s="35"/>
      <c r="AKM7" s="35"/>
      <c r="AKN7" s="35"/>
      <c r="AKO7" s="35"/>
      <c r="AKP7" s="35"/>
      <c r="AKQ7" s="35"/>
      <c r="AKR7" s="35"/>
      <c r="AKS7" s="35"/>
      <c r="AKT7" s="35"/>
      <c r="AKU7" s="35"/>
      <c r="AKV7" s="35"/>
      <c r="AKW7" s="35"/>
      <c r="AKX7" s="35"/>
      <c r="AKY7" s="35"/>
      <c r="AKZ7" s="35"/>
      <c r="ALA7" s="35"/>
      <c r="ALB7" s="35"/>
      <c r="ALC7" s="35"/>
      <c r="ALD7" s="35"/>
      <c r="ALE7" s="35"/>
      <c r="ALF7" s="35"/>
      <c r="ALG7" s="35"/>
      <c r="ALH7" s="35"/>
      <c r="ALI7" s="35"/>
      <c r="ALJ7" s="35"/>
      <c r="ALK7" s="35"/>
      <c r="ALL7" s="35"/>
      <c r="ALM7" s="35"/>
      <c r="ALN7" s="35"/>
      <c r="ALO7" s="35"/>
      <c r="ALP7" s="35"/>
      <c r="ALQ7" s="35"/>
      <c r="ALR7" s="35"/>
      <c r="ALS7" s="35"/>
      <c r="ALT7" s="35"/>
      <c r="ALU7" s="35"/>
      <c r="ALV7" s="35"/>
      <c r="ALW7" s="35"/>
      <c r="ALX7" s="35"/>
      <c r="ALY7" s="35"/>
      <c r="ALZ7" s="35"/>
      <c r="AMA7" s="35"/>
      <c r="AMB7" s="35"/>
      <c r="AMC7" s="35"/>
      <c r="AMD7" s="35"/>
      <c r="AME7" s="35"/>
      <c r="AMF7" s="35"/>
      <c r="AMG7" s="35"/>
      <c r="AMH7" s="35"/>
      <c r="AMI7" s="35"/>
      <c r="AMJ7" s="35"/>
      <c r="AMK7" s="35"/>
      <c r="AML7" s="35"/>
      <c r="AMM7" s="35"/>
      <c r="AMN7" s="35"/>
      <c r="AMO7" s="35"/>
      <c r="AMP7" s="35"/>
      <c r="AMQ7" s="35"/>
      <c r="AMR7" s="35"/>
      <c r="AMS7" s="35"/>
      <c r="AMT7" s="35"/>
      <c r="AMU7" s="35"/>
      <c r="AMV7" s="35"/>
      <c r="AMW7" s="35"/>
      <c r="AMX7" s="35"/>
      <c r="AMY7" s="35"/>
      <c r="AMZ7" s="35"/>
      <c r="ANA7" s="35"/>
    </row>
    <row r="8" customFormat="false" ht="12.8" hidden="true" customHeight="true" outlineLevel="1" collapsed="false">
      <c r="A8" s="40"/>
      <c r="B8" s="40"/>
      <c r="C8" s="40"/>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c r="BW8" s="40"/>
      <c r="BX8" s="35"/>
      <c r="BY8" s="35"/>
      <c r="BZ8" s="35"/>
      <c r="CA8" s="35"/>
      <c r="CB8" s="35"/>
      <c r="CC8" s="35"/>
      <c r="CD8" s="35"/>
      <c r="CE8" s="35"/>
      <c r="CF8" s="35"/>
      <c r="CG8" s="35"/>
      <c r="CH8" s="35"/>
      <c r="CI8" s="35"/>
      <c r="CJ8" s="35"/>
      <c r="CK8" s="35"/>
      <c r="CL8" s="35"/>
      <c r="CM8" s="35"/>
      <c r="CN8" s="35"/>
      <c r="CO8" s="35"/>
      <c r="CP8" s="35"/>
      <c r="CQ8" s="35"/>
      <c r="CR8" s="35"/>
      <c r="CS8" s="35"/>
      <c r="CT8" s="35"/>
      <c r="CU8" s="35"/>
      <c r="CV8" s="35"/>
      <c r="CW8" s="35"/>
      <c r="CX8" s="35"/>
      <c r="CY8" s="35"/>
      <c r="CZ8" s="35"/>
      <c r="DA8" s="35"/>
      <c r="DB8" s="35"/>
      <c r="DC8" s="35"/>
      <c r="DD8" s="35"/>
      <c r="DE8" s="35"/>
      <c r="DF8" s="35"/>
      <c r="DG8" s="35"/>
      <c r="DH8" s="35"/>
      <c r="DI8" s="35"/>
      <c r="DJ8" s="35"/>
      <c r="DK8" s="35"/>
      <c r="DL8" s="35"/>
      <c r="DM8" s="35"/>
      <c r="DN8" s="35"/>
      <c r="DO8" s="35"/>
      <c r="DP8" s="35"/>
      <c r="DQ8" s="35"/>
      <c r="DR8" s="35"/>
      <c r="DS8" s="35"/>
      <c r="DT8" s="35"/>
      <c r="DU8" s="35"/>
      <c r="DV8" s="35"/>
      <c r="DW8" s="35"/>
      <c r="DX8" s="35"/>
      <c r="DY8" s="35"/>
      <c r="DZ8" s="35"/>
      <c r="EA8" s="35"/>
      <c r="EB8" s="35"/>
      <c r="EC8" s="35"/>
      <c r="ED8" s="35"/>
      <c r="EE8" s="35"/>
      <c r="EF8" s="35"/>
      <c r="EG8" s="35"/>
      <c r="EH8" s="35"/>
      <c r="EI8" s="35"/>
      <c r="EJ8" s="35"/>
      <c r="EK8" s="35"/>
      <c r="EL8" s="35"/>
      <c r="EM8" s="35"/>
      <c r="EN8" s="35"/>
      <c r="EO8" s="35"/>
      <c r="EP8" s="35"/>
      <c r="EQ8" s="35"/>
      <c r="ER8" s="35"/>
      <c r="ES8" s="35"/>
      <c r="ET8" s="35"/>
      <c r="EU8" s="35"/>
      <c r="EV8" s="35"/>
      <c r="EW8" s="35"/>
      <c r="EX8" s="35"/>
      <c r="EY8" s="35"/>
      <c r="EZ8" s="35"/>
      <c r="FA8" s="35"/>
      <c r="FB8" s="35"/>
      <c r="FC8" s="35"/>
      <c r="FD8" s="35"/>
      <c r="FE8" s="35"/>
      <c r="FF8" s="35"/>
      <c r="FG8" s="35"/>
      <c r="FH8" s="35"/>
      <c r="FI8" s="35"/>
      <c r="FJ8" s="35"/>
      <c r="FK8" s="35"/>
      <c r="FL8" s="35"/>
      <c r="FM8" s="35"/>
      <c r="FN8" s="35"/>
      <c r="FO8" s="35"/>
      <c r="FP8" s="35"/>
      <c r="FQ8" s="35"/>
      <c r="FR8" s="35"/>
      <c r="FS8" s="35"/>
      <c r="FT8" s="35"/>
      <c r="FU8" s="35"/>
      <c r="FV8" s="35"/>
      <c r="FW8" s="35"/>
      <c r="FX8" s="35"/>
      <c r="FY8" s="35"/>
      <c r="FZ8" s="35"/>
      <c r="GA8" s="35"/>
      <c r="GB8" s="35"/>
      <c r="GC8" s="35"/>
      <c r="GD8" s="35"/>
      <c r="GE8" s="35"/>
      <c r="GF8" s="35"/>
      <c r="GG8" s="35"/>
      <c r="GH8" s="35"/>
      <c r="GI8" s="35"/>
      <c r="GJ8" s="35"/>
      <c r="GK8" s="35"/>
      <c r="GL8" s="35"/>
      <c r="GM8" s="35"/>
      <c r="GN8" s="35"/>
      <c r="GO8" s="35"/>
      <c r="GP8" s="35"/>
      <c r="GQ8" s="35"/>
      <c r="GR8" s="35"/>
      <c r="GS8" s="35"/>
      <c r="GT8" s="35"/>
      <c r="GU8" s="35"/>
      <c r="GV8" s="35"/>
      <c r="GW8" s="35"/>
      <c r="GX8" s="35"/>
      <c r="GY8" s="35"/>
      <c r="GZ8" s="35"/>
      <c r="HA8" s="35"/>
      <c r="HB8" s="35"/>
      <c r="HC8" s="35"/>
      <c r="HD8" s="35"/>
      <c r="HE8" s="35"/>
      <c r="HF8" s="35"/>
      <c r="HG8" s="35"/>
      <c r="HH8" s="35"/>
      <c r="HI8" s="35"/>
      <c r="HJ8" s="35"/>
      <c r="HK8" s="35"/>
      <c r="HL8" s="35"/>
      <c r="HM8" s="35"/>
      <c r="HN8" s="35"/>
      <c r="HO8" s="35"/>
      <c r="HP8" s="35"/>
      <c r="HQ8" s="35"/>
      <c r="HR8" s="35"/>
      <c r="HS8" s="35"/>
      <c r="HT8" s="35"/>
      <c r="HU8" s="35"/>
      <c r="HV8" s="35"/>
      <c r="HW8" s="35"/>
      <c r="HX8" s="35"/>
      <c r="HY8" s="35"/>
      <c r="HZ8" s="35"/>
      <c r="IA8" s="35"/>
      <c r="IB8" s="35"/>
      <c r="IC8" s="35"/>
      <c r="ID8" s="35"/>
      <c r="IE8" s="35"/>
      <c r="IF8" s="35"/>
      <c r="IG8" s="35"/>
      <c r="IH8" s="35"/>
      <c r="II8" s="35"/>
      <c r="IJ8" s="35"/>
      <c r="IK8" s="35"/>
      <c r="IL8" s="35"/>
      <c r="IM8" s="35"/>
      <c r="IN8" s="35"/>
      <c r="IO8" s="35"/>
      <c r="IP8" s="35"/>
      <c r="IQ8" s="35"/>
      <c r="IR8" s="35"/>
      <c r="IS8" s="35"/>
      <c r="IT8" s="35"/>
      <c r="IU8" s="35"/>
      <c r="IV8" s="35"/>
      <c r="IW8" s="35"/>
      <c r="IX8" s="35"/>
      <c r="IY8" s="35"/>
      <c r="IZ8" s="35"/>
      <c r="JA8" s="35"/>
      <c r="JB8" s="35"/>
      <c r="JC8" s="35"/>
      <c r="JD8" s="35"/>
      <c r="JE8" s="35"/>
      <c r="JF8" s="35"/>
      <c r="JG8" s="35"/>
      <c r="JH8" s="35"/>
      <c r="JI8" s="35"/>
      <c r="JJ8" s="35"/>
      <c r="JK8" s="35"/>
      <c r="JL8" s="35"/>
      <c r="JM8" s="35"/>
      <c r="JN8" s="35"/>
      <c r="JO8" s="35"/>
      <c r="JP8" s="35"/>
      <c r="JQ8" s="35"/>
      <c r="JR8" s="35"/>
      <c r="JS8" s="35"/>
      <c r="JT8" s="35"/>
      <c r="JU8" s="35"/>
      <c r="JV8" s="35"/>
      <c r="JW8" s="35"/>
      <c r="JX8" s="35"/>
      <c r="JY8" s="35"/>
      <c r="JZ8" s="35"/>
      <c r="KA8" s="35"/>
      <c r="KB8" s="35"/>
      <c r="KC8" s="35"/>
      <c r="KD8" s="35"/>
      <c r="KE8" s="35"/>
      <c r="KF8" s="35"/>
      <c r="KG8" s="35"/>
      <c r="KH8" s="35"/>
      <c r="KI8" s="35"/>
      <c r="KJ8" s="35"/>
      <c r="KK8" s="35"/>
      <c r="KL8" s="35"/>
      <c r="KM8" s="35"/>
      <c r="KN8" s="35"/>
      <c r="KO8" s="35"/>
      <c r="KP8" s="35"/>
      <c r="KQ8" s="35"/>
      <c r="KR8" s="35"/>
      <c r="KS8" s="35"/>
      <c r="KT8" s="35"/>
      <c r="KU8" s="35"/>
      <c r="KV8" s="35"/>
      <c r="KW8" s="35"/>
      <c r="KX8" s="35"/>
      <c r="KY8" s="35"/>
      <c r="KZ8" s="35"/>
      <c r="LA8" s="35"/>
      <c r="LB8" s="35"/>
      <c r="LC8" s="35"/>
      <c r="LD8" s="35"/>
      <c r="LE8" s="35"/>
      <c r="LF8" s="35"/>
      <c r="LG8" s="35"/>
      <c r="LH8" s="35"/>
      <c r="LI8" s="35"/>
      <c r="LJ8" s="35"/>
      <c r="LK8" s="35"/>
      <c r="LL8" s="35"/>
      <c r="LM8" s="35"/>
      <c r="LN8" s="35"/>
      <c r="LO8" s="35"/>
      <c r="LP8" s="35"/>
      <c r="LQ8" s="35"/>
      <c r="LR8" s="35"/>
      <c r="LS8" s="35"/>
      <c r="LT8" s="35"/>
      <c r="LU8" s="35"/>
      <c r="LV8" s="35"/>
      <c r="LW8" s="35"/>
      <c r="LX8" s="35"/>
      <c r="LY8" s="35"/>
      <c r="LZ8" s="35"/>
      <c r="MA8" s="35"/>
      <c r="MB8" s="35"/>
      <c r="MC8" s="35"/>
      <c r="MD8" s="35"/>
      <c r="ME8" s="35"/>
      <c r="MF8" s="35"/>
      <c r="MG8" s="35"/>
      <c r="MH8" s="35"/>
      <c r="MI8" s="35"/>
      <c r="MJ8" s="35"/>
      <c r="MK8" s="35"/>
      <c r="ML8" s="35"/>
      <c r="MM8" s="35"/>
      <c r="MN8" s="35"/>
      <c r="MO8" s="35"/>
      <c r="MP8" s="35"/>
      <c r="MQ8" s="35"/>
      <c r="MR8" s="35"/>
      <c r="MS8" s="35"/>
      <c r="MT8" s="35"/>
      <c r="MU8" s="35"/>
      <c r="MV8" s="35"/>
      <c r="MW8" s="35"/>
      <c r="MX8" s="35"/>
      <c r="MY8" s="35"/>
      <c r="MZ8" s="35"/>
      <c r="NA8" s="35"/>
      <c r="NB8" s="35"/>
      <c r="NC8" s="35"/>
      <c r="ND8" s="35"/>
      <c r="NE8" s="35"/>
      <c r="NF8" s="35"/>
      <c r="NG8" s="35"/>
      <c r="NH8" s="35"/>
      <c r="NI8" s="35"/>
      <c r="NJ8" s="35"/>
      <c r="NK8" s="35"/>
      <c r="NL8" s="35"/>
      <c r="NM8" s="35"/>
      <c r="NN8" s="35"/>
      <c r="NO8" s="35"/>
      <c r="NP8" s="35"/>
      <c r="NQ8" s="35"/>
      <c r="NR8" s="35"/>
      <c r="NS8" s="35"/>
      <c r="NT8" s="35"/>
      <c r="NU8" s="35"/>
      <c r="NV8" s="35"/>
      <c r="NW8" s="35"/>
      <c r="NX8" s="35"/>
      <c r="NY8" s="35"/>
      <c r="NZ8" s="35"/>
      <c r="OA8" s="35"/>
      <c r="OB8" s="35"/>
      <c r="OC8" s="35"/>
      <c r="OD8" s="35"/>
      <c r="OE8" s="35"/>
      <c r="OF8" s="35"/>
      <c r="OG8" s="35"/>
      <c r="OH8" s="35"/>
      <c r="OI8" s="35"/>
      <c r="OJ8" s="35"/>
      <c r="OK8" s="35"/>
      <c r="OL8" s="35"/>
      <c r="OM8" s="35"/>
      <c r="ON8" s="35"/>
      <c r="OO8" s="35"/>
      <c r="OP8" s="35"/>
      <c r="OQ8" s="35"/>
      <c r="OR8" s="35"/>
      <c r="OS8" s="35"/>
      <c r="OT8" s="35"/>
      <c r="OU8" s="35"/>
      <c r="OV8" s="35"/>
      <c r="OW8" s="35"/>
      <c r="OX8" s="35"/>
      <c r="OY8" s="35"/>
      <c r="OZ8" s="35"/>
      <c r="PA8" s="35"/>
      <c r="PB8" s="35"/>
      <c r="PC8" s="35"/>
      <c r="PD8" s="35"/>
      <c r="PE8" s="35"/>
      <c r="PF8" s="35"/>
      <c r="PG8" s="35"/>
      <c r="PH8" s="35"/>
      <c r="PI8" s="35"/>
      <c r="PJ8" s="35"/>
      <c r="PK8" s="35"/>
      <c r="PL8" s="35"/>
      <c r="PM8" s="35"/>
      <c r="PN8" s="35"/>
      <c r="PO8" s="35"/>
      <c r="PP8" s="35"/>
      <c r="PQ8" s="35"/>
      <c r="PR8" s="35"/>
      <c r="PS8" s="35"/>
      <c r="PT8" s="35"/>
      <c r="PU8" s="35"/>
      <c r="PV8" s="35"/>
      <c r="PW8" s="35"/>
      <c r="PX8" s="35"/>
      <c r="PY8" s="35"/>
      <c r="PZ8" s="35"/>
      <c r="QA8" s="35"/>
      <c r="QB8" s="35"/>
      <c r="QC8" s="35"/>
      <c r="QD8" s="35"/>
      <c r="QE8" s="35"/>
      <c r="QF8" s="35"/>
      <c r="QG8" s="35"/>
      <c r="QH8" s="35"/>
      <c r="QI8" s="35"/>
      <c r="QJ8" s="35"/>
      <c r="QK8" s="35"/>
      <c r="QL8" s="35"/>
      <c r="QM8" s="35"/>
      <c r="QN8" s="35"/>
      <c r="QO8" s="35"/>
      <c r="QP8" s="35"/>
      <c r="QQ8" s="35"/>
      <c r="QR8" s="35"/>
      <c r="QS8" s="35"/>
      <c r="QT8" s="35"/>
      <c r="QU8" s="35"/>
      <c r="QV8" s="35"/>
      <c r="QW8" s="35"/>
      <c r="QX8" s="35"/>
      <c r="QY8" s="35"/>
      <c r="QZ8" s="35"/>
      <c r="RA8" s="35"/>
      <c r="RB8" s="35"/>
      <c r="RC8" s="35"/>
      <c r="RD8" s="35"/>
      <c r="RE8" s="35"/>
      <c r="RF8" s="35"/>
      <c r="RG8" s="35"/>
      <c r="RH8" s="35"/>
      <c r="RI8" s="35"/>
      <c r="RJ8" s="35"/>
      <c r="RK8" s="35"/>
      <c r="RL8" s="35"/>
      <c r="RM8" s="35"/>
      <c r="RN8" s="35"/>
      <c r="RO8" s="35"/>
      <c r="RP8" s="35"/>
      <c r="RQ8" s="35"/>
      <c r="RR8" s="35"/>
      <c r="RS8" s="35"/>
      <c r="RT8" s="35"/>
      <c r="RU8" s="35"/>
      <c r="RV8" s="35"/>
      <c r="RW8" s="35"/>
      <c r="RX8" s="35"/>
      <c r="RY8" s="35"/>
      <c r="RZ8" s="35"/>
      <c r="SA8" s="35"/>
      <c r="SB8" s="35"/>
      <c r="SC8" s="35"/>
      <c r="SD8" s="35"/>
      <c r="SE8" s="35"/>
      <c r="SF8" s="35"/>
      <c r="SG8" s="35"/>
      <c r="SH8" s="35"/>
      <c r="SI8" s="35"/>
      <c r="SJ8" s="35"/>
      <c r="SK8" s="35"/>
      <c r="SL8" s="35"/>
      <c r="SM8" s="35"/>
      <c r="SN8" s="35"/>
      <c r="SO8" s="35"/>
      <c r="SP8" s="35"/>
      <c r="SQ8" s="35"/>
      <c r="SR8" s="35"/>
      <c r="SS8" s="35"/>
      <c r="ST8" s="35"/>
      <c r="SU8" s="35"/>
      <c r="SV8" s="35"/>
      <c r="SW8" s="35"/>
      <c r="SX8" s="35"/>
      <c r="SY8" s="35"/>
      <c r="SZ8" s="35"/>
      <c r="TA8" s="35"/>
      <c r="TB8" s="35"/>
      <c r="TC8" s="35"/>
      <c r="TD8" s="35"/>
      <c r="TE8" s="35"/>
      <c r="TF8" s="35"/>
      <c r="TG8" s="35"/>
      <c r="TH8" s="35"/>
      <c r="TI8" s="35"/>
      <c r="TJ8" s="35"/>
      <c r="TK8" s="35"/>
      <c r="TL8" s="35"/>
      <c r="TM8" s="35"/>
      <c r="TN8" s="35"/>
      <c r="TO8" s="35"/>
      <c r="TP8" s="35"/>
      <c r="TQ8" s="35"/>
      <c r="TR8" s="35"/>
      <c r="TS8" s="35"/>
      <c r="TT8" s="35"/>
      <c r="TU8" s="35"/>
      <c r="TV8" s="35"/>
      <c r="TW8" s="35"/>
      <c r="TX8" s="35"/>
      <c r="TY8" s="35"/>
      <c r="TZ8" s="35"/>
      <c r="UA8" s="35"/>
      <c r="UB8" s="35"/>
      <c r="UC8" s="35"/>
      <c r="UD8" s="35"/>
      <c r="UE8" s="35"/>
      <c r="UF8" s="35"/>
      <c r="UG8" s="35"/>
      <c r="UH8" s="35"/>
      <c r="UI8" s="35"/>
      <c r="UJ8" s="35"/>
      <c r="UK8" s="35"/>
      <c r="UL8" s="35"/>
      <c r="UM8" s="35"/>
      <c r="UN8" s="35"/>
      <c r="UO8" s="35"/>
      <c r="UP8" s="35"/>
      <c r="UQ8" s="35"/>
      <c r="UR8" s="35"/>
      <c r="US8" s="35"/>
      <c r="UT8" s="35"/>
      <c r="UU8" s="35"/>
      <c r="UV8" s="35"/>
      <c r="UW8" s="35"/>
      <c r="UX8" s="35"/>
      <c r="UY8" s="35"/>
      <c r="UZ8" s="35"/>
      <c r="VA8" s="35"/>
      <c r="VB8" s="35"/>
      <c r="VC8" s="35"/>
      <c r="VD8" s="35"/>
      <c r="VE8" s="35"/>
      <c r="VF8" s="35"/>
      <c r="VG8" s="35"/>
      <c r="VH8" s="35"/>
      <c r="VI8" s="35"/>
      <c r="VJ8" s="35"/>
      <c r="VK8" s="35"/>
      <c r="VL8" s="35"/>
      <c r="VM8" s="35"/>
      <c r="VN8" s="35"/>
      <c r="VO8" s="35"/>
      <c r="VP8" s="35"/>
      <c r="VQ8" s="35"/>
      <c r="VR8" s="35"/>
      <c r="VS8" s="35"/>
      <c r="VT8" s="35"/>
      <c r="VU8" s="35"/>
      <c r="VV8" s="35"/>
      <c r="VW8" s="35"/>
      <c r="VX8" s="35"/>
      <c r="VY8" s="35"/>
      <c r="VZ8" s="35"/>
      <c r="WA8" s="35"/>
      <c r="WB8" s="35"/>
      <c r="WC8" s="35"/>
      <c r="WD8" s="35"/>
      <c r="WE8" s="35"/>
      <c r="WF8" s="35"/>
      <c r="WG8" s="35"/>
      <c r="WH8" s="35"/>
      <c r="WI8" s="35"/>
      <c r="WJ8" s="35"/>
      <c r="WK8" s="35"/>
      <c r="WL8" s="35"/>
      <c r="WM8" s="35"/>
      <c r="WN8" s="35"/>
      <c r="WO8" s="35"/>
      <c r="WP8" s="35"/>
      <c r="WQ8" s="35"/>
      <c r="WR8" s="35"/>
      <c r="WS8" s="35"/>
      <c r="WT8" s="35"/>
      <c r="WU8" s="35"/>
      <c r="WV8" s="35"/>
      <c r="WW8" s="35"/>
      <c r="WX8" s="35"/>
      <c r="WY8" s="35"/>
      <c r="WZ8" s="35"/>
      <c r="XA8" s="35"/>
      <c r="XB8" s="35"/>
      <c r="XC8" s="35"/>
      <c r="XD8" s="35"/>
      <c r="XE8" s="35"/>
      <c r="XF8" s="35"/>
      <c r="XG8" s="35"/>
      <c r="XH8" s="35"/>
      <c r="XI8" s="35"/>
      <c r="XJ8" s="35"/>
      <c r="XK8" s="35"/>
      <c r="XL8" s="35"/>
      <c r="XM8" s="35"/>
      <c r="XN8" s="35"/>
      <c r="XO8" s="35"/>
      <c r="XP8" s="35"/>
      <c r="XQ8" s="35"/>
      <c r="XR8" s="35"/>
      <c r="XS8" s="35"/>
      <c r="XT8" s="35"/>
      <c r="XU8" s="35"/>
      <c r="XV8" s="35"/>
      <c r="XW8" s="35"/>
      <c r="XX8" s="35"/>
      <c r="XY8" s="35"/>
      <c r="XZ8" s="35"/>
      <c r="YA8" s="35"/>
      <c r="YB8" s="35"/>
      <c r="YC8" s="35"/>
      <c r="YD8" s="35"/>
      <c r="YE8" s="35"/>
      <c r="YF8" s="35"/>
      <c r="YG8" s="35"/>
      <c r="YH8" s="35"/>
      <c r="YI8" s="35"/>
      <c r="YJ8" s="35"/>
      <c r="YK8" s="35"/>
      <c r="YL8" s="35"/>
      <c r="YM8" s="35"/>
      <c r="YN8" s="35"/>
      <c r="YO8" s="35"/>
      <c r="YP8" s="35"/>
      <c r="YQ8" s="35"/>
      <c r="YR8" s="35"/>
      <c r="YS8" s="35"/>
      <c r="YT8" s="35"/>
      <c r="YU8" s="35"/>
      <c r="YV8" s="35"/>
      <c r="YW8" s="35"/>
      <c r="YX8" s="35"/>
      <c r="YY8" s="35"/>
      <c r="YZ8" s="35"/>
      <c r="ZA8" s="35"/>
      <c r="ZB8" s="35"/>
      <c r="ZC8" s="35"/>
      <c r="ZD8" s="35"/>
      <c r="ZE8" s="35"/>
      <c r="ZF8" s="35"/>
      <c r="ZG8" s="35"/>
      <c r="ZH8" s="35"/>
      <c r="ZI8" s="35"/>
      <c r="ZJ8" s="35"/>
      <c r="ZK8" s="35"/>
      <c r="ZL8" s="35"/>
      <c r="ZM8" s="35"/>
      <c r="ZN8" s="35"/>
      <c r="ZO8" s="35"/>
      <c r="ZP8" s="35"/>
      <c r="ZQ8" s="35"/>
      <c r="ZR8" s="35"/>
      <c r="ZS8" s="35"/>
      <c r="ZT8" s="35"/>
      <c r="ZU8" s="35"/>
      <c r="ZV8" s="35"/>
      <c r="ZW8" s="35"/>
      <c r="ZX8" s="35"/>
      <c r="ZY8" s="35"/>
      <c r="ZZ8" s="35"/>
      <c r="AAA8" s="35"/>
      <c r="AAB8" s="35"/>
      <c r="AAC8" s="35"/>
      <c r="AAD8" s="35"/>
      <c r="AAE8" s="35"/>
      <c r="AAF8" s="35"/>
      <c r="AAG8" s="35"/>
      <c r="AAH8" s="35"/>
      <c r="AAI8" s="35"/>
      <c r="AAJ8" s="35"/>
      <c r="AAK8" s="35"/>
      <c r="AAL8" s="35"/>
      <c r="AAM8" s="35"/>
      <c r="AAN8" s="35"/>
      <c r="AAO8" s="35"/>
      <c r="AAP8" s="35"/>
      <c r="AAQ8" s="35"/>
      <c r="AAR8" s="35"/>
      <c r="AAS8" s="35"/>
      <c r="AAT8" s="35"/>
      <c r="AAU8" s="35"/>
      <c r="AAV8" s="35"/>
      <c r="AAW8" s="35"/>
      <c r="AAX8" s="35"/>
      <c r="AAY8" s="35"/>
      <c r="AAZ8" s="35"/>
      <c r="ABA8" s="35"/>
      <c r="ABB8" s="35"/>
      <c r="ABC8" s="35"/>
      <c r="ABD8" s="35"/>
      <c r="ABE8" s="35"/>
      <c r="ABF8" s="35"/>
      <c r="ABG8" s="35"/>
      <c r="ABH8" s="35"/>
      <c r="ABI8" s="35"/>
      <c r="ABJ8" s="35"/>
      <c r="ABK8" s="35"/>
      <c r="ABL8" s="35"/>
      <c r="ABM8" s="35"/>
      <c r="ABN8" s="35"/>
      <c r="ABO8" s="35"/>
      <c r="ABP8" s="35"/>
      <c r="ABQ8" s="35"/>
      <c r="ABR8" s="35"/>
      <c r="ABS8" s="35"/>
      <c r="ABT8" s="35"/>
      <c r="ABU8" s="35"/>
      <c r="ABV8" s="35"/>
      <c r="ABW8" s="35"/>
      <c r="ABX8" s="35"/>
      <c r="ABY8" s="35"/>
      <c r="ABZ8" s="35"/>
      <c r="ACA8" s="35"/>
      <c r="ACB8" s="35"/>
      <c r="ACC8" s="35"/>
      <c r="ACD8" s="35"/>
      <c r="ACE8" s="35"/>
      <c r="ACF8" s="35"/>
      <c r="ACG8" s="35"/>
      <c r="ACH8" s="35"/>
      <c r="ACI8" s="35"/>
      <c r="ACJ8" s="35"/>
      <c r="ACK8" s="35"/>
      <c r="ACL8" s="35"/>
      <c r="ACM8" s="35"/>
      <c r="ACN8" s="35"/>
      <c r="ACO8" s="35"/>
      <c r="ACP8" s="35"/>
      <c r="ACQ8" s="35"/>
      <c r="ACR8" s="35"/>
      <c r="ACS8" s="35"/>
      <c r="ACT8" s="35"/>
      <c r="ACU8" s="35"/>
      <c r="ACV8" s="35"/>
      <c r="ACW8" s="35"/>
      <c r="ACX8" s="35"/>
      <c r="ACY8" s="35"/>
      <c r="ACZ8" s="35"/>
      <c r="ADA8" s="35"/>
      <c r="ADB8" s="35"/>
      <c r="ADC8" s="35"/>
      <c r="ADD8" s="35"/>
      <c r="ADE8" s="35"/>
      <c r="ADF8" s="35"/>
      <c r="ADG8" s="35"/>
      <c r="ADH8" s="35"/>
      <c r="ADI8" s="35"/>
      <c r="ADJ8" s="35"/>
      <c r="ADK8" s="35"/>
      <c r="ADL8" s="35"/>
      <c r="ADM8" s="35"/>
      <c r="ADN8" s="35"/>
      <c r="ADO8" s="35"/>
      <c r="ADP8" s="35"/>
      <c r="ADQ8" s="35"/>
      <c r="ADR8" s="35"/>
      <c r="ADS8" s="35"/>
      <c r="ADT8" s="35"/>
      <c r="ADU8" s="35"/>
      <c r="ADV8" s="35"/>
      <c r="ADW8" s="35"/>
      <c r="ADX8" s="35"/>
      <c r="ADY8" s="35"/>
      <c r="ADZ8" s="35"/>
      <c r="AEA8" s="35"/>
      <c r="AEB8" s="35"/>
      <c r="AEC8" s="35"/>
      <c r="AED8" s="35"/>
      <c r="AEE8" s="35"/>
      <c r="AEF8" s="35"/>
      <c r="AEG8" s="35"/>
      <c r="AEH8" s="35"/>
      <c r="AEI8" s="35"/>
      <c r="AEJ8" s="35"/>
      <c r="AEK8" s="35"/>
      <c r="AEL8" s="35"/>
      <c r="AEM8" s="35"/>
      <c r="AEN8" s="35"/>
      <c r="AEO8" s="35"/>
      <c r="AEP8" s="35"/>
      <c r="AEQ8" s="35"/>
      <c r="AER8" s="35"/>
      <c r="AES8" s="35"/>
      <c r="AET8" s="35"/>
      <c r="AEU8" s="35"/>
      <c r="AEV8" s="35"/>
      <c r="AEW8" s="35"/>
      <c r="AEX8" s="35"/>
      <c r="AEY8" s="35"/>
      <c r="AEZ8" s="35"/>
      <c r="AFA8" s="35"/>
      <c r="AFB8" s="35"/>
      <c r="AFC8" s="35"/>
      <c r="AFD8" s="35"/>
      <c r="AFE8" s="35"/>
      <c r="AFF8" s="35"/>
      <c r="AFG8" s="35"/>
      <c r="AFH8" s="35"/>
      <c r="AFI8" s="35"/>
      <c r="AFJ8" s="35"/>
      <c r="AFK8" s="35"/>
      <c r="AFL8" s="35"/>
      <c r="AFM8" s="35"/>
      <c r="AFN8" s="35"/>
      <c r="AFO8" s="35"/>
      <c r="AFP8" s="35"/>
      <c r="AFQ8" s="35"/>
      <c r="AFR8" s="35"/>
      <c r="AFS8" s="35"/>
      <c r="AFT8" s="35"/>
      <c r="AFU8" s="35"/>
      <c r="AFV8" s="35"/>
      <c r="AFW8" s="35"/>
      <c r="AFX8" s="35"/>
      <c r="AFY8" s="35"/>
      <c r="AFZ8" s="35"/>
      <c r="AGA8" s="35"/>
      <c r="AGB8" s="35"/>
      <c r="AGC8" s="35"/>
      <c r="AGD8" s="35"/>
      <c r="AGE8" s="35"/>
      <c r="AGF8" s="35"/>
      <c r="AGG8" s="35"/>
      <c r="AGH8" s="35"/>
      <c r="AGI8" s="35"/>
      <c r="AGJ8" s="35"/>
      <c r="AGK8" s="35"/>
      <c r="AGL8" s="35"/>
      <c r="AGM8" s="35"/>
      <c r="AGN8" s="35"/>
      <c r="AGO8" s="35"/>
      <c r="AGP8" s="35"/>
      <c r="AGQ8" s="35"/>
      <c r="AGR8" s="35"/>
      <c r="AGS8" s="35"/>
      <c r="AGT8" s="35"/>
      <c r="AGU8" s="35"/>
      <c r="AGV8" s="35"/>
      <c r="AGW8" s="35"/>
      <c r="AGX8" s="35"/>
      <c r="AGY8" s="35"/>
      <c r="AGZ8" s="35"/>
      <c r="AHA8" s="35"/>
      <c r="AHB8" s="35"/>
      <c r="AHC8" s="35"/>
      <c r="AHD8" s="35"/>
      <c r="AHE8" s="35"/>
      <c r="AHF8" s="35"/>
      <c r="AHG8" s="35"/>
      <c r="AHH8" s="35"/>
      <c r="AHI8" s="35"/>
      <c r="AHJ8" s="35"/>
      <c r="AHK8" s="35"/>
      <c r="AHL8" s="35"/>
      <c r="AHM8" s="35"/>
      <c r="AHN8" s="35"/>
      <c r="AHO8" s="35"/>
      <c r="AHP8" s="35"/>
      <c r="AHQ8" s="35"/>
      <c r="AHR8" s="35"/>
      <c r="AHS8" s="35"/>
      <c r="AHT8" s="35"/>
      <c r="AHU8" s="35"/>
      <c r="AHV8" s="35"/>
      <c r="AHW8" s="35"/>
      <c r="AHX8" s="35"/>
      <c r="AHY8" s="35"/>
      <c r="AHZ8" s="35"/>
      <c r="AIA8" s="35"/>
      <c r="AIB8" s="35"/>
      <c r="AIC8" s="35"/>
      <c r="AID8" s="35"/>
      <c r="AIE8" s="35"/>
      <c r="AIF8" s="35"/>
      <c r="AIG8" s="35"/>
      <c r="AIH8" s="35"/>
      <c r="AII8" s="35"/>
      <c r="AIJ8" s="35"/>
      <c r="AIK8" s="35"/>
      <c r="AIL8" s="35"/>
      <c r="AIM8" s="35"/>
      <c r="AIN8" s="35"/>
      <c r="AIO8" s="35"/>
      <c r="AIP8" s="35"/>
      <c r="AIQ8" s="35"/>
      <c r="AIR8" s="35"/>
      <c r="AIS8" s="35"/>
      <c r="AIT8" s="35"/>
      <c r="AIU8" s="35"/>
      <c r="AIV8" s="35"/>
      <c r="AIW8" s="35"/>
      <c r="AIX8" s="35"/>
      <c r="AIY8" s="35"/>
      <c r="AIZ8" s="35"/>
      <c r="AJA8" s="35"/>
      <c r="AJB8" s="35"/>
      <c r="AJC8" s="35"/>
      <c r="AJD8" s="35"/>
      <c r="AJE8" s="35"/>
      <c r="AJF8" s="35"/>
      <c r="AJG8" s="35"/>
      <c r="AJH8" s="35"/>
      <c r="AJI8" s="35"/>
      <c r="AJJ8" s="35"/>
      <c r="AJK8" s="35"/>
      <c r="AJL8" s="35"/>
      <c r="AJM8" s="35"/>
      <c r="AJN8" s="35"/>
      <c r="AJO8" s="35"/>
      <c r="AJP8" s="35"/>
      <c r="AJQ8" s="35"/>
      <c r="AJR8" s="35"/>
      <c r="AJS8" s="35"/>
      <c r="AJT8" s="35"/>
      <c r="AJU8" s="35"/>
      <c r="AJV8" s="35"/>
      <c r="AJW8" s="35"/>
      <c r="AJX8" s="35"/>
      <c r="AJY8" s="35"/>
      <c r="AJZ8" s="35"/>
      <c r="AKA8" s="35"/>
      <c r="AKB8" s="35"/>
      <c r="AKC8" s="35"/>
      <c r="AKD8" s="35"/>
      <c r="AKE8" s="35"/>
      <c r="AKF8" s="35"/>
      <c r="AKG8" s="35"/>
      <c r="AKH8" s="35"/>
      <c r="AKI8" s="35"/>
      <c r="AKJ8" s="35"/>
      <c r="AKK8" s="35"/>
      <c r="AKL8" s="35"/>
      <c r="AKM8" s="35"/>
      <c r="AKN8" s="35"/>
      <c r="AKO8" s="35"/>
      <c r="AKP8" s="35"/>
      <c r="AKQ8" s="35"/>
      <c r="AKR8" s="35"/>
      <c r="AKS8" s="35"/>
      <c r="AKT8" s="35"/>
      <c r="AKU8" s="35"/>
      <c r="AKV8" s="35"/>
      <c r="AKW8" s="35"/>
      <c r="AKX8" s="35"/>
      <c r="AKY8" s="35"/>
      <c r="AKZ8" s="35"/>
      <c r="ALA8" s="35"/>
      <c r="ALB8" s="35"/>
      <c r="ALC8" s="35"/>
      <c r="ALD8" s="35"/>
      <c r="ALE8" s="35"/>
      <c r="ALF8" s="35"/>
      <c r="ALG8" s="35"/>
      <c r="ALH8" s="35"/>
      <c r="ALI8" s="35"/>
      <c r="ALJ8" s="35"/>
      <c r="ALK8" s="35"/>
      <c r="ALL8" s="35"/>
      <c r="ALM8" s="35"/>
      <c r="ALN8" s="35"/>
      <c r="ALO8" s="35"/>
      <c r="ALP8" s="35"/>
      <c r="ALQ8" s="35"/>
      <c r="ALR8" s="35"/>
      <c r="ALS8" s="35"/>
      <c r="ALT8" s="35"/>
      <c r="ALU8" s="35"/>
      <c r="ALV8" s="35"/>
      <c r="ALW8" s="35"/>
      <c r="ALX8" s="35"/>
      <c r="ALY8" s="35"/>
      <c r="ALZ8" s="35"/>
      <c r="AMA8" s="35"/>
      <c r="AMB8" s="35"/>
      <c r="AMC8" s="35"/>
      <c r="AMD8" s="35"/>
      <c r="AME8" s="35"/>
      <c r="AMF8" s="35"/>
      <c r="AMG8" s="35"/>
      <c r="AMH8" s="35"/>
      <c r="AMI8" s="35"/>
      <c r="AMJ8" s="35"/>
      <c r="AMK8" s="35"/>
      <c r="AML8" s="35"/>
      <c r="AMM8" s="35"/>
      <c r="AMN8" s="35"/>
      <c r="AMO8" s="35"/>
      <c r="AMP8" s="35"/>
      <c r="AMQ8" s="35"/>
      <c r="AMR8" s="35"/>
      <c r="AMS8" s="35"/>
      <c r="AMT8" s="35"/>
      <c r="AMU8" s="35"/>
      <c r="AMV8" s="35"/>
      <c r="AMW8" s="35"/>
      <c r="AMX8" s="35"/>
      <c r="AMY8" s="35"/>
      <c r="AMZ8" s="35"/>
      <c r="ANA8" s="35"/>
    </row>
    <row r="9" customFormat="false" ht="12.8" hidden="true" customHeight="true" outlineLevel="1" collapsed="false">
      <c r="A9" s="40"/>
      <c r="B9" s="40"/>
      <c r="C9" s="40"/>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c r="BK9" s="40"/>
      <c r="BL9" s="40"/>
      <c r="BM9" s="40"/>
      <c r="BN9" s="40"/>
      <c r="BO9" s="40"/>
      <c r="BP9" s="40"/>
      <c r="BQ9" s="40"/>
      <c r="BR9" s="40"/>
      <c r="BS9" s="40"/>
      <c r="BT9" s="40"/>
      <c r="BU9" s="40"/>
      <c r="BV9" s="40"/>
      <c r="BW9" s="40"/>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5"/>
      <c r="GC9" s="35"/>
      <c r="GD9" s="35"/>
      <c r="GE9" s="35"/>
      <c r="GF9" s="35"/>
      <c r="GG9" s="35"/>
      <c r="GH9" s="35"/>
      <c r="GI9" s="35"/>
      <c r="GJ9" s="35"/>
      <c r="GK9" s="35"/>
      <c r="GL9" s="35"/>
      <c r="GM9" s="35"/>
      <c r="GN9" s="35"/>
      <c r="GO9" s="35"/>
      <c r="GP9" s="35"/>
      <c r="GQ9" s="35"/>
      <c r="GR9" s="35"/>
      <c r="GS9" s="35"/>
      <c r="GT9" s="35"/>
      <c r="GU9" s="35"/>
      <c r="GV9" s="35"/>
      <c r="GW9" s="35"/>
      <c r="GX9" s="35"/>
      <c r="GY9" s="35"/>
      <c r="GZ9" s="35"/>
      <c r="HA9" s="35"/>
      <c r="HB9" s="35"/>
      <c r="HC9" s="35"/>
      <c r="HD9" s="35"/>
      <c r="HE9" s="35"/>
      <c r="HF9" s="35"/>
      <c r="HG9" s="35"/>
      <c r="HH9" s="35"/>
      <c r="HI9" s="35"/>
      <c r="HJ9" s="35"/>
      <c r="HK9" s="35"/>
      <c r="HL9" s="35"/>
      <c r="HM9" s="35"/>
      <c r="HN9" s="35"/>
      <c r="HO9" s="35"/>
      <c r="HP9" s="35"/>
      <c r="HQ9" s="35"/>
      <c r="HR9" s="35"/>
      <c r="HS9" s="35"/>
      <c r="HT9" s="35"/>
      <c r="HU9" s="35"/>
      <c r="HV9" s="35"/>
      <c r="HW9" s="35"/>
      <c r="HX9" s="35"/>
      <c r="HY9" s="35"/>
      <c r="HZ9" s="35"/>
      <c r="IA9" s="35"/>
      <c r="IB9" s="35"/>
      <c r="IC9" s="35"/>
      <c r="ID9" s="35"/>
      <c r="IE9" s="35"/>
      <c r="IF9" s="35"/>
      <c r="IG9" s="35"/>
      <c r="IH9" s="35"/>
      <c r="II9" s="35"/>
      <c r="IJ9" s="35"/>
      <c r="IK9" s="35"/>
      <c r="IL9" s="35"/>
      <c r="IM9" s="35"/>
      <c r="IN9" s="35"/>
      <c r="IO9" s="35"/>
      <c r="IP9" s="35"/>
      <c r="IQ9" s="35"/>
      <c r="IR9" s="35"/>
      <c r="IS9" s="35"/>
      <c r="IT9" s="35"/>
      <c r="IU9" s="35"/>
      <c r="IV9" s="35"/>
      <c r="IW9" s="35"/>
      <c r="IX9" s="35"/>
      <c r="IY9" s="35"/>
      <c r="IZ9" s="35"/>
      <c r="JA9" s="35"/>
      <c r="JB9" s="35"/>
      <c r="JC9" s="35"/>
      <c r="JD9" s="35"/>
      <c r="JE9" s="35"/>
      <c r="JF9" s="35"/>
      <c r="JG9" s="35"/>
      <c r="JH9" s="35"/>
      <c r="JI9" s="35"/>
      <c r="JJ9" s="35"/>
      <c r="JK9" s="35"/>
      <c r="JL9" s="35"/>
      <c r="JM9" s="35"/>
      <c r="JN9" s="35"/>
      <c r="JO9" s="35"/>
      <c r="JP9" s="35"/>
      <c r="JQ9" s="35"/>
      <c r="JR9" s="35"/>
      <c r="JS9" s="35"/>
      <c r="JT9" s="35"/>
      <c r="JU9" s="35"/>
      <c r="JV9" s="35"/>
      <c r="JW9" s="35"/>
      <c r="JX9" s="35"/>
      <c r="JY9" s="35"/>
      <c r="JZ9" s="35"/>
      <c r="KA9" s="35"/>
      <c r="KB9" s="35"/>
      <c r="KC9" s="35"/>
      <c r="KD9" s="35"/>
      <c r="KE9" s="35"/>
      <c r="KF9" s="35"/>
      <c r="KG9" s="35"/>
      <c r="KH9" s="35"/>
      <c r="KI9" s="35"/>
      <c r="KJ9" s="35"/>
      <c r="KK9" s="35"/>
      <c r="KL9" s="35"/>
      <c r="KM9" s="35"/>
      <c r="KN9" s="35"/>
      <c r="KO9" s="35"/>
      <c r="KP9" s="35"/>
      <c r="KQ9" s="35"/>
      <c r="KR9" s="35"/>
      <c r="KS9" s="35"/>
      <c r="KT9" s="35"/>
      <c r="KU9" s="35"/>
      <c r="KV9" s="35"/>
      <c r="KW9" s="35"/>
      <c r="KX9" s="35"/>
      <c r="KY9" s="35"/>
      <c r="KZ9" s="35"/>
      <c r="LA9" s="35"/>
      <c r="LB9" s="35"/>
      <c r="LC9" s="35"/>
      <c r="LD9" s="35"/>
      <c r="LE9" s="35"/>
      <c r="LF9" s="35"/>
      <c r="LG9" s="35"/>
      <c r="LH9" s="35"/>
      <c r="LI9" s="35"/>
      <c r="LJ9" s="35"/>
      <c r="LK9" s="35"/>
      <c r="LL9" s="35"/>
      <c r="LM9" s="35"/>
      <c r="LN9" s="35"/>
      <c r="LO9" s="35"/>
      <c r="LP9" s="35"/>
      <c r="LQ9" s="35"/>
      <c r="LR9" s="35"/>
      <c r="LS9" s="35"/>
      <c r="LT9" s="35"/>
      <c r="LU9" s="35"/>
      <c r="LV9" s="35"/>
      <c r="LW9" s="35"/>
      <c r="LX9" s="35"/>
      <c r="LY9" s="35"/>
      <c r="LZ9" s="35"/>
      <c r="MA9" s="35"/>
      <c r="MB9" s="35"/>
      <c r="MC9" s="35"/>
      <c r="MD9" s="35"/>
      <c r="ME9" s="35"/>
      <c r="MF9" s="35"/>
      <c r="MG9" s="35"/>
      <c r="MH9" s="35"/>
      <c r="MI9" s="35"/>
      <c r="MJ9" s="35"/>
      <c r="MK9" s="35"/>
      <c r="ML9" s="35"/>
      <c r="MM9" s="35"/>
      <c r="MN9" s="35"/>
      <c r="MO9" s="35"/>
      <c r="MP9" s="35"/>
      <c r="MQ9" s="35"/>
      <c r="MR9" s="35"/>
      <c r="MS9" s="35"/>
      <c r="MT9" s="35"/>
      <c r="MU9" s="35"/>
      <c r="MV9" s="35"/>
      <c r="MW9" s="35"/>
      <c r="MX9" s="35"/>
      <c r="MY9" s="35"/>
      <c r="MZ9" s="35"/>
      <c r="NA9" s="35"/>
      <c r="NB9" s="35"/>
      <c r="NC9" s="35"/>
      <c r="ND9" s="35"/>
      <c r="NE9" s="35"/>
      <c r="NF9" s="35"/>
      <c r="NG9" s="35"/>
      <c r="NH9" s="35"/>
      <c r="NI9" s="35"/>
      <c r="NJ9" s="35"/>
      <c r="NK9" s="35"/>
      <c r="NL9" s="35"/>
      <c r="NM9" s="35"/>
      <c r="NN9" s="35"/>
      <c r="NO9" s="35"/>
      <c r="NP9" s="35"/>
      <c r="NQ9" s="35"/>
      <c r="NR9" s="35"/>
      <c r="NS9" s="35"/>
      <c r="NT9" s="35"/>
      <c r="NU9" s="35"/>
      <c r="NV9" s="35"/>
      <c r="NW9" s="35"/>
      <c r="NX9" s="35"/>
      <c r="NY9" s="35"/>
      <c r="NZ9" s="35"/>
      <c r="OA9" s="35"/>
      <c r="OB9" s="35"/>
      <c r="OC9" s="35"/>
      <c r="OD9" s="35"/>
      <c r="OE9" s="35"/>
      <c r="OF9" s="35"/>
      <c r="OG9" s="35"/>
      <c r="OH9" s="35"/>
      <c r="OI9" s="35"/>
      <c r="OJ9" s="35"/>
      <c r="OK9" s="35"/>
      <c r="OL9" s="35"/>
      <c r="OM9" s="35"/>
      <c r="ON9" s="35"/>
      <c r="OO9" s="35"/>
      <c r="OP9" s="35"/>
      <c r="OQ9" s="35"/>
      <c r="OR9" s="35"/>
      <c r="OS9" s="35"/>
      <c r="OT9" s="35"/>
      <c r="OU9" s="35"/>
      <c r="OV9" s="35"/>
      <c r="OW9" s="35"/>
      <c r="OX9" s="35"/>
      <c r="OY9" s="35"/>
      <c r="OZ9" s="35"/>
      <c r="PA9" s="35"/>
      <c r="PB9" s="35"/>
      <c r="PC9" s="35"/>
      <c r="PD9" s="35"/>
      <c r="PE9" s="35"/>
      <c r="PF9" s="35"/>
      <c r="PG9" s="35"/>
      <c r="PH9" s="35"/>
      <c r="PI9" s="35"/>
      <c r="PJ9" s="35"/>
      <c r="PK9" s="35"/>
      <c r="PL9" s="35"/>
      <c r="PM9" s="35"/>
      <c r="PN9" s="35"/>
      <c r="PO9" s="35"/>
      <c r="PP9" s="35"/>
      <c r="PQ9" s="35"/>
      <c r="PR9" s="35"/>
      <c r="PS9" s="35"/>
      <c r="PT9" s="35"/>
      <c r="PU9" s="35"/>
      <c r="PV9" s="35"/>
      <c r="PW9" s="35"/>
      <c r="PX9" s="35"/>
      <c r="PY9" s="35"/>
      <c r="PZ9" s="35"/>
      <c r="QA9" s="35"/>
      <c r="QB9" s="35"/>
      <c r="QC9" s="35"/>
      <c r="QD9" s="35"/>
      <c r="QE9" s="35"/>
      <c r="QF9" s="35"/>
      <c r="QG9" s="35"/>
      <c r="QH9" s="35"/>
      <c r="QI9" s="35"/>
      <c r="QJ9" s="35"/>
      <c r="QK9" s="35"/>
      <c r="QL9" s="35"/>
      <c r="QM9" s="35"/>
      <c r="QN9" s="35"/>
      <c r="QO9" s="35"/>
      <c r="QP9" s="35"/>
      <c r="QQ9" s="35"/>
      <c r="QR9" s="35"/>
      <c r="QS9" s="35"/>
      <c r="QT9" s="35"/>
      <c r="QU9" s="35"/>
      <c r="QV9" s="35"/>
      <c r="QW9" s="35"/>
      <c r="QX9" s="35"/>
      <c r="QY9" s="35"/>
      <c r="QZ9" s="35"/>
      <c r="RA9" s="35"/>
      <c r="RB9" s="35"/>
      <c r="RC9" s="35"/>
      <c r="RD9" s="35"/>
      <c r="RE9" s="35"/>
      <c r="RF9" s="35"/>
      <c r="RG9" s="35"/>
      <c r="RH9" s="35"/>
      <c r="RI9" s="35"/>
      <c r="RJ9" s="35"/>
      <c r="RK9" s="35"/>
      <c r="RL9" s="35"/>
      <c r="RM9" s="35"/>
      <c r="RN9" s="35"/>
      <c r="RO9" s="35"/>
      <c r="RP9" s="35"/>
      <c r="RQ9" s="35"/>
      <c r="RR9" s="35"/>
      <c r="RS9" s="35"/>
      <c r="RT9" s="35"/>
      <c r="RU9" s="35"/>
      <c r="RV9" s="35"/>
      <c r="RW9" s="35"/>
      <c r="RX9" s="35"/>
      <c r="RY9" s="35"/>
      <c r="RZ9" s="35"/>
      <c r="SA9" s="35"/>
      <c r="SB9" s="35"/>
      <c r="SC9" s="35"/>
      <c r="SD9" s="35"/>
      <c r="SE9" s="35"/>
      <c r="SF9" s="35"/>
      <c r="SG9" s="35"/>
      <c r="SH9" s="35"/>
      <c r="SI9" s="35"/>
      <c r="SJ9" s="35"/>
      <c r="SK9" s="35"/>
      <c r="SL9" s="35"/>
      <c r="SM9" s="35"/>
      <c r="SN9" s="35"/>
      <c r="SO9" s="35"/>
      <c r="SP9" s="35"/>
      <c r="SQ9" s="35"/>
      <c r="SR9" s="35"/>
      <c r="SS9" s="35"/>
      <c r="ST9" s="35"/>
      <c r="SU9" s="35"/>
      <c r="SV9" s="35"/>
      <c r="SW9" s="35"/>
      <c r="SX9" s="35"/>
      <c r="SY9" s="35"/>
      <c r="SZ9" s="35"/>
      <c r="TA9" s="35"/>
      <c r="TB9" s="35"/>
      <c r="TC9" s="35"/>
      <c r="TD9" s="35"/>
      <c r="TE9" s="35"/>
      <c r="TF9" s="35"/>
      <c r="TG9" s="35"/>
      <c r="TH9" s="35"/>
      <c r="TI9" s="35"/>
      <c r="TJ9" s="35"/>
      <c r="TK9" s="35"/>
      <c r="TL9" s="35"/>
      <c r="TM9" s="35"/>
      <c r="TN9" s="35"/>
      <c r="TO9" s="35"/>
      <c r="TP9" s="35"/>
      <c r="TQ9" s="35"/>
      <c r="TR9" s="35"/>
      <c r="TS9" s="35"/>
      <c r="TT9" s="35"/>
      <c r="TU9" s="35"/>
      <c r="TV9" s="35"/>
      <c r="TW9" s="35"/>
      <c r="TX9" s="35"/>
      <c r="TY9" s="35"/>
      <c r="TZ9" s="35"/>
      <c r="UA9" s="35"/>
      <c r="UB9" s="35"/>
      <c r="UC9" s="35"/>
      <c r="UD9" s="35"/>
      <c r="UE9" s="35"/>
      <c r="UF9" s="35"/>
      <c r="UG9" s="35"/>
      <c r="UH9" s="35"/>
      <c r="UI9" s="35"/>
      <c r="UJ9" s="35"/>
      <c r="UK9" s="35"/>
      <c r="UL9" s="35"/>
      <c r="UM9" s="35"/>
      <c r="UN9" s="35"/>
      <c r="UO9" s="35"/>
      <c r="UP9" s="35"/>
      <c r="UQ9" s="35"/>
      <c r="UR9" s="35"/>
      <c r="US9" s="35"/>
      <c r="UT9" s="35"/>
      <c r="UU9" s="35"/>
      <c r="UV9" s="35"/>
      <c r="UW9" s="35"/>
      <c r="UX9" s="35"/>
      <c r="UY9" s="35"/>
      <c r="UZ9" s="35"/>
      <c r="VA9" s="35"/>
      <c r="VB9" s="35"/>
      <c r="VC9" s="35"/>
      <c r="VD9" s="35"/>
      <c r="VE9" s="35"/>
      <c r="VF9" s="35"/>
      <c r="VG9" s="35"/>
      <c r="VH9" s="35"/>
      <c r="VI9" s="35"/>
      <c r="VJ9" s="35"/>
      <c r="VK9" s="35"/>
      <c r="VL9" s="35"/>
      <c r="VM9" s="35"/>
      <c r="VN9" s="35"/>
      <c r="VO9" s="35"/>
      <c r="VP9" s="35"/>
      <c r="VQ9" s="35"/>
      <c r="VR9" s="35"/>
      <c r="VS9" s="35"/>
      <c r="VT9" s="35"/>
      <c r="VU9" s="35"/>
      <c r="VV9" s="35"/>
      <c r="VW9" s="35"/>
      <c r="VX9" s="35"/>
      <c r="VY9" s="35"/>
      <c r="VZ9" s="35"/>
      <c r="WA9" s="35"/>
      <c r="WB9" s="35"/>
      <c r="WC9" s="35"/>
      <c r="WD9" s="35"/>
      <c r="WE9" s="35"/>
      <c r="WF9" s="35"/>
      <c r="WG9" s="35"/>
      <c r="WH9" s="35"/>
      <c r="WI9" s="35"/>
      <c r="WJ9" s="35"/>
      <c r="WK9" s="35"/>
      <c r="WL9" s="35"/>
      <c r="WM9" s="35"/>
      <c r="WN9" s="35"/>
      <c r="WO9" s="35"/>
      <c r="WP9" s="35"/>
      <c r="WQ9" s="35"/>
      <c r="WR9" s="35"/>
      <c r="WS9" s="35"/>
      <c r="WT9" s="35"/>
      <c r="WU9" s="35"/>
      <c r="WV9" s="35"/>
      <c r="WW9" s="35"/>
      <c r="WX9" s="35"/>
      <c r="WY9" s="35"/>
      <c r="WZ9" s="35"/>
      <c r="XA9" s="35"/>
      <c r="XB9" s="35"/>
      <c r="XC9" s="35"/>
      <c r="XD9" s="35"/>
      <c r="XE9" s="35"/>
      <c r="XF9" s="35"/>
      <c r="XG9" s="35"/>
      <c r="XH9" s="35"/>
      <c r="XI9" s="35"/>
      <c r="XJ9" s="35"/>
      <c r="XK9" s="35"/>
      <c r="XL9" s="35"/>
      <c r="XM9" s="35"/>
      <c r="XN9" s="35"/>
      <c r="XO9" s="35"/>
      <c r="XP9" s="35"/>
      <c r="XQ9" s="35"/>
      <c r="XR9" s="35"/>
      <c r="XS9" s="35"/>
      <c r="XT9" s="35"/>
      <c r="XU9" s="35"/>
      <c r="XV9" s="35"/>
      <c r="XW9" s="35"/>
      <c r="XX9" s="35"/>
      <c r="XY9" s="35"/>
      <c r="XZ9" s="35"/>
      <c r="YA9" s="35"/>
      <c r="YB9" s="35"/>
      <c r="YC9" s="35"/>
      <c r="YD9" s="35"/>
      <c r="YE9" s="35"/>
      <c r="YF9" s="35"/>
      <c r="YG9" s="35"/>
      <c r="YH9" s="35"/>
      <c r="YI9" s="35"/>
      <c r="YJ9" s="35"/>
      <c r="YK9" s="35"/>
      <c r="YL9" s="35"/>
      <c r="YM9" s="35"/>
      <c r="YN9" s="35"/>
      <c r="YO9" s="35"/>
      <c r="YP9" s="35"/>
      <c r="YQ9" s="35"/>
      <c r="YR9" s="35"/>
      <c r="YS9" s="35"/>
      <c r="YT9" s="35"/>
      <c r="YU9" s="35"/>
      <c r="YV9" s="35"/>
      <c r="YW9" s="35"/>
      <c r="YX9" s="35"/>
      <c r="YY9" s="35"/>
      <c r="YZ9" s="35"/>
      <c r="ZA9" s="35"/>
      <c r="ZB9" s="35"/>
      <c r="ZC9" s="35"/>
      <c r="ZD9" s="35"/>
      <c r="ZE9" s="35"/>
      <c r="ZF9" s="35"/>
      <c r="ZG9" s="35"/>
      <c r="ZH9" s="35"/>
      <c r="ZI9" s="35"/>
      <c r="ZJ9" s="35"/>
      <c r="ZK9" s="35"/>
      <c r="ZL9" s="35"/>
      <c r="ZM9" s="35"/>
      <c r="ZN9" s="35"/>
      <c r="ZO9" s="35"/>
      <c r="ZP9" s="35"/>
      <c r="ZQ9" s="35"/>
      <c r="ZR9" s="35"/>
      <c r="ZS9" s="35"/>
      <c r="ZT9" s="35"/>
      <c r="ZU9" s="35"/>
      <c r="ZV9" s="35"/>
      <c r="ZW9" s="35"/>
      <c r="ZX9" s="35"/>
      <c r="ZY9" s="35"/>
      <c r="ZZ9" s="35"/>
      <c r="AAA9" s="35"/>
      <c r="AAB9" s="35"/>
      <c r="AAC9" s="35"/>
      <c r="AAD9" s="35"/>
      <c r="AAE9" s="35"/>
      <c r="AAF9" s="35"/>
      <c r="AAG9" s="35"/>
      <c r="AAH9" s="35"/>
      <c r="AAI9" s="35"/>
      <c r="AAJ9" s="35"/>
      <c r="AAK9" s="35"/>
      <c r="AAL9" s="35"/>
      <c r="AAM9" s="35"/>
      <c r="AAN9" s="35"/>
      <c r="AAO9" s="35"/>
      <c r="AAP9" s="35"/>
      <c r="AAQ9" s="35"/>
      <c r="AAR9" s="35"/>
      <c r="AAS9" s="35"/>
      <c r="AAT9" s="35"/>
      <c r="AAU9" s="35"/>
      <c r="AAV9" s="35"/>
      <c r="AAW9" s="35"/>
      <c r="AAX9" s="35"/>
      <c r="AAY9" s="35"/>
      <c r="AAZ9" s="35"/>
      <c r="ABA9" s="35"/>
      <c r="ABB9" s="35"/>
      <c r="ABC9" s="35"/>
      <c r="ABD9" s="35"/>
      <c r="ABE9" s="35"/>
      <c r="ABF9" s="35"/>
      <c r="ABG9" s="35"/>
      <c r="ABH9" s="35"/>
      <c r="ABI9" s="35"/>
      <c r="ABJ9" s="35"/>
      <c r="ABK9" s="35"/>
      <c r="ABL9" s="35"/>
      <c r="ABM9" s="35"/>
      <c r="ABN9" s="35"/>
      <c r="ABO9" s="35"/>
      <c r="ABP9" s="35"/>
      <c r="ABQ9" s="35"/>
      <c r="ABR9" s="35"/>
      <c r="ABS9" s="35"/>
      <c r="ABT9" s="35"/>
      <c r="ABU9" s="35"/>
      <c r="ABV9" s="35"/>
      <c r="ABW9" s="35"/>
      <c r="ABX9" s="35"/>
      <c r="ABY9" s="35"/>
      <c r="ABZ9" s="35"/>
      <c r="ACA9" s="35"/>
      <c r="ACB9" s="35"/>
      <c r="ACC9" s="35"/>
      <c r="ACD9" s="35"/>
      <c r="ACE9" s="35"/>
      <c r="ACF9" s="35"/>
      <c r="ACG9" s="35"/>
      <c r="ACH9" s="35"/>
      <c r="ACI9" s="35"/>
      <c r="ACJ9" s="35"/>
      <c r="ACK9" s="35"/>
      <c r="ACL9" s="35"/>
      <c r="ACM9" s="35"/>
      <c r="ACN9" s="35"/>
      <c r="ACO9" s="35"/>
      <c r="ACP9" s="35"/>
      <c r="ACQ9" s="35"/>
      <c r="ACR9" s="35"/>
      <c r="ACS9" s="35"/>
      <c r="ACT9" s="35"/>
      <c r="ACU9" s="35"/>
      <c r="ACV9" s="35"/>
      <c r="ACW9" s="35"/>
      <c r="ACX9" s="35"/>
      <c r="ACY9" s="35"/>
      <c r="ACZ9" s="35"/>
      <c r="ADA9" s="35"/>
      <c r="ADB9" s="35"/>
      <c r="ADC9" s="35"/>
      <c r="ADD9" s="35"/>
      <c r="ADE9" s="35"/>
      <c r="ADF9" s="35"/>
      <c r="ADG9" s="35"/>
      <c r="ADH9" s="35"/>
      <c r="ADI9" s="35"/>
      <c r="ADJ9" s="35"/>
      <c r="ADK9" s="35"/>
      <c r="ADL9" s="35"/>
      <c r="ADM9" s="35"/>
      <c r="ADN9" s="35"/>
      <c r="ADO9" s="35"/>
      <c r="ADP9" s="35"/>
      <c r="ADQ9" s="35"/>
      <c r="ADR9" s="35"/>
      <c r="ADS9" s="35"/>
      <c r="ADT9" s="35"/>
      <c r="ADU9" s="35"/>
      <c r="ADV9" s="35"/>
      <c r="ADW9" s="35"/>
      <c r="ADX9" s="35"/>
      <c r="ADY9" s="35"/>
      <c r="ADZ9" s="35"/>
      <c r="AEA9" s="35"/>
      <c r="AEB9" s="35"/>
      <c r="AEC9" s="35"/>
      <c r="AED9" s="35"/>
      <c r="AEE9" s="35"/>
      <c r="AEF9" s="35"/>
      <c r="AEG9" s="35"/>
      <c r="AEH9" s="35"/>
      <c r="AEI9" s="35"/>
      <c r="AEJ9" s="35"/>
      <c r="AEK9" s="35"/>
      <c r="AEL9" s="35"/>
      <c r="AEM9" s="35"/>
      <c r="AEN9" s="35"/>
      <c r="AEO9" s="35"/>
      <c r="AEP9" s="35"/>
      <c r="AEQ9" s="35"/>
      <c r="AER9" s="35"/>
      <c r="AES9" s="35"/>
      <c r="AET9" s="35"/>
      <c r="AEU9" s="35"/>
      <c r="AEV9" s="35"/>
      <c r="AEW9" s="35"/>
      <c r="AEX9" s="35"/>
      <c r="AEY9" s="35"/>
      <c r="AEZ9" s="35"/>
      <c r="AFA9" s="35"/>
      <c r="AFB9" s="35"/>
      <c r="AFC9" s="35"/>
      <c r="AFD9" s="35"/>
      <c r="AFE9" s="35"/>
      <c r="AFF9" s="35"/>
      <c r="AFG9" s="35"/>
      <c r="AFH9" s="35"/>
      <c r="AFI9" s="35"/>
      <c r="AFJ9" s="35"/>
      <c r="AFK9" s="35"/>
      <c r="AFL9" s="35"/>
      <c r="AFM9" s="35"/>
      <c r="AFN9" s="35"/>
      <c r="AFO9" s="35"/>
      <c r="AFP9" s="35"/>
      <c r="AFQ9" s="35"/>
      <c r="AFR9" s="35"/>
      <c r="AFS9" s="35"/>
      <c r="AFT9" s="35"/>
      <c r="AFU9" s="35"/>
      <c r="AFV9" s="35"/>
      <c r="AFW9" s="35"/>
      <c r="AFX9" s="35"/>
      <c r="AFY9" s="35"/>
      <c r="AFZ9" s="35"/>
      <c r="AGA9" s="35"/>
      <c r="AGB9" s="35"/>
      <c r="AGC9" s="35"/>
      <c r="AGD9" s="35"/>
      <c r="AGE9" s="35"/>
      <c r="AGF9" s="35"/>
      <c r="AGG9" s="35"/>
      <c r="AGH9" s="35"/>
      <c r="AGI9" s="35"/>
      <c r="AGJ9" s="35"/>
      <c r="AGK9" s="35"/>
      <c r="AGL9" s="35"/>
      <c r="AGM9" s="35"/>
      <c r="AGN9" s="35"/>
      <c r="AGO9" s="35"/>
      <c r="AGP9" s="35"/>
      <c r="AGQ9" s="35"/>
      <c r="AGR9" s="35"/>
      <c r="AGS9" s="35"/>
      <c r="AGT9" s="35"/>
      <c r="AGU9" s="35"/>
      <c r="AGV9" s="35"/>
      <c r="AGW9" s="35"/>
      <c r="AGX9" s="35"/>
      <c r="AGY9" s="35"/>
      <c r="AGZ9" s="35"/>
      <c r="AHA9" s="35"/>
      <c r="AHB9" s="35"/>
      <c r="AHC9" s="35"/>
      <c r="AHD9" s="35"/>
      <c r="AHE9" s="35"/>
      <c r="AHF9" s="35"/>
      <c r="AHG9" s="35"/>
      <c r="AHH9" s="35"/>
      <c r="AHI9" s="35"/>
      <c r="AHJ9" s="35"/>
      <c r="AHK9" s="35"/>
      <c r="AHL9" s="35"/>
      <c r="AHM9" s="35"/>
      <c r="AHN9" s="35"/>
      <c r="AHO9" s="35"/>
      <c r="AHP9" s="35"/>
      <c r="AHQ9" s="35"/>
      <c r="AHR9" s="35"/>
      <c r="AHS9" s="35"/>
      <c r="AHT9" s="35"/>
      <c r="AHU9" s="35"/>
      <c r="AHV9" s="35"/>
      <c r="AHW9" s="35"/>
      <c r="AHX9" s="35"/>
      <c r="AHY9" s="35"/>
      <c r="AHZ9" s="35"/>
      <c r="AIA9" s="35"/>
      <c r="AIB9" s="35"/>
      <c r="AIC9" s="35"/>
      <c r="AID9" s="35"/>
      <c r="AIE9" s="35"/>
      <c r="AIF9" s="35"/>
      <c r="AIG9" s="35"/>
      <c r="AIH9" s="35"/>
      <c r="AII9" s="35"/>
      <c r="AIJ9" s="35"/>
      <c r="AIK9" s="35"/>
      <c r="AIL9" s="35"/>
      <c r="AIM9" s="35"/>
      <c r="AIN9" s="35"/>
      <c r="AIO9" s="35"/>
      <c r="AIP9" s="35"/>
      <c r="AIQ9" s="35"/>
      <c r="AIR9" s="35"/>
      <c r="AIS9" s="35"/>
      <c r="AIT9" s="35"/>
      <c r="AIU9" s="35"/>
      <c r="AIV9" s="35"/>
      <c r="AIW9" s="35"/>
      <c r="AIX9" s="35"/>
      <c r="AIY9" s="35"/>
      <c r="AIZ9" s="35"/>
      <c r="AJA9" s="35"/>
      <c r="AJB9" s="35"/>
      <c r="AJC9" s="35"/>
      <c r="AJD9" s="35"/>
      <c r="AJE9" s="35"/>
      <c r="AJF9" s="35"/>
      <c r="AJG9" s="35"/>
      <c r="AJH9" s="35"/>
      <c r="AJI9" s="35"/>
      <c r="AJJ9" s="35"/>
      <c r="AJK9" s="35"/>
      <c r="AJL9" s="35"/>
      <c r="AJM9" s="35"/>
      <c r="AJN9" s="35"/>
      <c r="AJO9" s="35"/>
      <c r="AJP9" s="35"/>
      <c r="AJQ9" s="35"/>
      <c r="AJR9" s="35"/>
      <c r="AJS9" s="35"/>
      <c r="AJT9" s="35"/>
      <c r="AJU9" s="35"/>
      <c r="AJV9" s="35"/>
      <c r="AJW9" s="35"/>
      <c r="AJX9" s="35"/>
      <c r="AJY9" s="35"/>
      <c r="AJZ9" s="35"/>
      <c r="AKA9" s="35"/>
      <c r="AKB9" s="35"/>
      <c r="AKC9" s="35"/>
      <c r="AKD9" s="35"/>
      <c r="AKE9" s="35"/>
      <c r="AKF9" s="35"/>
      <c r="AKG9" s="35"/>
      <c r="AKH9" s="35"/>
      <c r="AKI9" s="35"/>
      <c r="AKJ9" s="35"/>
      <c r="AKK9" s="35"/>
      <c r="AKL9" s="35"/>
      <c r="AKM9" s="35"/>
      <c r="AKN9" s="35"/>
      <c r="AKO9" s="35"/>
      <c r="AKP9" s="35"/>
      <c r="AKQ9" s="35"/>
      <c r="AKR9" s="35"/>
      <c r="AKS9" s="35"/>
      <c r="AKT9" s="35"/>
      <c r="AKU9" s="35"/>
      <c r="AKV9" s="35"/>
      <c r="AKW9" s="35"/>
      <c r="AKX9" s="35"/>
      <c r="AKY9" s="35"/>
      <c r="AKZ9" s="35"/>
      <c r="ALA9" s="35"/>
      <c r="ALB9" s="35"/>
      <c r="ALC9" s="35"/>
      <c r="ALD9" s="35"/>
      <c r="ALE9" s="35"/>
      <c r="ALF9" s="35"/>
      <c r="ALG9" s="35"/>
      <c r="ALH9" s="35"/>
      <c r="ALI9" s="35"/>
      <c r="ALJ9" s="35"/>
      <c r="ALK9" s="35"/>
      <c r="ALL9" s="35"/>
      <c r="ALM9" s="35"/>
      <c r="ALN9" s="35"/>
      <c r="ALO9" s="35"/>
      <c r="ALP9" s="35"/>
      <c r="ALQ9" s="35"/>
      <c r="ALR9" s="35"/>
      <c r="ALS9" s="35"/>
      <c r="ALT9" s="35"/>
      <c r="ALU9" s="35"/>
      <c r="ALV9" s="35"/>
      <c r="ALW9" s="35"/>
      <c r="ALX9" s="35"/>
      <c r="ALY9" s="35"/>
      <c r="ALZ9" s="35"/>
      <c r="AMA9" s="35"/>
      <c r="AMB9" s="35"/>
      <c r="AMC9" s="35"/>
      <c r="AMD9" s="35"/>
      <c r="AME9" s="35"/>
      <c r="AMF9" s="35"/>
      <c r="AMG9" s="35"/>
      <c r="AMH9" s="35"/>
      <c r="AMI9" s="35"/>
      <c r="AMJ9" s="35"/>
      <c r="AMK9" s="35"/>
      <c r="AML9" s="35"/>
      <c r="AMM9" s="35"/>
      <c r="AMN9" s="35"/>
      <c r="AMO9" s="35"/>
      <c r="AMP9" s="35"/>
      <c r="AMQ9" s="35"/>
      <c r="AMR9" s="35"/>
      <c r="AMS9" s="35"/>
      <c r="AMT9" s="35"/>
      <c r="AMU9" s="35"/>
      <c r="AMV9" s="35"/>
      <c r="AMW9" s="35"/>
      <c r="AMX9" s="35"/>
      <c r="AMY9" s="35"/>
      <c r="AMZ9" s="35"/>
      <c r="ANA9" s="35"/>
    </row>
    <row r="10" customFormat="false" ht="12.8" hidden="true" customHeight="true" outlineLevel="1" collapsed="false">
      <c r="A10" s="40"/>
      <c r="B10" s="40"/>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c r="BK10" s="40"/>
      <c r="BL10" s="40"/>
      <c r="BM10" s="40"/>
      <c r="BN10" s="40"/>
      <c r="BO10" s="40"/>
      <c r="BP10" s="40"/>
      <c r="BQ10" s="40"/>
      <c r="BR10" s="40"/>
      <c r="BS10" s="40"/>
      <c r="BT10" s="40"/>
      <c r="BU10" s="40"/>
      <c r="BV10" s="40"/>
      <c r="BW10" s="40"/>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5"/>
      <c r="EG10" s="35"/>
      <c r="EH10" s="35"/>
      <c r="EI10" s="35"/>
      <c r="EJ10" s="35"/>
      <c r="EK10" s="35"/>
      <c r="EL10" s="35"/>
      <c r="EM10" s="35"/>
      <c r="EN10" s="35"/>
      <c r="EO10" s="35"/>
      <c r="EP10" s="35"/>
      <c r="EQ10" s="35"/>
      <c r="ER10" s="35"/>
      <c r="ES10" s="35"/>
      <c r="ET10" s="35"/>
      <c r="EU10" s="35"/>
      <c r="EV10" s="35"/>
      <c r="EW10" s="35"/>
      <c r="EX10" s="35"/>
      <c r="EY10" s="35"/>
      <c r="EZ10" s="35"/>
      <c r="FA10" s="35"/>
      <c r="FB10" s="35"/>
      <c r="FC10" s="35"/>
      <c r="FD10" s="35"/>
      <c r="FE10" s="35"/>
      <c r="FF10" s="35"/>
      <c r="FG10" s="35"/>
      <c r="FH10" s="35"/>
      <c r="FI10" s="35"/>
      <c r="FJ10" s="35"/>
      <c r="FK10" s="35"/>
      <c r="FL10" s="35"/>
      <c r="FM10" s="35"/>
      <c r="FN10" s="35"/>
      <c r="FO10" s="35"/>
      <c r="FP10" s="35"/>
      <c r="FQ10" s="35"/>
      <c r="FR10" s="35"/>
      <c r="FS10" s="35"/>
      <c r="FT10" s="35"/>
      <c r="FU10" s="35"/>
      <c r="FV10" s="35"/>
      <c r="FW10" s="35"/>
      <c r="FX10" s="35"/>
      <c r="FY10" s="35"/>
      <c r="FZ10" s="35"/>
      <c r="GA10" s="35"/>
      <c r="GB10" s="35"/>
      <c r="GC10" s="35"/>
      <c r="GD10" s="35"/>
      <c r="GE10" s="35"/>
      <c r="GF10" s="35"/>
      <c r="GG10" s="35"/>
      <c r="GH10" s="35"/>
      <c r="GI10" s="35"/>
      <c r="GJ10" s="35"/>
      <c r="GK10" s="35"/>
      <c r="GL10" s="35"/>
      <c r="GM10" s="35"/>
      <c r="GN10" s="35"/>
      <c r="GO10" s="35"/>
      <c r="GP10" s="35"/>
      <c r="GQ10" s="35"/>
      <c r="GR10" s="35"/>
      <c r="GS10" s="35"/>
      <c r="GT10" s="35"/>
      <c r="GU10" s="35"/>
      <c r="GV10" s="35"/>
      <c r="GW10" s="35"/>
      <c r="GX10" s="35"/>
      <c r="GY10" s="35"/>
      <c r="GZ10" s="35"/>
      <c r="HA10" s="35"/>
      <c r="HB10" s="35"/>
      <c r="HC10" s="35"/>
      <c r="HD10" s="35"/>
      <c r="HE10" s="35"/>
      <c r="HF10" s="35"/>
      <c r="HG10" s="35"/>
      <c r="HH10" s="35"/>
      <c r="HI10" s="35"/>
      <c r="HJ10" s="35"/>
      <c r="HK10" s="35"/>
      <c r="HL10" s="35"/>
      <c r="HM10" s="35"/>
      <c r="HN10" s="35"/>
      <c r="HO10" s="35"/>
      <c r="HP10" s="35"/>
      <c r="HQ10" s="35"/>
      <c r="HR10" s="35"/>
      <c r="HS10" s="35"/>
      <c r="HT10" s="35"/>
      <c r="HU10" s="35"/>
      <c r="HV10" s="35"/>
      <c r="HW10" s="35"/>
      <c r="HX10" s="35"/>
      <c r="HY10" s="35"/>
      <c r="HZ10" s="35"/>
      <c r="IA10" s="35"/>
      <c r="IB10" s="35"/>
      <c r="IC10" s="35"/>
      <c r="ID10" s="35"/>
      <c r="IE10" s="35"/>
      <c r="IF10" s="35"/>
      <c r="IG10" s="35"/>
      <c r="IH10" s="35"/>
      <c r="II10" s="35"/>
      <c r="IJ10" s="35"/>
      <c r="IK10" s="35"/>
      <c r="IL10" s="35"/>
      <c r="IM10" s="35"/>
      <c r="IN10" s="35"/>
      <c r="IO10" s="35"/>
      <c r="IP10" s="35"/>
      <c r="IQ10" s="35"/>
      <c r="IR10" s="35"/>
      <c r="IS10" s="35"/>
      <c r="IT10" s="35"/>
      <c r="IU10" s="35"/>
      <c r="IV10" s="35"/>
      <c r="IW10" s="35"/>
      <c r="IX10" s="35"/>
      <c r="IY10" s="35"/>
      <c r="IZ10" s="35"/>
      <c r="JA10" s="35"/>
      <c r="JB10" s="35"/>
      <c r="JC10" s="35"/>
      <c r="JD10" s="35"/>
      <c r="JE10" s="35"/>
      <c r="JF10" s="35"/>
      <c r="JG10" s="35"/>
      <c r="JH10" s="35"/>
      <c r="JI10" s="35"/>
      <c r="JJ10" s="35"/>
      <c r="JK10" s="35"/>
      <c r="JL10" s="35"/>
      <c r="JM10" s="35"/>
      <c r="JN10" s="35"/>
      <c r="JO10" s="35"/>
      <c r="JP10" s="35"/>
      <c r="JQ10" s="35"/>
      <c r="JR10" s="35"/>
      <c r="JS10" s="35"/>
      <c r="JT10" s="35"/>
      <c r="JU10" s="35"/>
      <c r="JV10" s="35"/>
      <c r="JW10" s="35"/>
      <c r="JX10" s="35"/>
      <c r="JY10" s="35"/>
      <c r="JZ10" s="35"/>
      <c r="KA10" s="35"/>
      <c r="KB10" s="35"/>
      <c r="KC10" s="35"/>
      <c r="KD10" s="35"/>
      <c r="KE10" s="35"/>
      <c r="KF10" s="35"/>
      <c r="KG10" s="35"/>
      <c r="KH10" s="35"/>
      <c r="KI10" s="35"/>
      <c r="KJ10" s="35"/>
      <c r="KK10" s="35"/>
      <c r="KL10" s="35"/>
      <c r="KM10" s="35"/>
      <c r="KN10" s="35"/>
      <c r="KO10" s="35"/>
      <c r="KP10" s="35"/>
      <c r="KQ10" s="35"/>
      <c r="KR10" s="35"/>
      <c r="KS10" s="35"/>
      <c r="KT10" s="35"/>
      <c r="KU10" s="35"/>
      <c r="KV10" s="35"/>
      <c r="KW10" s="35"/>
      <c r="KX10" s="35"/>
      <c r="KY10" s="35"/>
      <c r="KZ10" s="35"/>
      <c r="LA10" s="35"/>
      <c r="LB10" s="35"/>
      <c r="LC10" s="35"/>
      <c r="LD10" s="35"/>
      <c r="LE10" s="35"/>
      <c r="LF10" s="35"/>
      <c r="LG10" s="35"/>
      <c r="LH10" s="35"/>
      <c r="LI10" s="35"/>
      <c r="LJ10" s="35"/>
      <c r="LK10" s="35"/>
      <c r="LL10" s="35"/>
      <c r="LM10" s="35"/>
      <c r="LN10" s="35"/>
      <c r="LO10" s="35"/>
      <c r="LP10" s="35"/>
      <c r="LQ10" s="35"/>
      <c r="LR10" s="35"/>
      <c r="LS10" s="35"/>
      <c r="LT10" s="35"/>
      <c r="LU10" s="35"/>
      <c r="LV10" s="35"/>
      <c r="LW10" s="35"/>
      <c r="LX10" s="35"/>
      <c r="LY10" s="35"/>
      <c r="LZ10" s="35"/>
      <c r="MA10" s="35"/>
      <c r="MB10" s="35"/>
      <c r="MC10" s="35"/>
      <c r="MD10" s="35"/>
      <c r="ME10" s="35"/>
      <c r="MF10" s="35"/>
      <c r="MG10" s="35"/>
      <c r="MH10" s="35"/>
      <c r="MI10" s="35"/>
      <c r="MJ10" s="35"/>
      <c r="MK10" s="35"/>
      <c r="ML10" s="35"/>
      <c r="MM10" s="35"/>
      <c r="MN10" s="35"/>
      <c r="MO10" s="35"/>
      <c r="MP10" s="35"/>
      <c r="MQ10" s="35"/>
      <c r="MR10" s="35"/>
      <c r="MS10" s="35"/>
      <c r="MT10" s="35"/>
      <c r="MU10" s="35"/>
      <c r="MV10" s="35"/>
      <c r="MW10" s="35"/>
      <c r="MX10" s="35"/>
      <c r="MY10" s="35"/>
      <c r="MZ10" s="35"/>
      <c r="NA10" s="35"/>
      <c r="NB10" s="35"/>
      <c r="NC10" s="35"/>
      <c r="ND10" s="35"/>
      <c r="NE10" s="35"/>
      <c r="NF10" s="35"/>
      <c r="NG10" s="35"/>
      <c r="NH10" s="35"/>
      <c r="NI10" s="35"/>
      <c r="NJ10" s="35"/>
      <c r="NK10" s="35"/>
      <c r="NL10" s="35"/>
      <c r="NM10" s="35"/>
      <c r="NN10" s="35"/>
      <c r="NO10" s="35"/>
      <c r="NP10" s="35"/>
      <c r="NQ10" s="35"/>
      <c r="NR10" s="35"/>
      <c r="NS10" s="35"/>
      <c r="NT10" s="35"/>
      <c r="NU10" s="35"/>
      <c r="NV10" s="35"/>
      <c r="NW10" s="35"/>
      <c r="NX10" s="35"/>
      <c r="NY10" s="35"/>
      <c r="NZ10" s="35"/>
      <c r="OA10" s="35"/>
      <c r="OB10" s="35"/>
      <c r="OC10" s="35"/>
      <c r="OD10" s="35"/>
      <c r="OE10" s="35"/>
      <c r="OF10" s="35"/>
      <c r="OG10" s="35"/>
      <c r="OH10" s="35"/>
      <c r="OI10" s="35"/>
      <c r="OJ10" s="35"/>
      <c r="OK10" s="35"/>
      <c r="OL10" s="35"/>
      <c r="OM10" s="35"/>
      <c r="ON10" s="35"/>
      <c r="OO10" s="35"/>
      <c r="OP10" s="35"/>
      <c r="OQ10" s="35"/>
      <c r="OR10" s="35"/>
      <c r="OS10" s="35"/>
      <c r="OT10" s="35"/>
      <c r="OU10" s="35"/>
      <c r="OV10" s="35"/>
      <c r="OW10" s="35"/>
      <c r="OX10" s="35"/>
      <c r="OY10" s="35"/>
      <c r="OZ10" s="35"/>
      <c r="PA10" s="35"/>
      <c r="PB10" s="35"/>
      <c r="PC10" s="35"/>
      <c r="PD10" s="35"/>
      <c r="PE10" s="35"/>
      <c r="PF10" s="35"/>
      <c r="PG10" s="35"/>
      <c r="PH10" s="35"/>
      <c r="PI10" s="35"/>
      <c r="PJ10" s="35"/>
      <c r="PK10" s="35"/>
      <c r="PL10" s="35"/>
      <c r="PM10" s="35"/>
      <c r="PN10" s="35"/>
      <c r="PO10" s="35"/>
      <c r="PP10" s="35"/>
      <c r="PQ10" s="35"/>
      <c r="PR10" s="35"/>
      <c r="PS10" s="35"/>
      <c r="PT10" s="35"/>
      <c r="PU10" s="35"/>
      <c r="PV10" s="35"/>
      <c r="PW10" s="35"/>
      <c r="PX10" s="35"/>
      <c r="PY10" s="35"/>
      <c r="PZ10" s="35"/>
      <c r="QA10" s="35"/>
      <c r="QB10" s="35"/>
      <c r="QC10" s="35"/>
      <c r="QD10" s="35"/>
      <c r="QE10" s="35"/>
      <c r="QF10" s="35"/>
      <c r="QG10" s="35"/>
      <c r="QH10" s="35"/>
      <c r="QI10" s="35"/>
      <c r="QJ10" s="35"/>
      <c r="QK10" s="35"/>
      <c r="QL10" s="35"/>
      <c r="QM10" s="35"/>
      <c r="QN10" s="35"/>
      <c r="QO10" s="35"/>
      <c r="QP10" s="35"/>
      <c r="QQ10" s="35"/>
      <c r="QR10" s="35"/>
      <c r="QS10" s="35"/>
      <c r="QT10" s="35"/>
      <c r="QU10" s="35"/>
      <c r="QV10" s="35"/>
      <c r="QW10" s="35"/>
      <c r="QX10" s="35"/>
      <c r="QY10" s="35"/>
      <c r="QZ10" s="35"/>
      <c r="RA10" s="35"/>
      <c r="RB10" s="35"/>
      <c r="RC10" s="35"/>
      <c r="RD10" s="35"/>
      <c r="RE10" s="35"/>
      <c r="RF10" s="35"/>
      <c r="RG10" s="35"/>
      <c r="RH10" s="35"/>
      <c r="RI10" s="35"/>
      <c r="RJ10" s="35"/>
      <c r="RK10" s="35"/>
      <c r="RL10" s="35"/>
      <c r="RM10" s="35"/>
      <c r="RN10" s="35"/>
      <c r="RO10" s="35"/>
      <c r="RP10" s="35"/>
      <c r="RQ10" s="35"/>
      <c r="RR10" s="35"/>
      <c r="RS10" s="35"/>
      <c r="RT10" s="35"/>
      <c r="RU10" s="35"/>
      <c r="RV10" s="35"/>
      <c r="RW10" s="35"/>
      <c r="RX10" s="35"/>
      <c r="RY10" s="35"/>
      <c r="RZ10" s="35"/>
      <c r="SA10" s="35"/>
      <c r="SB10" s="35"/>
      <c r="SC10" s="35"/>
      <c r="SD10" s="35"/>
      <c r="SE10" s="35"/>
      <c r="SF10" s="35"/>
      <c r="SG10" s="35"/>
      <c r="SH10" s="35"/>
      <c r="SI10" s="35"/>
      <c r="SJ10" s="35"/>
      <c r="SK10" s="35"/>
      <c r="SL10" s="35"/>
      <c r="SM10" s="35"/>
      <c r="SN10" s="35"/>
      <c r="SO10" s="35"/>
      <c r="SP10" s="35"/>
      <c r="SQ10" s="35"/>
      <c r="SR10" s="35"/>
      <c r="SS10" s="35"/>
      <c r="ST10" s="35"/>
      <c r="SU10" s="35"/>
      <c r="SV10" s="35"/>
      <c r="SW10" s="35"/>
      <c r="SX10" s="35"/>
      <c r="SY10" s="35"/>
      <c r="SZ10" s="35"/>
      <c r="TA10" s="35"/>
      <c r="TB10" s="35"/>
      <c r="TC10" s="35"/>
      <c r="TD10" s="35"/>
      <c r="TE10" s="35"/>
      <c r="TF10" s="35"/>
      <c r="TG10" s="35"/>
      <c r="TH10" s="35"/>
      <c r="TI10" s="35"/>
      <c r="TJ10" s="35"/>
      <c r="TK10" s="35"/>
      <c r="TL10" s="35"/>
      <c r="TM10" s="35"/>
      <c r="TN10" s="35"/>
      <c r="TO10" s="35"/>
      <c r="TP10" s="35"/>
      <c r="TQ10" s="35"/>
      <c r="TR10" s="35"/>
      <c r="TS10" s="35"/>
      <c r="TT10" s="35"/>
      <c r="TU10" s="35"/>
      <c r="TV10" s="35"/>
      <c r="TW10" s="35"/>
      <c r="TX10" s="35"/>
      <c r="TY10" s="35"/>
      <c r="TZ10" s="35"/>
      <c r="UA10" s="35"/>
      <c r="UB10" s="35"/>
      <c r="UC10" s="35"/>
      <c r="UD10" s="35"/>
      <c r="UE10" s="35"/>
      <c r="UF10" s="35"/>
      <c r="UG10" s="35"/>
      <c r="UH10" s="35"/>
      <c r="UI10" s="35"/>
      <c r="UJ10" s="35"/>
      <c r="UK10" s="35"/>
      <c r="UL10" s="35"/>
      <c r="UM10" s="35"/>
      <c r="UN10" s="35"/>
      <c r="UO10" s="35"/>
      <c r="UP10" s="35"/>
      <c r="UQ10" s="35"/>
      <c r="UR10" s="35"/>
      <c r="US10" s="35"/>
      <c r="UT10" s="35"/>
      <c r="UU10" s="35"/>
      <c r="UV10" s="35"/>
      <c r="UW10" s="35"/>
      <c r="UX10" s="35"/>
      <c r="UY10" s="35"/>
      <c r="UZ10" s="35"/>
      <c r="VA10" s="35"/>
      <c r="VB10" s="35"/>
      <c r="VC10" s="35"/>
      <c r="VD10" s="35"/>
      <c r="VE10" s="35"/>
      <c r="VF10" s="35"/>
      <c r="VG10" s="35"/>
      <c r="VH10" s="35"/>
      <c r="VI10" s="35"/>
      <c r="VJ10" s="35"/>
      <c r="VK10" s="35"/>
      <c r="VL10" s="35"/>
      <c r="VM10" s="35"/>
      <c r="VN10" s="35"/>
      <c r="VO10" s="35"/>
      <c r="VP10" s="35"/>
      <c r="VQ10" s="35"/>
      <c r="VR10" s="35"/>
      <c r="VS10" s="35"/>
      <c r="VT10" s="35"/>
      <c r="VU10" s="35"/>
      <c r="VV10" s="35"/>
      <c r="VW10" s="35"/>
      <c r="VX10" s="35"/>
      <c r="VY10" s="35"/>
      <c r="VZ10" s="35"/>
      <c r="WA10" s="35"/>
      <c r="WB10" s="35"/>
      <c r="WC10" s="35"/>
      <c r="WD10" s="35"/>
      <c r="WE10" s="35"/>
      <c r="WF10" s="35"/>
      <c r="WG10" s="35"/>
      <c r="WH10" s="35"/>
      <c r="WI10" s="35"/>
      <c r="WJ10" s="35"/>
      <c r="WK10" s="35"/>
      <c r="WL10" s="35"/>
      <c r="WM10" s="35"/>
      <c r="WN10" s="35"/>
      <c r="WO10" s="35"/>
      <c r="WP10" s="35"/>
      <c r="WQ10" s="35"/>
      <c r="WR10" s="35"/>
      <c r="WS10" s="35"/>
      <c r="WT10" s="35"/>
      <c r="WU10" s="35"/>
      <c r="WV10" s="35"/>
      <c r="WW10" s="35"/>
      <c r="WX10" s="35"/>
      <c r="WY10" s="35"/>
      <c r="WZ10" s="35"/>
      <c r="XA10" s="35"/>
      <c r="XB10" s="35"/>
      <c r="XC10" s="35"/>
      <c r="XD10" s="35"/>
      <c r="XE10" s="35"/>
      <c r="XF10" s="35"/>
      <c r="XG10" s="35"/>
      <c r="XH10" s="35"/>
      <c r="XI10" s="35"/>
      <c r="XJ10" s="35"/>
      <c r="XK10" s="35"/>
      <c r="XL10" s="35"/>
      <c r="XM10" s="35"/>
      <c r="XN10" s="35"/>
      <c r="XO10" s="35"/>
      <c r="XP10" s="35"/>
      <c r="XQ10" s="35"/>
      <c r="XR10" s="35"/>
      <c r="XS10" s="35"/>
      <c r="XT10" s="35"/>
      <c r="XU10" s="35"/>
      <c r="XV10" s="35"/>
      <c r="XW10" s="35"/>
      <c r="XX10" s="35"/>
      <c r="XY10" s="35"/>
      <c r="XZ10" s="35"/>
      <c r="YA10" s="35"/>
      <c r="YB10" s="35"/>
      <c r="YC10" s="35"/>
      <c r="YD10" s="35"/>
      <c r="YE10" s="35"/>
      <c r="YF10" s="35"/>
      <c r="YG10" s="35"/>
      <c r="YH10" s="35"/>
      <c r="YI10" s="35"/>
      <c r="YJ10" s="35"/>
      <c r="YK10" s="35"/>
      <c r="YL10" s="35"/>
      <c r="YM10" s="35"/>
      <c r="YN10" s="35"/>
      <c r="YO10" s="35"/>
      <c r="YP10" s="35"/>
      <c r="YQ10" s="35"/>
      <c r="YR10" s="35"/>
      <c r="YS10" s="35"/>
      <c r="YT10" s="35"/>
      <c r="YU10" s="35"/>
      <c r="YV10" s="35"/>
      <c r="YW10" s="35"/>
      <c r="YX10" s="35"/>
      <c r="YY10" s="35"/>
      <c r="YZ10" s="35"/>
      <c r="ZA10" s="35"/>
      <c r="ZB10" s="35"/>
      <c r="ZC10" s="35"/>
      <c r="ZD10" s="35"/>
      <c r="ZE10" s="35"/>
      <c r="ZF10" s="35"/>
      <c r="ZG10" s="35"/>
      <c r="ZH10" s="35"/>
      <c r="ZI10" s="35"/>
      <c r="ZJ10" s="35"/>
      <c r="ZK10" s="35"/>
      <c r="ZL10" s="35"/>
      <c r="ZM10" s="35"/>
      <c r="ZN10" s="35"/>
      <c r="ZO10" s="35"/>
      <c r="ZP10" s="35"/>
      <c r="ZQ10" s="35"/>
      <c r="ZR10" s="35"/>
      <c r="ZS10" s="35"/>
      <c r="ZT10" s="35"/>
      <c r="ZU10" s="35"/>
      <c r="ZV10" s="35"/>
      <c r="ZW10" s="35"/>
      <c r="ZX10" s="35"/>
      <c r="ZY10" s="35"/>
      <c r="ZZ10" s="35"/>
      <c r="AAA10" s="35"/>
      <c r="AAB10" s="35"/>
      <c r="AAC10" s="35"/>
      <c r="AAD10" s="35"/>
      <c r="AAE10" s="35"/>
      <c r="AAF10" s="35"/>
      <c r="AAG10" s="35"/>
      <c r="AAH10" s="35"/>
      <c r="AAI10" s="35"/>
      <c r="AAJ10" s="35"/>
      <c r="AAK10" s="35"/>
      <c r="AAL10" s="35"/>
      <c r="AAM10" s="35"/>
      <c r="AAN10" s="35"/>
      <c r="AAO10" s="35"/>
      <c r="AAP10" s="35"/>
      <c r="AAQ10" s="35"/>
      <c r="AAR10" s="35"/>
      <c r="AAS10" s="35"/>
      <c r="AAT10" s="35"/>
      <c r="AAU10" s="35"/>
      <c r="AAV10" s="35"/>
      <c r="AAW10" s="35"/>
      <c r="AAX10" s="35"/>
      <c r="AAY10" s="35"/>
      <c r="AAZ10" s="35"/>
      <c r="ABA10" s="35"/>
      <c r="ABB10" s="35"/>
      <c r="ABC10" s="35"/>
      <c r="ABD10" s="35"/>
      <c r="ABE10" s="35"/>
      <c r="ABF10" s="35"/>
      <c r="ABG10" s="35"/>
      <c r="ABH10" s="35"/>
      <c r="ABI10" s="35"/>
      <c r="ABJ10" s="35"/>
      <c r="ABK10" s="35"/>
      <c r="ABL10" s="35"/>
      <c r="ABM10" s="35"/>
      <c r="ABN10" s="35"/>
      <c r="ABO10" s="35"/>
      <c r="ABP10" s="35"/>
      <c r="ABQ10" s="35"/>
      <c r="ABR10" s="35"/>
      <c r="ABS10" s="35"/>
      <c r="ABT10" s="35"/>
      <c r="ABU10" s="35"/>
      <c r="ABV10" s="35"/>
      <c r="ABW10" s="35"/>
      <c r="ABX10" s="35"/>
      <c r="ABY10" s="35"/>
      <c r="ABZ10" s="35"/>
      <c r="ACA10" s="35"/>
      <c r="ACB10" s="35"/>
      <c r="ACC10" s="35"/>
      <c r="ACD10" s="35"/>
      <c r="ACE10" s="35"/>
      <c r="ACF10" s="35"/>
      <c r="ACG10" s="35"/>
      <c r="ACH10" s="35"/>
      <c r="ACI10" s="35"/>
      <c r="ACJ10" s="35"/>
      <c r="ACK10" s="35"/>
      <c r="ACL10" s="35"/>
      <c r="ACM10" s="35"/>
      <c r="ACN10" s="35"/>
      <c r="ACO10" s="35"/>
      <c r="ACP10" s="35"/>
      <c r="ACQ10" s="35"/>
      <c r="ACR10" s="35"/>
      <c r="ACS10" s="35"/>
      <c r="ACT10" s="35"/>
      <c r="ACU10" s="35"/>
      <c r="ACV10" s="35"/>
      <c r="ACW10" s="35"/>
      <c r="ACX10" s="35"/>
      <c r="ACY10" s="35"/>
      <c r="ACZ10" s="35"/>
      <c r="ADA10" s="35"/>
      <c r="ADB10" s="35"/>
      <c r="ADC10" s="35"/>
      <c r="ADD10" s="35"/>
      <c r="ADE10" s="35"/>
      <c r="ADF10" s="35"/>
      <c r="ADG10" s="35"/>
      <c r="ADH10" s="35"/>
      <c r="ADI10" s="35"/>
      <c r="ADJ10" s="35"/>
      <c r="ADK10" s="35"/>
      <c r="ADL10" s="35"/>
      <c r="ADM10" s="35"/>
      <c r="ADN10" s="35"/>
      <c r="ADO10" s="35"/>
      <c r="ADP10" s="35"/>
      <c r="ADQ10" s="35"/>
      <c r="ADR10" s="35"/>
      <c r="ADS10" s="35"/>
      <c r="ADT10" s="35"/>
      <c r="ADU10" s="35"/>
      <c r="ADV10" s="35"/>
      <c r="ADW10" s="35"/>
      <c r="ADX10" s="35"/>
      <c r="ADY10" s="35"/>
      <c r="ADZ10" s="35"/>
      <c r="AEA10" s="35"/>
      <c r="AEB10" s="35"/>
      <c r="AEC10" s="35"/>
      <c r="AED10" s="35"/>
      <c r="AEE10" s="35"/>
      <c r="AEF10" s="35"/>
      <c r="AEG10" s="35"/>
      <c r="AEH10" s="35"/>
      <c r="AEI10" s="35"/>
      <c r="AEJ10" s="35"/>
      <c r="AEK10" s="35"/>
      <c r="AEL10" s="35"/>
      <c r="AEM10" s="35"/>
      <c r="AEN10" s="35"/>
      <c r="AEO10" s="35"/>
      <c r="AEP10" s="35"/>
      <c r="AEQ10" s="35"/>
      <c r="AER10" s="35"/>
      <c r="AES10" s="35"/>
      <c r="AET10" s="35"/>
      <c r="AEU10" s="35"/>
      <c r="AEV10" s="35"/>
      <c r="AEW10" s="35"/>
      <c r="AEX10" s="35"/>
      <c r="AEY10" s="35"/>
      <c r="AEZ10" s="35"/>
      <c r="AFA10" s="35"/>
      <c r="AFB10" s="35"/>
      <c r="AFC10" s="35"/>
      <c r="AFD10" s="35"/>
      <c r="AFE10" s="35"/>
      <c r="AFF10" s="35"/>
      <c r="AFG10" s="35"/>
      <c r="AFH10" s="35"/>
      <c r="AFI10" s="35"/>
      <c r="AFJ10" s="35"/>
      <c r="AFK10" s="35"/>
      <c r="AFL10" s="35"/>
      <c r="AFM10" s="35"/>
      <c r="AFN10" s="35"/>
      <c r="AFO10" s="35"/>
      <c r="AFP10" s="35"/>
      <c r="AFQ10" s="35"/>
      <c r="AFR10" s="35"/>
      <c r="AFS10" s="35"/>
      <c r="AFT10" s="35"/>
      <c r="AFU10" s="35"/>
      <c r="AFV10" s="35"/>
      <c r="AFW10" s="35"/>
      <c r="AFX10" s="35"/>
      <c r="AFY10" s="35"/>
      <c r="AFZ10" s="35"/>
      <c r="AGA10" s="35"/>
      <c r="AGB10" s="35"/>
      <c r="AGC10" s="35"/>
      <c r="AGD10" s="35"/>
      <c r="AGE10" s="35"/>
      <c r="AGF10" s="35"/>
      <c r="AGG10" s="35"/>
      <c r="AGH10" s="35"/>
      <c r="AGI10" s="35"/>
      <c r="AGJ10" s="35"/>
      <c r="AGK10" s="35"/>
      <c r="AGL10" s="35"/>
      <c r="AGM10" s="35"/>
      <c r="AGN10" s="35"/>
      <c r="AGO10" s="35"/>
      <c r="AGP10" s="35"/>
      <c r="AGQ10" s="35"/>
      <c r="AGR10" s="35"/>
      <c r="AGS10" s="35"/>
      <c r="AGT10" s="35"/>
      <c r="AGU10" s="35"/>
      <c r="AGV10" s="35"/>
      <c r="AGW10" s="35"/>
      <c r="AGX10" s="35"/>
      <c r="AGY10" s="35"/>
      <c r="AGZ10" s="35"/>
      <c r="AHA10" s="35"/>
      <c r="AHB10" s="35"/>
      <c r="AHC10" s="35"/>
      <c r="AHD10" s="35"/>
      <c r="AHE10" s="35"/>
      <c r="AHF10" s="35"/>
      <c r="AHG10" s="35"/>
      <c r="AHH10" s="35"/>
      <c r="AHI10" s="35"/>
      <c r="AHJ10" s="35"/>
      <c r="AHK10" s="35"/>
      <c r="AHL10" s="35"/>
      <c r="AHM10" s="35"/>
      <c r="AHN10" s="35"/>
      <c r="AHO10" s="35"/>
      <c r="AHP10" s="35"/>
      <c r="AHQ10" s="35"/>
      <c r="AHR10" s="35"/>
      <c r="AHS10" s="35"/>
      <c r="AHT10" s="35"/>
      <c r="AHU10" s="35"/>
      <c r="AHV10" s="35"/>
      <c r="AHW10" s="35"/>
      <c r="AHX10" s="35"/>
      <c r="AHY10" s="35"/>
      <c r="AHZ10" s="35"/>
      <c r="AIA10" s="35"/>
      <c r="AIB10" s="35"/>
      <c r="AIC10" s="35"/>
      <c r="AID10" s="35"/>
      <c r="AIE10" s="35"/>
      <c r="AIF10" s="35"/>
      <c r="AIG10" s="35"/>
      <c r="AIH10" s="35"/>
      <c r="AII10" s="35"/>
      <c r="AIJ10" s="35"/>
      <c r="AIK10" s="35"/>
      <c r="AIL10" s="35"/>
      <c r="AIM10" s="35"/>
      <c r="AIN10" s="35"/>
      <c r="AIO10" s="35"/>
      <c r="AIP10" s="35"/>
      <c r="AIQ10" s="35"/>
      <c r="AIR10" s="35"/>
      <c r="AIS10" s="35"/>
      <c r="AIT10" s="35"/>
      <c r="AIU10" s="35"/>
      <c r="AIV10" s="35"/>
      <c r="AIW10" s="35"/>
      <c r="AIX10" s="35"/>
      <c r="AIY10" s="35"/>
      <c r="AIZ10" s="35"/>
      <c r="AJA10" s="35"/>
      <c r="AJB10" s="35"/>
      <c r="AJC10" s="35"/>
      <c r="AJD10" s="35"/>
      <c r="AJE10" s="35"/>
      <c r="AJF10" s="35"/>
      <c r="AJG10" s="35"/>
      <c r="AJH10" s="35"/>
      <c r="AJI10" s="35"/>
      <c r="AJJ10" s="35"/>
      <c r="AJK10" s="35"/>
      <c r="AJL10" s="35"/>
      <c r="AJM10" s="35"/>
      <c r="AJN10" s="35"/>
      <c r="AJO10" s="35"/>
      <c r="AJP10" s="35"/>
      <c r="AJQ10" s="35"/>
      <c r="AJR10" s="35"/>
      <c r="AJS10" s="35"/>
      <c r="AJT10" s="35"/>
      <c r="AJU10" s="35"/>
      <c r="AJV10" s="35"/>
      <c r="AJW10" s="35"/>
      <c r="AJX10" s="35"/>
      <c r="AJY10" s="35"/>
      <c r="AJZ10" s="35"/>
      <c r="AKA10" s="35"/>
      <c r="AKB10" s="35"/>
      <c r="AKC10" s="35"/>
      <c r="AKD10" s="35"/>
      <c r="AKE10" s="35"/>
      <c r="AKF10" s="35"/>
      <c r="AKG10" s="35"/>
      <c r="AKH10" s="35"/>
      <c r="AKI10" s="35"/>
      <c r="AKJ10" s="35"/>
      <c r="AKK10" s="35"/>
      <c r="AKL10" s="35"/>
      <c r="AKM10" s="35"/>
      <c r="AKN10" s="35"/>
      <c r="AKO10" s="35"/>
      <c r="AKP10" s="35"/>
      <c r="AKQ10" s="35"/>
      <c r="AKR10" s="35"/>
      <c r="AKS10" s="35"/>
      <c r="AKT10" s="35"/>
      <c r="AKU10" s="35"/>
      <c r="AKV10" s="35"/>
      <c r="AKW10" s="35"/>
      <c r="AKX10" s="35"/>
      <c r="AKY10" s="35"/>
      <c r="AKZ10" s="35"/>
      <c r="ALA10" s="35"/>
      <c r="ALB10" s="35"/>
      <c r="ALC10" s="35"/>
      <c r="ALD10" s="35"/>
      <c r="ALE10" s="35"/>
      <c r="ALF10" s="35"/>
      <c r="ALG10" s="35"/>
      <c r="ALH10" s="35"/>
      <c r="ALI10" s="35"/>
      <c r="ALJ10" s="35"/>
      <c r="ALK10" s="35"/>
      <c r="ALL10" s="35"/>
      <c r="ALM10" s="35"/>
      <c r="ALN10" s="35"/>
      <c r="ALO10" s="35"/>
      <c r="ALP10" s="35"/>
      <c r="ALQ10" s="35"/>
      <c r="ALR10" s="35"/>
      <c r="ALS10" s="35"/>
      <c r="ALT10" s="35"/>
      <c r="ALU10" s="35"/>
      <c r="ALV10" s="35"/>
      <c r="ALW10" s="35"/>
      <c r="ALX10" s="35"/>
      <c r="ALY10" s="35"/>
      <c r="ALZ10" s="35"/>
      <c r="AMA10" s="35"/>
      <c r="AMB10" s="35"/>
      <c r="AMC10" s="35"/>
      <c r="AMD10" s="35"/>
      <c r="AME10" s="35"/>
      <c r="AMF10" s="35"/>
      <c r="AMG10" s="35"/>
      <c r="AMH10" s="35"/>
      <c r="AMI10" s="35"/>
      <c r="AMJ10" s="35"/>
      <c r="AMK10" s="35"/>
      <c r="AML10" s="35"/>
      <c r="AMM10" s="35"/>
      <c r="AMN10" s="35"/>
      <c r="AMO10" s="35"/>
      <c r="AMP10" s="35"/>
      <c r="AMQ10" s="35"/>
      <c r="AMR10" s="35"/>
      <c r="AMS10" s="35"/>
      <c r="AMT10" s="35"/>
      <c r="AMU10" s="35"/>
      <c r="AMV10" s="35"/>
      <c r="AMW10" s="35"/>
      <c r="AMX10" s="35"/>
      <c r="AMY10" s="35"/>
      <c r="AMZ10" s="35"/>
      <c r="ANA10" s="35"/>
    </row>
    <row r="11" customFormat="false" ht="12.8" hidden="true" customHeight="true" outlineLevel="1" collapsed="false">
      <c r="A11" s="40"/>
      <c r="B11" s="40"/>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c r="BL11" s="40"/>
      <c r="BM11" s="40"/>
      <c r="BN11" s="40"/>
      <c r="BO11" s="40"/>
      <c r="BP11" s="40"/>
      <c r="BQ11" s="40"/>
      <c r="BR11" s="40"/>
      <c r="BS11" s="40"/>
      <c r="BT11" s="40"/>
      <c r="BU11" s="40"/>
      <c r="BV11" s="40"/>
      <c r="BW11" s="40"/>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c r="JI11" s="35"/>
      <c r="JJ11" s="35"/>
      <c r="JK11" s="35"/>
      <c r="JL11" s="35"/>
      <c r="JM11" s="35"/>
      <c r="JN11" s="35"/>
      <c r="JO11" s="35"/>
      <c r="JP11" s="35"/>
      <c r="JQ11" s="35"/>
      <c r="JR11" s="35"/>
      <c r="JS11" s="35"/>
      <c r="JT11" s="35"/>
      <c r="JU11" s="35"/>
      <c r="JV11" s="35"/>
      <c r="JW11" s="35"/>
      <c r="JX11" s="35"/>
      <c r="JY11" s="35"/>
      <c r="JZ11" s="35"/>
      <c r="KA11" s="35"/>
      <c r="KB11" s="35"/>
      <c r="KC11" s="35"/>
      <c r="KD11" s="35"/>
      <c r="KE11" s="35"/>
      <c r="KF11" s="35"/>
      <c r="KG11" s="35"/>
      <c r="KH11" s="35"/>
      <c r="KI11" s="35"/>
      <c r="KJ11" s="35"/>
      <c r="KK11" s="35"/>
      <c r="KL11" s="35"/>
      <c r="KM11" s="35"/>
      <c r="KN11" s="35"/>
      <c r="KO11" s="35"/>
      <c r="KP11" s="35"/>
      <c r="KQ11" s="35"/>
      <c r="KR11" s="35"/>
      <c r="KS11" s="35"/>
      <c r="KT11" s="35"/>
      <c r="KU11" s="35"/>
      <c r="KV11" s="35"/>
      <c r="KW11" s="35"/>
      <c r="KX11" s="35"/>
      <c r="KY11" s="35"/>
      <c r="KZ11" s="35"/>
      <c r="LA11" s="35"/>
      <c r="LB11" s="35"/>
      <c r="LC11" s="35"/>
      <c r="LD11" s="35"/>
      <c r="LE11" s="35"/>
      <c r="LF11" s="35"/>
      <c r="LG11" s="35"/>
      <c r="LH11" s="35"/>
      <c r="LI11" s="35"/>
      <c r="LJ11" s="35"/>
      <c r="LK11" s="35"/>
      <c r="LL11" s="35"/>
      <c r="LM11" s="35"/>
      <c r="LN11" s="35"/>
      <c r="LO11" s="35"/>
      <c r="LP11" s="35"/>
      <c r="LQ11" s="35"/>
      <c r="LR11" s="35"/>
      <c r="LS11" s="35"/>
      <c r="LT11" s="35"/>
      <c r="LU11" s="35"/>
      <c r="LV11" s="35"/>
      <c r="LW11" s="35"/>
      <c r="LX11" s="35"/>
      <c r="LY11" s="35"/>
      <c r="LZ11" s="35"/>
      <c r="MA11" s="35"/>
      <c r="MB11" s="35"/>
      <c r="MC11" s="35"/>
      <c r="MD11" s="35"/>
      <c r="ME11" s="35"/>
      <c r="MF11" s="35"/>
      <c r="MG11" s="35"/>
      <c r="MH11" s="35"/>
      <c r="MI11" s="35"/>
      <c r="MJ11" s="35"/>
      <c r="MK11" s="35"/>
      <c r="ML11" s="35"/>
      <c r="MM11" s="35"/>
      <c r="MN11" s="35"/>
      <c r="MO11" s="35"/>
      <c r="MP11" s="35"/>
      <c r="MQ11" s="35"/>
      <c r="MR11" s="35"/>
      <c r="MS11" s="35"/>
      <c r="MT11" s="35"/>
      <c r="MU11" s="35"/>
      <c r="MV11" s="35"/>
      <c r="MW11" s="35"/>
      <c r="MX11" s="35"/>
      <c r="MY11" s="35"/>
      <c r="MZ11" s="35"/>
      <c r="NA11" s="35"/>
      <c r="NB11" s="35"/>
      <c r="NC11" s="35"/>
      <c r="ND11" s="35"/>
      <c r="NE11" s="35"/>
      <c r="NF11" s="35"/>
      <c r="NG11" s="35"/>
      <c r="NH11" s="35"/>
      <c r="NI11" s="35"/>
      <c r="NJ11" s="35"/>
      <c r="NK11" s="35"/>
      <c r="NL11" s="35"/>
      <c r="NM11" s="35"/>
      <c r="NN11" s="35"/>
      <c r="NO11" s="35"/>
      <c r="NP11" s="35"/>
      <c r="NQ11" s="35"/>
      <c r="NR11" s="35"/>
      <c r="NS11" s="35"/>
      <c r="NT11" s="35"/>
      <c r="NU11" s="35"/>
      <c r="NV11" s="35"/>
      <c r="NW11" s="35"/>
      <c r="NX11" s="35"/>
      <c r="NY11" s="35"/>
      <c r="NZ11" s="35"/>
      <c r="OA11" s="35"/>
      <c r="OB11" s="35"/>
      <c r="OC11" s="35"/>
      <c r="OD11" s="35"/>
      <c r="OE11" s="35"/>
      <c r="OF11" s="35"/>
      <c r="OG11" s="35"/>
      <c r="OH11" s="35"/>
      <c r="OI11" s="35"/>
      <c r="OJ11" s="35"/>
      <c r="OK11" s="35"/>
      <c r="OL11" s="35"/>
      <c r="OM11" s="35"/>
      <c r="ON11" s="35"/>
      <c r="OO11" s="35"/>
      <c r="OP11" s="35"/>
      <c r="OQ11" s="35"/>
      <c r="OR11" s="35"/>
      <c r="OS11" s="35"/>
      <c r="OT11" s="35"/>
      <c r="OU11" s="35"/>
      <c r="OV11" s="35"/>
      <c r="OW11" s="35"/>
      <c r="OX11" s="35"/>
      <c r="OY11" s="35"/>
      <c r="OZ11" s="35"/>
      <c r="PA11" s="35"/>
      <c r="PB11" s="35"/>
      <c r="PC11" s="35"/>
      <c r="PD11" s="35"/>
      <c r="PE11" s="35"/>
      <c r="PF11" s="35"/>
      <c r="PG11" s="35"/>
      <c r="PH11" s="35"/>
      <c r="PI11" s="35"/>
      <c r="PJ11" s="35"/>
      <c r="PK11" s="35"/>
      <c r="PL11" s="35"/>
      <c r="PM11" s="35"/>
      <c r="PN11" s="35"/>
      <c r="PO11" s="35"/>
      <c r="PP11" s="35"/>
      <c r="PQ11" s="35"/>
      <c r="PR11" s="35"/>
      <c r="PS11" s="35"/>
      <c r="PT11" s="35"/>
      <c r="PU11" s="35"/>
      <c r="PV11" s="35"/>
      <c r="PW11" s="35"/>
      <c r="PX11" s="35"/>
      <c r="PY11" s="35"/>
      <c r="PZ11" s="35"/>
      <c r="QA11" s="35"/>
      <c r="QB11" s="35"/>
      <c r="QC11" s="35"/>
      <c r="QD11" s="35"/>
      <c r="QE11" s="35"/>
      <c r="QF11" s="35"/>
      <c r="QG11" s="35"/>
      <c r="QH11" s="35"/>
      <c r="QI11" s="35"/>
      <c r="QJ11" s="35"/>
      <c r="QK11" s="35"/>
      <c r="QL11" s="35"/>
      <c r="QM11" s="35"/>
      <c r="QN11" s="35"/>
      <c r="QO11" s="35"/>
      <c r="QP11" s="35"/>
      <c r="QQ11" s="35"/>
      <c r="QR11" s="35"/>
      <c r="QS11" s="35"/>
      <c r="QT11" s="35"/>
      <c r="QU11" s="35"/>
      <c r="QV11" s="35"/>
      <c r="QW11" s="35"/>
      <c r="QX11" s="35"/>
      <c r="QY11" s="35"/>
      <c r="QZ11" s="35"/>
      <c r="RA11" s="35"/>
      <c r="RB11" s="35"/>
      <c r="RC11" s="35"/>
      <c r="RD11" s="35"/>
      <c r="RE11" s="35"/>
      <c r="RF11" s="35"/>
      <c r="RG11" s="35"/>
      <c r="RH11" s="35"/>
      <c r="RI11" s="35"/>
      <c r="RJ11" s="35"/>
      <c r="RK11" s="35"/>
      <c r="RL11" s="35"/>
      <c r="RM11" s="35"/>
      <c r="RN11" s="35"/>
      <c r="RO11" s="35"/>
      <c r="RP11" s="35"/>
      <c r="RQ11" s="35"/>
      <c r="RR11" s="35"/>
      <c r="RS11" s="35"/>
      <c r="RT11" s="35"/>
      <c r="RU11" s="35"/>
      <c r="RV11" s="35"/>
      <c r="RW11" s="35"/>
      <c r="RX11" s="35"/>
      <c r="RY11" s="35"/>
      <c r="RZ11" s="35"/>
      <c r="SA11" s="35"/>
      <c r="SB11" s="35"/>
      <c r="SC11" s="35"/>
      <c r="SD11" s="35"/>
      <c r="SE11" s="35"/>
      <c r="SF11" s="35"/>
      <c r="SG11" s="35"/>
      <c r="SH11" s="35"/>
      <c r="SI11" s="35"/>
      <c r="SJ11" s="35"/>
      <c r="SK11" s="35"/>
      <c r="SL11" s="35"/>
      <c r="SM11" s="35"/>
      <c r="SN11" s="35"/>
      <c r="SO11" s="35"/>
      <c r="SP11" s="35"/>
      <c r="SQ11" s="35"/>
      <c r="SR11" s="35"/>
      <c r="SS11" s="35"/>
      <c r="ST11" s="35"/>
      <c r="SU11" s="35"/>
      <c r="SV11" s="35"/>
      <c r="SW11" s="35"/>
      <c r="SX11" s="35"/>
      <c r="SY11" s="35"/>
      <c r="SZ11" s="35"/>
      <c r="TA11" s="35"/>
      <c r="TB11" s="35"/>
      <c r="TC11" s="35"/>
      <c r="TD11" s="35"/>
      <c r="TE11" s="35"/>
      <c r="TF11" s="35"/>
      <c r="TG11" s="35"/>
      <c r="TH11" s="35"/>
      <c r="TI11" s="35"/>
      <c r="TJ11" s="35"/>
      <c r="TK11" s="35"/>
      <c r="TL11" s="35"/>
      <c r="TM11" s="35"/>
      <c r="TN11" s="35"/>
      <c r="TO11" s="35"/>
      <c r="TP11" s="35"/>
      <c r="TQ11" s="35"/>
      <c r="TR11" s="35"/>
      <c r="TS11" s="35"/>
      <c r="TT11" s="35"/>
      <c r="TU11" s="35"/>
      <c r="TV11" s="35"/>
      <c r="TW11" s="35"/>
      <c r="TX11" s="35"/>
      <c r="TY11" s="35"/>
      <c r="TZ11" s="35"/>
      <c r="UA11" s="35"/>
      <c r="UB11" s="35"/>
      <c r="UC11" s="35"/>
      <c r="UD11" s="35"/>
      <c r="UE11" s="35"/>
      <c r="UF11" s="35"/>
      <c r="UG11" s="35"/>
      <c r="UH11" s="35"/>
      <c r="UI11" s="35"/>
      <c r="UJ11" s="35"/>
      <c r="UK11" s="35"/>
      <c r="UL11" s="35"/>
      <c r="UM11" s="35"/>
      <c r="UN11" s="35"/>
      <c r="UO11" s="35"/>
      <c r="UP11" s="35"/>
      <c r="UQ11" s="35"/>
      <c r="UR11" s="35"/>
      <c r="US11" s="35"/>
      <c r="UT11" s="35"/>
      <c r="UU11" s="35"/>
      <c r="UV11" s="35"/>
      <c r="UW11" s="35"/>
      <c r="UX11" s="35"/>
      <c r="UY11" s="35"/>
      <c r="UZ11" s="35"/>
      <c r="VA11" s="35"/>
      <c r="VB11" s="35"/>
      <c r="VC11" s="35"/>
      <c r="VD11" s="35"/>
      <c r="VE11" s="35"/>
      <c r="VF11" s="35"/>
      <c r="VG11" s="35"/>
      <c r="VH11" s="35"/>
      <c r="VI11" s="35"/>
      <c r="VJ11" s="35"/>
      <c r="VK11" s="35"/>
      <c r="VL11" s="35"/>
      <c r="VM11" s="35"/>
      <c r="VN11" s="35"/>
      <c r="VO11" s="35"/>
      <c r="VP11" s="35"/>
      <c r="VQ11" s="35"/>
      <c r="VR11" s="35"/>
      <c r="VS11" s="35"/>
      <c r="VT11" s="35"/>
      <c r="VU11" s="35"/>
      <c r="VV11" s="35"/>
      <c r="VW11" s="35"/>
      <c r="VX11" s="35"/>
      <c r="VY11" s="35"/>
      <c r="VZ11" s="35"/>
      <c r="WA11" s="35"/>
      <c r="WB11" s="35"/>
      <c r="WC11" s="35"/>
      <c r="WD11" s="35"/>
      <c r="WE11" s="35"/>
      <c r="WF11" s="35"/>
      <c r="WG11" s="35"/>
      <c r="WH11" s="35"/>
      <c r="WI11" s="35"/>
      <c r="WJ11" s="35"/>
      <c r="WK11" s="35"/>
      <c r="WL11" s="35"/>
      <c r="WM11" s="35"/>
      <c r="WN11" s="35"/>
      <c r="WO11" s="35"/>
      <c r="WP11" s="35"/>
      <c r="WQ11" s="35"/>
      <c r="WR11" s="35"/>
      <c r="WS11" s="35"/>
      <c r="WT11" s="35"/>
      <c r="WU11" s="35"/>
      <c r="WV11" s="35"/>
      <c r="WW11" s="35"/>
      <c r="WX11" s="35"/>
      <c r="WY11" s="35"/>
      <c r="WZ11" s="35"/>
      <c r="XA11" s="35"/>
      <c r="XB11" s="35"/>
      <c r="XC11" s="35"/>
      <c r="XD11" s="35"/>
      <c r="XE11" s="35"/>
      <c r="XF11" s="35"/>
      <c r="XG11" s="35"/>
      <c r="XH11" s="35"/>
      <c r="XI11" s="35"/>
      <c r="XJ11" s="35"/>
      <c r="XK11" s="35"/>
      <c r="XL11" s="35"/>
      <c r="XM11" s="35"/>
      <c r="XN11" s="35"/>
      <c r="XO11" s="35"/>
      <c r="XP11" s="35"/>
      <c r="XQ11" s="35"/>
      <c r="XR11" s="35"/>
      <c r="XS11" s="35"/>
      <c r="XT11" s="35"/>
      <c r="XU11" s="35"/>
      <c r="XV11" s="35"/>
      <c r="XW11" s="35"/>
      <c r="XX11" s="35"/>
      <c r="XY11" s="35"/>
      <c r="XZ11" s="35"/>
      <c r="YA11" s="35"/>
      <c r="YB11" s="35"/>
      <c r="YC11" s="35"/>
      <c r="YD11" s="35"/>
      <c r="YE11" s="35"/>
      <c r="YF11" s="35"/>
      <c r="YG11" s="35"/>
      <c r="YH11" s="35"/>
      <c r="YI11" s="35"/>
      <c r="YJ11" s="35"/>
      <c r="YK11" s="35"/>
      <c r="YL11" s="35"/>
      <c r="YM11" s="35"/>
      <c r="YN11" s="35"/>
      <c r="YO11" s="35"/>
      <c r="YP11" s="35"/>
      <c r="YQ11" s="35"/>
      <c r="YR11" s="35"/>
      <c r="YS11" s="35"/>
      <c r="YT11" s="35"/>
      <c r="YU11" s="35"/>
      <c r="YV11" s="35"/>
      <c r="YW11" s="35"/>
      <c r="YX11" s="35"/>
      <c r="YY11" s="35"/>
      <c r="YZ11" s="35"/>
      <c r="ZA11" s="35"/>
      <c r="ZB11" s="35"/>
      <c r="ZC11" s="35"/>
      <c r="ZD11" s="35"/>
      <c r="ZE11" s="35"/>
      <c r="ZF11" s="35"/>
      <c r="ZG11" s="35"/>
      <c r="ZH11" s="35"/>
      <c r="ZI11" s="35"/>
      <c r="ZJ11" s="35"/>
      <c r="ZK11" s="35"/>
      <c r="ZL11" s="35"/>
      <c r="ZM11" s="35"/>
      <c r="ZN11" s="35"/>
      <c r="ZO11" s="35"/>
      <c r="ZP11" s="35"/>
      <c r="ZQ11" s="35"/>
      <c r="ZR11" s="35"/>
      <c r="ZS11" s="35"/>
      <c r="ZT11" s="35"/>
      <c r="ZU11" s="35"/>
      <c r="ZV11" s="35"/>
      <c r="ZW11" s="35"/>
      <c r="ZX11" s="35"/>
      <c r="ZY11" s="35"/>
      <c r="ZZ11" s="35"/>
      <c r="AAA11" s="35"/>
      <c r="AAB11" s="35"/>
      <c r="AAC11" s="35"/>
      <c r="AAD11" s="35"/>
      <c r="AAE11" s="35"/>
      <c r="AAF11" s="35"/>
      <c r="AAG11" s="35"/>
      <c r="AAH11" s="35"/>
      <c r="AAI11" s="35"/>
      <c r="AAJ11" s="35"/>
      <c r="AAK11" s="35"/>
      <c r="AAL11" s="35"/>
      <c r="AAM11" s="35"/>
      <c r="AAN11" s="35"/>
      <c r="AAO11" s="35"/>
      <c r="AAP11" s="35"/>
      <c r="AAQ11" s="35"/>
      <c r="AAR11" s="35"/>
      <c r="AAS11" s="35"/>
      <c r="AAT11" s="35"/>
      <c r="AAU11" s="35"/>
      <c r="AAV11" s="35"/>
      <c r="AAW11" s="35"/>
      <c r="AAX11" s="35"/>
      <c r="AAY11" s="35"/>
      <c r="AAZ11" s="35"/>
      <c r="ABA11" s="35"/>
      <c r="ABB11" s="35"/>
      <c r="ABC11" s="35"/>
      <c r="ABD11" s="35"/>
      <c r="ABE11" s="35"/>
      <c r="ABF11" s="35"/>
      <c r="ABG11" s="35"/>
      <c r="ABH11" s="35"/>
      <c r="ABI11" s="35"/>
      <c r="ABJ11" s="35"/>
      <c r="ABK11" s="35"/>
      <c r="ABL11" s="35"/>
      <c r="ABM11" s="35"/>
      <c r="ABN11" s="35"/>
      <c r="ABO11" s="35"/>
      <c r="ABP11" s="35"/>
      <c r="ABQ11" s="35"/>
      <c r="ABR11" s="35"/>
      <c r="ABS11" s="35"/>
      <c r="ABT11" s="35"/>
      <c r="ABU11" s="35"/>
      <c r="ABV11" s="35"/>
      <c r="ABW11" s="35"/>
      <c r="ABX11" s="35"/>
      <c r="ABY11" s="35"/>
      <c r="ABZ11" s="35"/>
      <c r="ACA11" s="35"/>
      <c r="ACB11" s="35"/>
      <c r="ACC11" s="35"/>
      <c r="ACD11" s="35"/>
      <c r="ACE11" s="35"/>
      <c r="ACF11" s="35"/>
      <c r="ACG11" s="35"/>
      <c r="ACH11" s="35"/>
      <c r="ACI11" s="35"/>
      <c r="ACJ11" s="35"/>
      <c r="ACK11" s="35"/>
      <c r="ACL11" s="35"/>
      <c r="ACM11" s="35"/>
      <c r="ACN11" s="35"/>
      <c r="ACO11" s="35"/>
      <c r="ACP11" s="35"/>
      <c r="ACQ11" s="35"/>
      <c r="ACR11" s="35"/>
      <c r="ACS11" s="35"/>
      <c r="ACT11" s="35"/>
      <c r="ACU11" s="35"/>
      <c r="ACV11" s="35"/>
      <c r="ACW11" s="35"/>
      <c r="ACX11" s="35"/>
      <c r="ACY11" s="35"/>
      <c r="ACZ11" s="35"/>
      <c r="ADA11" s="35"/>
      <c r="ADB11" s="35"/>
      <c r="ADC11" s="35"/>
      <c r="ADD11" s="35"/>
      <c r="ADE11" s="35"/>
      <c r="ADF11" s="35"/>
      <c r="ADG11" s="35"/>
      <c r="ADH11" s="35"/>
      <c r="ADI11" s="35"/>
      <c r="ADJ11" s="35"/>
      <c r="ADK11" s="35"/>
      <c r="ADL11" s="35"/>
      <c r="ADM11" s="35"/>
      <c r="ADN11" s="35"/>
      <c r="ADO11" s="35"/>
      <c r="ADP11" s="35"/>
      <c r="ADQ11" s="35"/>
      <c r="ADR11" s="35"/>
      <c r="ADS11" s="35"/>
      <c r="ADT11" s="35"/>
      <c r="ADU11" s="35"/>
      <c r="ADV11" s="35"/>
      <c r="ADW11" s="35"/>
      <c r="ADX11" s="35"/>
      <c r="ADY11" s="35"/>
      <c r="ADZ11" s="35"/>
      <c r="AEA11" s="35"/>
      <c r="AEB11" s="35"/>
      <c r="AEC11" s="35"/>
      <c r="AED11" s="35"/>
      <c r="AEE11" s="35"/>
      <c r="AEF11" s="35"/>
      <c r="AEG11" s="35"/>
      <c r="AEH11" s="35"/>
      <c r="AEI11" s="35"/>
      <c r="AEJ11" s="35"/>
      <c r="AEK11" s="35"/>
      <c r="AEL11" s="35"/>
      <c r="AEM11" s="35"/>
      <c r="AEN11" s="35"/>
      <c r="AEO11" s="35"/>
      <c r="AEP11" s="35"/>
      <c r="AEQ11" s="35"/>
      <c r="AER11" s="35"/>
      <c r="AES11" s="35"/>
      <c r="AET11" s="35"/>
      <c r="AEU11" s="35"/>
      <c r="AEV11" s="35"/>
      <c r="AEW11" s="35"/>
      <c r="AEX11" s="35"/>
      <c r="AEY11" s="35"/>
      <c r="AEZ11" s="35"/>
      <c r="AFA11" s="35"/>
      <c r="AFB11" s="35"/>
      <c r="AFC11" s="35"/>
      <c r="AFD11" s="35"/>
      <c r="AFE11" s="35"/>
      <c r="AFF11" s="35"/>
      <c r="AFG11" s="35"/>
      <c r="AFH11" s="35"/>
      <c r="AFI11" s="35"/>
      <c r="AFJ11" s="35"/>
      <c r="AFK11" s="35"/>
      <c r="AFL11" s="35"/>
      <c r="AFM11" s="35"/>
      <c r="AFN11" s="35"/>
      <c r="AFO11" s="35"/>
      <c r="AFP11" s="35"/>
      <c r="AFQ11" s="35"/>
      <c r="AFR11" s="35"/>
      <c r="AFS11" s="35"/>
      <c r="AFT11" s="35"/>
      <c r="AFU11" s="35"/>
      <c r="AFV11" s="35"/>
      <c r="AFW11" s="35"/>
      <c r="AFX11" s="35"/>
      <c r="AFY11" s="35"/>
      <c r="AFZ11" s="35"/>
      <c r="AGA11" s="35"/>
      <c r="AGB11" s="35"/>
      <c r="AGC11" s="35"/>
      <c r="AGD11" s="35"/>
      <c r="AGE11" s="35"/>
      <c r="AGF11" s="35"/>
      <c r="AGG11" s="35"/>
      <c r="AGH11" s="35"/>
      <c r="AGI11" s="35"/>
      <c r="AGJ11" s="35"/>
      <c r="AGK11" s="35"/>
      <c r="AGL11" s="35"/>
      <c r="AGM11" s="35"/>
      <c r="AGN11" s="35"/>
      <c r="AGO11" s="35"/>
      <c r="AGP11" s="35"/>
      <c r="AGQ11" s="35"/>
      <c r="AGR11" s="35"/>
      <c r="AGS11" s="35"/>
      <c r="AGT11" s="35"/>
      <c r="AGU11" s="35"/>
      <c r="AGV11" s="35"/>
      <c r="AGW11" s="35"/>
      <c r="AGX11" s="35"/>
      <c r="AGY11" s="35"/>
      <c r="AGZ11" s="35"/>
      <c r="AHA11" s="35"/>
      <c r="AHB11" s="35"/>
      <c r="AHC11" s="35"/>
      <c r="AHD11" s="35"/>
      <c r="AHE11" s="35"/>
      <c r="AHF11" s="35"/>
      <c r="AHG11" s="35"/>
      <c r="AHH11" s="35"/>
      <c r="AHI11" s="35"/>
      <c r="AHJ11" s="35"/>
      <c r="AHK11" s="35"/>
      <c r="AHL11" s="35"/>
      <c r="AHM11" s="35"/>
      <c r="AHN11" s="35"/>
      <c r="AHO11" s="35"/>
      <c r="AHP11" s="35"/>
      <c r="AHQ11" s="35"/>
      <c r="AHR11" s="35"/>
      <c r="AHS11" s="35"/>
      <c r="AHT11" s="35"/>
      <c r="AHU11" s="35"/>
      <c r="AHV11" s="35"/>
      <c r="AHW11" s="35"/>
      <c r="AHX11" s="35"/>
      <c r="AHY11" s="35"/>
      <c r="AHZ11" s="35"/>
      <c r="AIA11" s="35"/>
      <c r="AIB11" s="35"/>
      <c r="AIC11" s="35"/>
      <c r="AID11" s="35"/>
      <c r="AIE11" s="35"/>
      <c r="AIF11" s="35"/>
      <c r="AIG11" s="35"/>
      <c r="AIH11" s="35"/>
      <c r="AII11" s="35"/>
      <c r="AIJ11" s="35"/>
      <c r="AIK11" s="35"/>
      <c r="AIL11" s="35"/>
      <c r="AIM11" s="35"/>
      <c r="AIN11" s="35"/>
      <c r="AIO11" s="35"/>
      <c r="AIP11" s="35"/>
      <c r="AIQ11" s="35"/>
      <c r="AIR11" s="35"/>
      <c r="AIS11" s="35"/>
      <c r="AIT11" s="35"/>
      <c r="AIU11" s="35"/>
      <c r="AIV11" s="35"/>
      <c r="AIW11" s="35"/>
      <c r="AIX11" s="35"/>
      <c r="AIY11" s="35"/>
      <c r="AIZ11" s="35"/>
      <c r="AJA11" s="35"/>
      <c r="AJB11" s="35"/>
      <c r="AJC11" s="35"/>
      <c r="AJD11" s="35"/>
      <c r="AJE11" s="35"/>
      <c r="AJF11" s="35"/>
      <c r="AJG11" s="35"/>
      <c r="AJH11" s="35"/>
      <c r="AJI11" s="35"/>
      <c r="AJJ11" s="35"/>
      <c r="AJK11" s="35"/>
      <c r="AJL11" s="35"/>
      <c r="AJM11" s="35"/>
      <c r="AJN11" s="35"/>
      <c r="AJO11" s="35"/>
      <c r="AJP11" s="35"/>
      <c r="AJQ11" s="35"/>
      <c r="AJR11" s="35"/>
      <c r="AJS11" s="35"/>
      <c r="AJT11" s="35"/>
      <c r="AJU11" s="35"/>
      <c r="AJV11" s="35"/>
      <c r="AJW11" s="35"/>
      <c r="AJX11" s="35"/>
      <c r="AJY11" s="35"/>
      <c r="AJZ11" s="35"/>
      <c r="AKA11" s="35"/>
      <c r="AKB11" s="35"/>
      <c r="AKC11" s="35"/>
      <c r="AKD11" s="35"/>
      <c r="AKE11" s="35"/>
      <c r="AKF11" s="35"/>
      <c r="AKG11" s="35"/>
      <c r="AKH11" s="35"/>
      <c r="AKI11" s="35"/>
      <c r="AKJ11" s="35"/>
      <c r="AKK11" s="35"/>
      <c r="AKL11" s="35"/>
      <c r="AKM11" s="35"/>
      <c r="AKN11" s="35"/>
      <c r="AKO11" s="35"/>
      <c r="AKP11" s="35"/>
      <c r="AKQ11" s="35"/>
      <c r="AKR11" s="35"/>
      <c r="AKS11" s="35"/>
      <c r="AKT11" s="35"/>
      <c r="AKU11" s="35"/>
      <c r="AKV11" s="35"/>
      <c r="AKW11" s="35"/>
      <c r="AKX11" s="35"/>
      <c r="AKY11" s="35"/>
      <c r="AKZ11" s="35"/>
      <c r="ALA11" s="35"/>
      <c r="ALB11" s="35"/>
      <c r="ALC11" s="35"/>
      <c r="ALD11" s="35"/>
      <c r="ALE11" s="35"/>
      <c r="ALF11" s="35"/>
      <c r="ALG11" s="35"/>
      <c r="ALH11" s="35"/>
      <c r="ALI11" s="35"/>
      <c r="ALJ11" s="35"/>
      <c r="ALK11" s="35"/>
      <c r="ALL11" s="35"/>
      <c r="ALM11" s="35"/>
      <c r="ALN11" s="35"/>
      <c r="ALO11" s="35"/>
      <c r="ALP11" s="35"/>
      <c r="ALQ11" s="35"/>
      <c r="ALR11" s="35"/>
      <c r="ALS11" s="35"/>
      <c r="ALT11" s="35"/>
      <c r="ALU11" s="35"/>
      <c r="ALV11" s="35"/>
      <c r="ALW11" s="35"/>
      <c r="ALX11" s="35"/>
      <c r="ALY11" s="35"/>
      <c r="ALZ11" s="35"/>
      <c r="AMA11" s="35"/>
      <c r="AMB11" s="35"/>
      <c r="AMC11" s="35"/>
      <c r="AMD11" s="35"/>
      <c r="AME11" s="35"/>
      <c r="AMF11" s="35"/>
      <c r="AMG11" s="35"/>
      <c r="AMH11" s="35"/>
      <c r="AMI11" s="35"/>
      <c r="AMJ11" s="35"/>
      <c r="AMK11" s="35"/>
      <c r="AML11" s="35"/>
      <c r="AMM11" s="35"/>
      <c r="AMN11" s="35"/>
      <c r="AMO11" s="35"/>
      <c r="AMP11" s="35"/>
      <c r="AMQ11" s="35"/>
      <c r="AMR11" s="35"/>
      <c r="AMS11" s="35"/>
      <c r="AMT11" s="35"/>
      <c r="AMU11" s="35"/>
      <c r="AMV11" s="35"/>
      <c r="AMW11" s="35"/>
      <c r="AMX11" s="35"/>
      <c r="AMY11" s="35"/>
      <c r="AMZ11" s="35"/>
      <c r="ANA11" s="35"/>
    </row>
    <row r="12" customFormat="false" ht="12.8" hidden="true" customHeight="true" outlineLevel="1" collapsed="false">
      <c r="A12" s="40"/>
      <c r="B12" s="40"/>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c r="BL12" s="40"/>
      <c r="BM12" s="40"/>
      <c r="BN12" s="40"/>
      <c r="BO12" s="40"/>
      <c r="BP12" s="40"/>
      <c r="BQ12" s="40"/>
      <c r="BR12" s="40"/>
      <c r="BS12" s="40"/>
      <c r="BT12" s="40"/>
      <c r="BU12" s="40"/>
      <c r="BV12" s="40"/>
      <c r="BW12" s="40"/>
      <c r="BX12" s="35"/>
      <c r="BY12" s="35"/>
      <c r="BZ12" s="35"/>
      <c r="CA12" s="35"/>
      <c r="CB12" s="35"/>
      <c r="CC12" s="35"/>
      <c r="CD12" s="35"/>
      <c r="CE12" s="35"/>
      <c r="CF12" s="35"/>
      <c r="CG12" s="35"/>
      <c r="CH12" s="35"/>
      <c r="CI12" s="35"/>
      <c r="CJ12" s="35"/>
      <c r="CK12" s="35"/>
      <c r="CL12" s="35"/>
      <c r="CM12" s="35"/>
      <c r="CN12" s="35"/>
      <c r="CO12" s="35"/>
      <c r="CP12" s="35"/>
      <c r="CQ12" s="35"/>
      <c r="CR12" s="35"/>
      <c r="CS12" s="35"/>
      <c r="CT12" s="35"/>
      <c r="CU12" s="35"/>
      <c r="CV12" s="35"/>
      <c r="CW12" s="35"/>
      <c r="CX12" s="35"/>
      <c r="CY12" s="35"/>
      <c r="CZ12" s="35"/>
      <c r="DA12" s="35"/>
      <c r="DB12" s="35"/>
      <c r="DC12" s="35"/>
      <c r="DD12" s="35"/>
      <c r="DE12" s="35"/>
      <c r="DF12" s="35"/>
      <c r="DG12" s="35"/>
      <c r="DH12" s="35"/>
      <c r="DI12" s="35"/>
      <c r="DJ12" s="35"/>
      <c r="DK12" s="35"/>
      <c r="DL12" s="35"/>
      <c r="DM12" s="35"/>
      <c r="DN12" s="35"/>
      <c r="DO12" s="35"/>
      <c r="DP12" s="35"/>
      <c r="DQ12" s="35"/>
      <c r="DR12" s="35"/>
      <c r="DS12" s="35"/>
      <c r="DT12" s="35"/>
      <c r="DU12" s="35"/>
      <c r="DV12" s="35"/>
      <c r="DW12" s="35"/>
      <c r="DX12" s="35"/>
      <c r="DY12" s="35"/>
      <c r="DZ12" s="35"/>
      <c r="EA12" s="35"/>
      <c r="EB12" s="35"/>
      <c r="EC12" s="35"/>
      <c r="ED12" s="35"/>
      <c r="EE12" s="35"/>
      <c r="EF12" s="35"/>
      <c r="EG12" s="35"/>
      <c r="EH12" s="35"/>
      <c r="EI12" s="35"/>
      <c r="EJ12" s="35"/>
      <c r="EK12" s="35"/>
      <c r="EL12" s="35"/>
      <c r="EM12" s="35"/>
      <c r="EN12" s="35"/>
      <c r="EO12" s="35"/>
      <c r="EP12" s="35"/>
      <c r="EQ12" s="35"/>
      <c r="ER12" s="35"/>
      <c r="ES12" s="35"/>
      <c r="ET12" s="35"/>
      <c r="EU12" s="35"/>
      <c r="EV12" s="35"/>
      <c r="EW12" s="35"/>
      <c r="EX12" s="35"/>
      <c r="EY12" s="35"/>
      <c r="EZ12" s="35"/>
      <c r="FA12" s="35"/>
      <c r="FB12" s="35"/>
      <c r="FC12" s="35"/>
      <c r="FD12" s="35"/>
      <c r="FE12" s="35"/>
      <c r="FF12" s="35"/>
      <c r="FG12" s="35"/>
      <c r="FH12" s="35"/>
      <c r="FI12" s="35"/>
      <c r="FJ12" s="35"/>
      <c r="FK12" s="35"/>
      <c r="FL12" s="35"/>
      <c r="FM12" s="35"/>
      <c r="FN12" s="35"/>
      <c r="FO12" s="35"/>
      <c r="FP12" s="35"/>
      <c r="FQ12" s="35"/>
      <c r="FR12" s="35"/>
      <c r="FS12" s="35"/>
      <c r="FT12" s="35"/>
      <c r="FU12" s="35"/>
      <c r="FV12" s="35"/>
      <c r="FW12" s="35"/>
      <c r="FX12" s="35"/>
      <c r="FY12" s="35"/>
      <c r="FZ12" s="35"/>
      <c r="GA12" s="35"/>
      <c r="GB12" s="35"/>
      <c r="GC12" s="35"/>
      <c r="GD12" s="35"/>
      <c r="GE12" s="35"/>
      <c r="GF12" s="35"/>
      <c r="GG12" s="35"/>
      <c r="GH12" s="35"/>
      <c r="GI12" s="35"/>
      <c r="GJ12" s="35"/>
      <c r="GK12" s="35"/>
      <c r="GL12" s="35"/>
      <c r="GM12" s="35"/>
      <c r="GN12" s="35"/>
      <c r="GO12" s="35"/>
      <c r="GP12" s="35"/>
      <c r="GQ12" s="35"/>
      <c r="GR12" s="35"/>
      <c r="GS12" s="35"/>
      <c r="GT12" s="35"/>
      <c r="GU12" s="35"/>
      <c r="GV12" s="35"/>
      <c r="GW12" s="35"/>
      <c r="GX12" s="35"/>
      <c r="GY12" s="35"/>
      <c r="GZ12" s="35"/>
      <c r="HA12" s="35"/>
      <c r="HB12" s="35"/>
      <c r="HC12" s="35"/>
      <c r="HD12" s="35"/>
      <c r="HE12" s="35"/>
      <c r="HF12" s="35"/>
      <c r="HG12" s="35"/>
      <c r="HH12" s="35"/>
      <c r="HI12" s="35"/>
      <c r="HJ12" s="35"/>
      <c r="HK12" s="35"/>
      <c r="HL12" s="35"/>
      <c r="HM12" s="35"/>
      <c r="HN12" s="35"/>
      <c r="HO12" s="35"/>
      <c r="HP12" s="35"/>
      <c r="HQ12" s="35"/>
      <c r="HR12" s="35"/>
      <c r="HS12" s="35"/>
      <c r="HT12" s="35"/>
      <c r="HU12" s="35"/>
      <c r="HV12" s="35"/>
      <c r="HW12" s="35"/>
      <c r="HX12" s="35"/>
      <c r="HY12" s="35"/>
      <c r="HZ12" s="35"/>
      <c r="IA12" s="35"/>
      <c r="IB12" s="35"/>
      <c r="IC12" s="35"/>
      <c r="ID12" s="35"/>
      <c r="IE12" s="35"/>
      <c r="IF12" s="35"/>
      <c r="IG12" s="35"/>
      <c r="IH12" s="35"/>
      <c r="II12" s="35"/>
      <c r="IJ12" s="35"/>
      <c r="IK12" s="35"/>
      <c r="IL12" s="35"/>
      <c r="IM12" s="35"/>
      <c r="IN12" s="35"/>
      <c r="IO12" s="35"/>
      <c r="IP12" s="35"/>
      <c r="IQ12" s="35"/>
      <c r="IR12" s="35"/>
      <c r="IS12" s="35"/>
      <c r="IT12" s="35"/>
      <c r="IU12" s="35"/>
      <c r="IV12" s="35"/>
      <c r="IW12" s="35"/>
      <c r="IX12" s="35"/>
      <c r="IY12" s="35"/>
      <c r="IZ12" s="35"/>
      <c r="JA12" s="35"/>
      <c r="JB12" s="35"/>
      <c r="JC12" s="35"/>
      <c r="JD12" s="35"/>
      <c r="JE12" s="35"/>
      <c r="JF12" s="35"/>
      <c r="JG12" s="35"/>
      <c r="JH12" s="35"/>
      <c r="JI12" s="35"/>
      <c r="JJ12" s="35"/>
      <c r="JK12" s="35"/>
      <c r="JL12" s="35"/>
      <c r="JM12" s="35"/>
      <c r="JN12" s="35"/>
      <c r="JO12" s="35"/>
      <c r="JP12" s="35"/>
      <c r="JQ12" s="35"/>
      <c r="JR12" s="35"/>
      <c r="JS12" s="35"/>
      <c r="JT12" s="35"/>
      <c r="JU12" s="35"/>
      <c r="JV12" s="35"/>
      <c r="JW12" s="35"/>
      <c r="JX12" s="35"/>
      <c r="JY12" s="35"/>
      <c r="JZ12" s="35"/>
      <c r="KA12" s="35"/>
      <c r="KB12" s="35"/>
      <c r="KC12" s="35"/>
      <c r="KD12" s="35"/>
      <c r="KE12" s="35"/>
      <c r="KF12" s="35"/>
      <c r="KG12" s="35"/>
      <c r="KH12" s="35"/>
      <c r="KI12" s="35"/>
      <c r="KJ12" s="35"/>
      <c r="KK12" s="35"/>
      <c r="KL12" s="35"/>
      <c r="KM12" s="35"/>
      <c r="KN12" s="35"/>
      <c r="KO12" s="35"/>
      <c r="KP12" s="35"/>
      <c r="KQ12" s="35"/>
      <c r="KR12" s="35"/>
      <c r="KS12" s="35"/>
      <c r="KT12" s="35"/>
      <c r="KU12" s="35"/>
      <c r="KV12" s="35"/>
      <c r="KW12" s="35"/>
      <c r="KX12" s="35"/>
      <c r="KY12" s="35"/>
      <c r="KZ12" s="35"/>
      <c r="LA12" s="35"/>
      <c r="LB12" s="35"/>
      <c r="LC12" s="35"/>
      <c r="LD12" s="35"/>
      <c r="LE12" s="35"/>
      <c r="LF12" s="35"/>
      <c r="LG12" s="35"/>
      <c r="LH12" s="35"/>
      <c r="LI12" s="35"/>
      <c r="LJ12" s="35"/>
      <c r="LK12" s="35"/>
      <c r="LL12" s="35"/>
      <c r="LM12" s="35"/>
      <c r="LN12" s="35"/>
      <c r="LO12" s="35"/>
      <c r="LP12" s="35"/>
      <c r="LQ12" s="35"/>
      <c r="LR12" s="35"/>
      <c r="LS12" s="35"/>
      <c r="LT12" s="35"/>
      <c r="LU12" s="35"/>
      <c r="LV12" s="35"/>
      <c r="LW12" s="35"/>
      <c r="LX12" s="35"/>
      <c r="LY12" s="35"/>
      <c r="LZ12" s="35"/>
      <c r="MA12" s="35"/>
      <c r="MB12" s="35"/>
      <c r="MC12" s="35"/>
      <c r="MD12" s="35"/>
      <c r="ME12" s="35"/>
      <c r="MF12" s="35"/>
      <c r="MG12" s="35"/>
      <c r="MH12" s="35"/>
      <c r="MI12" s="35"/>
      <c r="MJ12" s="35"/>
      <c r="MK12" s="35"/>
      <c r="ML12" s="35"/>
      <c r="MM12" s="35"/>
      <c r="MN12" s="35"/>
      <c r="MO12" s="35"/>
      <c r="MP12" s="35"/>
      <c r="MQ12" s="35"/>
      <c r="MR12" s="35"/>
      <c r="MS12" s="35"/>
      <c r="MT12" s="35"/>
      <c r="MU12" s="35"/>
      <c r="MV12" s="35"/>
      <c r="MW12" s="35"/>
      <c r="MX12" s="35"/>
      <c r="MY12" s="35"/>
      <c r="MZ12" s="35"/>
      <c r="NA12" s="35"/>
      <c r="NB12" s="35"/>
      <c r="NC12" s="35"/>
      <c r="ND12" s="35"/>
      <c r="NE12" s="35"/>
      <c r="NF12" s="35"/>
      <c r="NG12" s="35"/>
      <c r="NH12" s="35"/>
      <c r="NI12" s="35"/>
      <c r="NJ12" s="35"/>
      <c r="NK12" s="35"/>
      <c r="NL12" s="35"/>
      <c r="NM12" s="35"/>
      <c r="NN12" s="35"/>
      <c r="NO12" s="35"/>
      <c r="NP12" s="35"/>
      <c r="NQ12" s="35"/>
      <c r="NR12" s="35"/>
      <c r="NS12" s="35"/>
      <c r="NT12" s="35"/>
      <c r="NU12" s="35"/>
      <c r="NV12" s="35"/>
      <c r="NW12" s="35"/>
      <c r="NX12" s="35"/>
      <c r="NY12" s="35"/>
      <c r="NZ12" s="35"/>
      <c r="OA12" s="35"/>
      <c r="OB12" s="35"/>
      <c r="OC12" s="35"/>
      <c r="OD12" s="35"/>
      <c r="OE12" s="35"/>
      <c r="OF12" s="35"/>
      <c r="OG12" s="35"/>
      <c r="OH12" s="35"/>
      <c r="OI12" s="35"/>
      <c r="OJ12" s="35"/>
      <c r="OK12" s="35"/>
      <c r="OL12" s="35"/>
      <c r="OM12" s="35"/>
      <c r="ON12" s="35"/>
      <c r="OO12" s="35"/>
      <c r="OP12" s="35"/>
      <c r="OQ12" s="35"/>
      <c r="OR12" s="35"/>
      <c r="OS12" s="35"/>
      <c r="OT12" s="35"/>
      <c r="OU12" s="35"/>
      <c r="OV12" s="35"/>
      <c r="OW12" s="35"/>
      <c r="OX12" s="35"/>
      <c r="OY12" s="35"/>
      <c r="OZ12" s="35"/>
      <c r="PA12" s="35"/>
      <c r="PB12" s="35"/>
      <c r="PC12" s="35"/>
      <c r="PD12" s="35"/>
      <c r="PE12" s="35"/>
      <c r="PF12" s="35"/>
      <c r="PG12" s="35"/>
      <c r="PH12" s="35"/>
      <c r="PI12" s="35"/>
      <c r="PJ12" s="35"/>
      <c r="PK12" s="35"/>
      <c r="PL12" s="35"/>
      <c r="PM12" s="35"/>
      <c r="PN12" s="35"/>
      <c r="PO12" s="35"/>
      <c r="PP12" s="35"/>
      <c r="PQ12" s="35"/>
      <c r="PR12" s="35"/>
      <c r="PS12" s="35"/>
      <c r="PT12" s="35"/>
      <c r="PU12" s="35"/>
      <c r="PV12" s="35"/>
      <c r="PW12" s="35"/>
      <c r="PX12" s="35"/>
      <c r="PY12" s="35"/>
      <c r="PZ12" s="35"/>
      <c r="QA12" s="35"/>
      <c r="QB12" s="35"/>
      <c r="QC12" s="35"/>
      <c r="QD12" s="35"/>
      <c r="QE12" s="35"/>
      <c r="QF12" s="35"/>
      <c r="QG12" s="35"/>
      <c r="QH12" s="35"/>
      <c r="QI12" s="35"/>
      <c r="QJ12" s="35"/>
      <c r="QK12" s="35"/>
      <c r="QL12" s="35"/>
      <c r="QM12" s="35"/>
      <c r="QN12" s="35"/>
      <c r="QO12" s="35"/>
      <c r="QP12" s="35"/>
      <c r="QQ12" s="35"/>
      <c r="QR12" s="35"/>
      <c r="QS12" s="35"/>
      <c r="QT12" s="35"/>
      <c r="QU12" s="35"/>
      <c r="QV12" s="35"/>
      <c r="QW12" s="35"/>
      <c r="QX12" s="35"/>
      <c r="QY12" s="35"/>
      <c r="QZ12" s="35"/>
      <c r="RA12" s="35"/>
      <c r="RB12" s="35"/>
      <c r="RC12" s="35"/>
      <c r="RD12" s="35"/>
      <c r="RE12" s="35"/>
      <c r="RF12" s="35"/>
      <c r="RG12" s="35"/>
      <c r="RH12" s="35"/>
      <c r="RI12" s="35"/>
      <c r="RJ12" s="35"/>
      <c r="RK12" s="35"/>
      <c r="RL12" s="35"/>
      <c r="RM12" s="35"/>
      <c r="RN12" s="35"/>
      <c r="RO12" s="35"/>
      <c r="RP12" s="35"/>
      <c r="RQ12" s="35"/>
      <c r="RR12" s="35"/>
      <c r="RS12" s="35"/>
      <c r="RT12" s="35"/>
      <c r="RU12" s="35"/>
      <c r="RV12" s="35"/>
      <c r="RW12" s="35"/>
      <c r="RX12" s="35"/>
      <c r="RY12" s="35"/>
      <c r="RZ12" s="35"/>
      <c r="SA12" s="35"/>
      <c r="SB12" s="35"/>
      <c r="SC12" s="35"/>
      <c r="SD12" s="35"/>
      <c r="SE12" s="35"/>
      <c r="SF12" s="35"/>
      <c r="SG12" s="35"/>
      <c r="SH12" s="35"/>
      <c r="SI12" s="35"/>
      <c r="SJ12" s="35"/>
      <c r="SK12" s="35"/>
      <c r="SL12" s="35"/>
      <c r="SM12" s="35"/>
      <c r="SN12" s="35"/>
      <c r="SO12" s="35"/>
      <c r="SP12" s="35"/>
      <c r="SQ12" s="35"/>
      <c r="SR12" s="35"/>
      <c r="SS12" s="35"/>
      <c r="ST12" s="35"/>
      <c r="SU12" s="35"/>
      <c r="SV12" s="35"/>
      <c r="SW12" s="35"/>
      <c r="SX12" s="35"/>
      <c r="SY12" s="35"/>
      <c r="SZ12" s="35"/>
      <c r="TA12" s="35"/>
      <c r="TB12" s="35"/>
      <c r="TC12" s="35"/>
      <c r="TD12" s="35"/>
      <c r="TE12" s="35"/>
      <c r="TF12" s="35"/>
      <c r="TG12" s="35"/>
      <c r="TH12" s="35"/>
      <c r="TI12" s="35"/>
      <c r="TJ12" s="35"/>
      <c r="TK12" s="35"/>
      <c r="TL12" s="35"/>
      <c r="TM12" s="35"/>
      <c r="TN12" s="35"/>
      <c r="TO12" s="35"/>
      <c r="TP12" s="35"/>
      <c r="TQ12" s="35"/>
      <c r="TR12" s="35"/>
      <c r="TS12" s="35"/>
      <c r="TT12" s="35"/>
      <c r="TU12" s="35"/>
      <c r="TV12" s="35"/>
      <c r="TW12" s="35"/>
      <c r="TX12" s="35"/>
      <c r="TY12" s="35"/>
      <c r="TZ12" s="35"/>
      <c r="UA12" s="35"/>
      <c r="UB12" s="35"/>
      <c r="UC12" s="35"/>
      <c r="UD12" s="35"/>
      <c r="UE12" s="35"/>
      <c r="UF12" s="35"/>
      <c r="UG12" s="35"/>
      <c r="UH12" s="35"/>
      <c r="UI12" s="35"/>
      <c r="UJ12" s="35"/>
      <c r="UK12" s="35"/>
      <c r="UL12" s="35"/>
      <c r="UM12" s="35"/>
      <c r="UN12" s="35"/>
      <c r="UO12" s="35"/>
      <c r="UP12" s="35"/>
      <c r="UQ12" s="35"/>
      <c r="UR12" s="35"/>
      <c r="US12" s="35"/>
      <c r="UT12" s="35"/>
      <c r="UU12" s="35"/>
      <c r="UV12" s="35"/>
      <c r="UW12" s="35"/>
      <c r="UX12" s="35"/>
      <c r="UY12" s="35"/>
      <c r="UZ12" s="35"/>
      <c r="VA12" s="35"/>
      <c r="VB12" s="35"/>
      <c r="VC12" s="35"/>
      <c r="VD12" s="35"/>
      <c r="VE12" s="35"/>
      <c r="VF12" s="35"/>
      <c r="VG12" s="35"/>
      <c r="VH12" s="35"/>
      <c r="VI12" s="35"/>
      <c r="VJ12" s="35"/>
      <c r="VK12" s="35"/>
      <c r="VL12" s="35"/>
      <c r="VM12" s="35"/>
      <c r="VN12" s="35"/>
      <c r="VO12" s="35"/>
      <c r="VP12" s="35"/>
      <c r="VQ12" s="35"/>
      <c r="VR12" s="35"/>
      <c r="VS12" s="35"/>
      <c r="VT12" s="35"/>
      <c r="VU12" s="35"/>
      <c r="VV12" s="35"/>
      <c r="VW12" s="35"/>
      <c r="VX12" s="35"/>
      <c r="VY12" s="35"/>
      <c r="VZ12" s="35"/>
      <c r="WA12" s="35"/>
      <c r="WB12" s="35"/>
      <c r="WC12" s="35"/>
      <c r="WD12" s="35"/>
      <c r="WE12" s="35"/>
      <c r="WF12" s="35"/>
      <c r="WG12" s="35"/>
      <c r="WH12" s="35"/>
      <c r="WI12" s="35"/>
      <c r="WJ12" s="35"/>
      <c r="WK12" s="35"/>
      <c r="WL12" s="35"/>
      <c r="WM12" s="35"/>
      <c r="WN12" s="35"/>
      <c r="WO12" s="35"/>
      <c r="WP12" s="35"/>
      <c r="WQ12" s="35"/>
      <c r="WR12" s="35"/>
      <c r="WS12" s="35"/>
      <c r="WT12" s="35"/>
      <c r="WU12" s="35"/>
      <c r="WV12" s="35"/>
      <c r="WW12" s="35"/>
      <c r="WX12" s="35"/>
      <c r="WY12" s="35"/>
      <c r="WZ12" s="35"/>
      <c r="XA12" s="35"/>
      <c r="XB12" s="35"/>
      <c r="XC12" s="35"/>
      <c r="XD12" s="35"/>
      <c r="XE12" s="35"/>
      <c r="XF12" s="35"/>
      <c r="XG12" s="35"/>
      <c r="XH12" s="35"/>
      <c r="XI12" s="35"/>
      <c r="XJ12" s="35"/>
      <c r="XK12" s="35"/>
      <c r="XL12" s="35"/>
      <c r="XM12" s="35"/>
      <c r="XN12" s="35"/>
      <c r="XO12" s="35"/>
      <c r="XP12" s="35"/>
      <c r="XQ12" s="35"/>
      <c r="XR12" s="35"/>
      <c r="XS12" s="35"/>
      <c r="XT12" s="35"/>
      <c r="XU12" s="35"/>
      <c r="XV12" s="35"/>
      <c r="XW12" s="35"/>
      <c r="XX12" s="35"/>
      <c r="XY12" s="35"/>
      <c r="XZ12" s="35"/>
      <c r="YA12" s="35"/>
      <c r="YB12" s="35"/>
      <c r="YC12" s="35"/>
      <c r="YD12" s="35"/>
      <c r="YE12" s="35"/>
      <c r="YF12" s="35"/>
      <c r="YG12" s="35"/>
      <c r="YH12" s="35"/>
      <c r="YI12" s="35"/>
      <c r="YJ12" s="35"/>
      <c r="YK12" s="35"/>
      <c r="YL12" s="35"/>
      <c r="YM12" s="35"/>
      <c r="YN12" s="35"/>
      <c r="YO12" s="35"/>
      <c r="YP12" s="35"/>
      <c r="YQ12" s="35"/>
      <c r="YR12" s="35"/>
      <c r="YS12" s="35"/>
      <c r="YT12" s="35"/>
      <c r="YU12" s="35"/>
      <c r="YV12" s="35"/>
      <c r="YW12" s="35"/>
      <c r="YX12" s="35"/>
      <c r="YY12" s="35"/>
      <c r="YZ12" s="35"/>
      <c r="ZA12" s="35"/>
      <c r="ZB12" s="35"/>
      <c r="ZC12" s="35"/>
      <c r="ZD12" s="35"/>
      <c r="ZE12" s="35"/>
      <c r="ZF12" s="35"/>
      <c r="ZG12" s="35"/>
      <c r="ZH12" s="35"/>
      <c r="ZI12" s="35"/>
      <c r="ZJ12" s="35"/>
      <c r="ZK12" s="35"/>
      <c r="ZL12" s="35"/>
      <c r="ZM12" s="35"/>
      <c r="ZN12" s="35"/>
      <c r="ZO12" s="35"/>
      <c r="ZP12" s="35"/>
      <c r="ZQ12" s="35"/>
      <c r="ZR12" s="35"/>
      <c r="ZS12" s="35"/>
      <c r="ZT12" s="35"/>
      <c r="ZU12" s="35"/>
      <c r="ZV12" s="35"/>
      <c r="ZW12" s="35"/>
      <c r="ZX12" s="35"/>
      <c r="ZY12" s="35"/>
      <c r="ZZ12" s="35"/>
      <c r="AAA12" s="35"/>
      <c r="AAB12" s="35"/>
      <c r="AAC12" s="35"/>
      <c r="AAD12" s="35"/>
      <c r="AAE12" s="35"/>
      <c r="AAF12" s="35"/>
      <c r="AAG12" s="35"/>
      <c r="AAH12" s="35"/>
      <c r="AAI12" s="35"/>
      <c r="AAJ12" s="35"/>
      <c r="AAK12" s="35"/>
      <c r="AAL12" s="35"/>
      <c r="AAM12" s="35"/>
      <c r="AAN12" s="35"/>
      <c r="AAO12" s="35"/>
      <c r="AAP12" s="35"/>
      <c r="AAQ12" s="35"/>
      <c r="AAR12" s="35"/>
      <c r="AAS12" s="35"/>
      <c r="AAT12" s="35"/>
      <c r="AAU12" s="35"/>
      <c r="AAV12" s="35"/>
      <c r="AAW12" s="35"/>
      <c r="AAX12" s="35"/>
      <c r="AAY12" s="35"/>
      <c r="AAZ12" s="35"/>
      <c r="ABA12" s="35"/>
      <c r="ABB12" s="35"/>
      <c r="ABC12" s="35"/>
      <c r="ABD12" s="35"/>
      <c r="ABE12" s="35"/>
      <c r="ABF12" s="35"/>
      <c r="ABG12" s="35"/>
      <c r="ABH12" s="35"/>
      <c r="ABI12" s="35"/>
      <c r="ABJ12" s="35"/>
      <c r="ABK12" s="35"/>
      <c r="ABL12" s="35"/>
      <c r="ABM12" s="35"/>
      <c r="ABN12" s="35"/>
      <c r="ABO12" s="35"/>
      <c r="ABP12" s="35"/>
      <c r="ABQ12" s="35"/>
      <c r="ABR12" s="35"/>
      <c r="ABS12" s="35"/>
      <c r="ABT12" s="35"/>
      <c r="ABU12" s="35"/>
      <c r="ABV12" s="35"/>
      <c r="ABW12" s="35"/>
      <c r="ABX12" s="35"/>
      <c r="ABY12" s="35"/>
      <c r="ABZ12" s="35"/>
      <c r="ACA12" s="35"/>
      <c r="ACB12" s="35"/>
      <c r="ACC12" s="35"/>
      <c r="ACD12" s="35"/>
      <c r="ACE12" s="35"/>
      <c r="ACF12" s="35"/>
      <c r="ACG12" s="35"/>
      <c r="ACH12" s="35"/>
      <c r="ACI12" s="35"/>
      <c r="ACJ12" s="35"/>
      <c r="ACK12" s="35"/>
      <c r="ACL12" s="35"/>
      <c r="ACM12" s="35"/>
      <c r="ACN12" s="35"/>
      <c r="ACO12" s="35"/>
      <c r="ACP12" s="35"/>
      <c r="ACQ12" s="35"/>
      <c r="ACR12" s="35"/>
      <c r="ACS12" s="35"/>
      <c r="ACT12" s="35"/>
      <c r="ACU12" s="35"/>
      <c r="ACV12" s="35"/>
      <c r="ACW12" s="35"/>
      <c r="ACX12" s="35"/>
      <c r="ACY12" s="35"/>
      <c r="ACZ12" s="35"/>
      <c r="ADA12" s="35"/>
      <c r="ADB12" s="35"/>
      <c r="ADC12" s="35"/>
      <c r="ADD12" s="35"/>
      <c r="ADE12" s="35"/>
      <c r="ADF12" s="35"/>
      <c r="ADG12" s="35"/>
      <c r="ADH12" s="35"/>
      <c r="ADI12" s="35"/>
      <c r="ADJ12" s="35"/>
      <c r="ADK12" s="35"/>
      <c r="ADL12" s="35"/>
      <c r="ADM12" s="35"/>
      <c r="ADN12" s="35"/>
      <c r="ADO12" s="35"/>
      <c r="ADP12" s="35"/>
      <c r="ADQ12" s="35"/>
      <c r="ADR12" s="35"/>
      <c r="ADS12" s="35"/>
      <c r="ADT12" s="35"/>
      <c r="ADU12" s="35"/>
      <c r="ADV12" s="35"/>
      <c r="ADW12" s="35"/>
      <c r="ADX12" s="35"/>
      <c r="ADY12" s="35"/>
      <c r="ADZ12" s="35"/>
      <c r="AEA12" s="35"/>
      <c r="AEB12" s="35"/>
      <c r="AEC12" s="35"/>
      <c r="AED12" s="35"/>
      <c r="AEE12" s="35"/>
      <c r="AEF12" s="35"/>
      <c r="AEG12" s="35"/>
      <c r="AEH12" s="35"/>
      <c r="AEI12" s="35"/>
      <c r="AEJ12" s="35"/>
      <c r="AEK12" s="35"/>
      <c r="AEL12" s="35"/>
      <c r="AEM12" s="35"/>
      <c r="AEN12" s="35"/>
      <c r="AEO12" s="35"/>
      <c r="AEP12" s="35"/>
      <c r="AEQ12" s="35"/>
      <c r="AER12" s="35"/>
      <c r="AES12" s="35"/>
      <c r="AET12" s="35"/>
      <c r="AEU12" s="35"/>
      <c r="AEV12" s="35"/>
      <c r="AEW12" s="35"/>
      <c r="AEX12" s="35"/>
      <c r="AEY12" s="35"/>
      <c r="AEZ12" s="35"/>
      <c r="AFA12" s="35"/>
      <c r="AFB12" s="35"/>
      <c r="AFC12" s="35"/>
      <c r="AFD12" s="35"/>
      <c r="AFE12" s="35"/>
      <c r="AFF12" s="35"/>
      <c r="AFG12" s="35"/>
      <c r="AFH12" s="35"/>
      <c r="AFI12" s="35"/>
      <c r="AFJ12" s="35"/>
      <c r="AFK12" s="35"/>
      <c r="AFL12" s="35"/>
      <c r="AFM12" s="35"/>
      <c r="AFN12" s="35"/>
      <c r="AFO12" s="35"/>
      <c r="AFP12" s="35"/>
      <c r="AFQ12" s="35"/>
      <c r="AFR12" s="35"/>
      <c r="AFS12" s="35"/>
      <c r="AFT12" s="35"/>
      <c r="AFU12" s="35"/>
      <c r="AFV12" s="35"/>
      <c r="AFW12" s="35"/>
      <c r="AFX12" s="35"/>
      <c r="AFY12" s="35"/>
      <c r="AFZ12" s="35"/>
      <c r="AGA12" s="35"/>
      <c r="AGB12" s="35"/>
      <c r="AGC12" s="35"/>
      <c r="AGD12" s="35"/>
      <c r="AGE12" s="35"/>
      <c r="AGF12" s="35"/>
      <c r="AGG12" s="35"/>
      <c r="AGH12" s="35"/>
      <c r="AGI12" s="35"/>
      <c r="AGJ12" s="35"/>
      <c r="AGK12" s="35"/>
      <c r="AGL12" s="35"/>
      <c r="AGM12" s="35"/>
      <c r="AGN12" s="35"/>
      <c r="AGO12" s="35"/>
      <c r="AGP12" s="35"/>
      <c r="AGQ12" s="35"/>
      <c r="AGR12" s="35"/>
      <c r="AGS12" s="35"/>
      <c r="AGT12" s="35"/>
      <c r="AGU12" s="35"/>
      <c r="AGV12" s="35"/>
      <c r="AGW12" s="35"/>
      <c r="AGX12" s="35"/>
      <c r="AGY12" s="35"/>
      <c r="AGZ12" s="35"/>
      <c r="AHA12" s="35"/>
      <c r="AHB12" s="35"/>
      <c r="AHC12" s="35"/>
      <c r="AHD12" s="35"/>
      <c r="AHE12" s="35"/>
      <c r="AHF12" s="35"/>
      <c r="AHG12" s="35"/>
      <c r="AHH12" s="35"/>
      <c r="AHI12" s="35"/>
      <c r="AHJ12" s="35"/>
      <c r="AHK12" s="35"/>
      <c r="AHL12" s="35"/>
      <c r="AHM12" s="35"/>
      <c r="AHN12" s="35"/>
      <c r="AHO12" s="35"/>
      <c r="AHP12" s="35"/>
      <c r="AHQ12" s="35"/>
      <c r="AHR12" s="35"/>
      <c r="AHS12" s="35"/>
      <c r="AHT12" s="35"/>
      <c r="AHU12" s="35"/>
      <c r="AHV12" s="35"/>
      <c r="AHW12" s="35"/>
      <c r="AHX12" s="35"/>
      <c r="AHY12" s="35"/>
      <c r="AHZ12" s="35"/>
      <c r="AIA12" s="35"/>
      <c r="AIB12" s="35"/>
      <c r="AIC12" s="35"/>
      <c r="AID12" s="35"/>
      <c r="AIE12" s="35"/>
      <c r="AIF12" s="35"/>
      <c r="AIG12" s="35"/>
      <c r="AIH12" s="35"/>
      <c r="AII12" s="35"/>
      <c r="AIJ12" s="35"/>
      <c r="AIK12" s="35"/>
      <c r="AIL12" s="35"/>
      <c r="AIM12" s="35"/>
      <c r="AIN12" s="35"/>
      <c r="AIO12" s="35"/>
      <c r="AIP12" s="35"/>
      <c r="AIQ12" s="35"/>
      <c r="AIR12" s="35"/>
      <c r="AIS12" s="35"/>
      <c r="AIT12" s="35"/>
      <c r="AIU12" s="35"/>
      <c r="AIV12" s="35"/>
      <c r="AIW12" s="35"/>
      <c r="AIX12" s="35"/>
      <c r="AIY12" s="35"/>
      <c r="AIZ12" s="35"/>
      <c r="AJA12" s="35"/>
      <c r="AJB12" s="35"/>
      <c r="AJC12" s="35"/>
      <c r="AJD12" s="35"/>
      <c r="AJE12" s="35"/>
      <c r="AJF12" s="35"/>
      <c r="AJG12" s="35"/>
      <c r="AJH12" s="35"/>
      <c r="AJI12" s="35"/>
      <c r="AJJ12" s="35"/>
      <c r="AJK12" s="35"/>
      <c r="AJL12" s="35"/>
      <c r="AJM12" s="35"/>
      <c r="AJN12" s="35"/>
      <c r="AJO12" s="35"/>
      <c r="AJP12" s="35"/>
      <c r="AJQ12" s="35"/>
      <c r="AJR12" s="35"/>
      <c r="AJS12" s="35"/>
      <c r="AJT12" s="35"/>
      <c r="AJU12" s="35"/>
      <c r="AJV12" s="35"/>
      <c r="AJW12" s="35"/>
      <c r="AJX12" s="35"/>
      <c r="AJY12" s="35"/>
      <c r="AJZ12" s="35"/>
      <c r="AKA12" s="35"/>
      <c r="AKB12" s="35"/>
      <c r="AKC12" s="35"/>
      <c r="AKD12" s="35"/>
      <c r="AKE12" s="35"/>
      <c r="AKF12" s="35"/>
      <c r="AKG12" s="35"/>
      <c r="AKH12" s="35"/>
      <c r="AKI12" s="35"/>
      <c r="AKJ12" s="35"/>
      <c r="AKK12" s="35"/>
      <c r="AKL12" s="35"/>
      <c r="AKM12" s="35"/>
      <c r="AKN12" s="35"/>
      <c r="AKO12" s="35"/>
      <c r="AKP12" s="35"/>
      <c r="AKQ12" s="35"/>
      <c r="AKR12" s="35"/>
      <c r="AKS12" s="35"/>
      <c r="AKT12" s="35"/>
      <c r="AKU12" s="35"/>
      <c r="AKV12" s="35"/>
      <c r="AKW12" s="35"/>
      <c r="AKX12" s="35"/>
      <c r="AKY12" s="35"/>
      <c r="AKZ12" s="35"/>
      <c r="ALA12" s="35"/>
      <c r="ALB12" s="35"/>
      <c r="ALC12" s="35"/>
      <c r="ALD12" s="35"/>
      <c r="ALE12" s="35"/>
      <c r="ALF12" s="35"/>
      <c r="ALG12" s="35"/>
      <c r="ALH12" s="35"/>
      <c r="ALI12" s="35"/>
      <c r="ALJ12" s="35"/>
      <c r="ALK12" s="35"/>
      <c r="ALL12" s="35"/>
      <c r="ALM12" s="35"/>
      <c r="ALN12" s="35"/>
      <c r="ALO12" s="35"/>
      <c r="ALP12" s="35"/>
      <c r="ALQ12" s="35"/>
      <c r="ALR12" s="35"/>
      <c r="ALS12" s="35"/>
      <c r="ALT12" s="35"/>
      <c r="ALU12" s="35"/>
      <c r="ALV12" s="35"/>
      <c r="ALW12" s="35"/>
      <c r="ALX12" s="35"/>
      <c r="ALY12" s="35"/>
      <c r="ALZ12" s="35"/>
      <c r="AMA12" s="35"/>
      <c r="AMB12" s="35"/>
      <c r="AMC12" s="35"/>
      <c r="AMD12" s="35"/>
      <c r="AME12" s="35"/>
      <c r="AMF12" s="35"/>
      <c r="AMG12" s="35"/>
      <c r="AMH12" s="35"/>
      <c r="AMI12" s="35"/>
      <c r="AMJ12" s="35"/>
      <c r="AMK12" s="35"/>
      <c r="AML12" s="35"/>
      <c r="AMM12" s="35"/>
      <c r="AMN12" s="35"/>
      <c r="AMO12" s="35"/>
      <c r="AMP12" s="35"/>
      <c r="AMQ12" s="35"/>
      <c r="AMR12" s="35"/>
      <c r="AMS12" s="35"/>
      <c r="AMT12" s="35"/>
      <c r="AMU12" s="35"/>
      <c r="AMV12" s="35"/>
      <c r="AMW12" s="35"/>
      <c r="AMX12" s="35"/>
      <c r="AMY12" s="35"/>
      <c r="AMZ12" s="35"/>
      <c r="ANA12" s="35"/>
    </row>
    <row r="13" customFormat="false" ht="12.8" hidden="true" customHeight="true" outlineLevel="1" collapsed="false">
      <c r="A13" s="40"/>
      <c r="B13" s="40"/>
      <c r="C13" s="40"/>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c r="BL13" s="40"/>
      <c r="BM13" s="40"/>
      <c r="BN13" s="40"/>
      <c r="BO13" s="40"/>
      <c r="BP13" s="40"/>
      <c r="BQ13" s="40"/>
      <c r="BR13" s="40"/>
      <c r="BS13" s="40"/>
      <c r="BT13" s="40"/>
      <c r="BU13" s="40"/>
      <c r="BV13" s="40"/>
      <c r="BW13" s="40"/>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5"/>
      <c r="GC13" s="35"/>
      <c r="GD13" s="35"/>
      <c r="GE13" s="35"/>
      <c r="GF13" s="35"/>
      <c r="GG13" s="35"/>
      <c r="GH13" s="35"/>
      <c r="GI13" s="35"/>
      <c r="GJ13" s="35"/>
      <c r="GK13" s="35"/>
      <c r="GL13" s="35"/>
      <c r="GM13" s="35"/>
      <c r="GN13" s="35"/>
      <c r="GO13" s="35"/>
      <c r="GP13" s="35"/>
      <c r="GQ13" s="35"/>
      <c r="GR13" s="35"/>
      <c r="GS13" s="35"/>
      <c r="GT13" s="35"/>
      <c r="GU13" s="35"/>
      <c r="GV13" s="35"/>
      <c r="GW13" s="35"/>
      <c r="GX13" s="35"/>
      <c r="GY13" s="35"/>
      <c r="GZ13" s="35"/>
      <c r="HA13" s="35"/>
      <c r="HB13" s="35"/>
      <c r="HC13" s="35"/>
      <c r="HD13" s="35"/>
      <c r="HE13" s="35"/>
      <c r="HF13" s="35"/>
      <c r="HG13" s="35"/>
      <c r="HH13" s="35"/>
      <c r="HI13" s="35"/>
      <c r="HJ13" s="35"/>
      <c r="HK13" s="35"/>
      <c r="HL13" s="35"/>
      <c r="HM13" s="35"/>
      <c r="HN13" s="35"/>
      <c r="HO13" s="35"/>
      <c r="HP13" s="35"/>
      <c r="HQ13" s="35"/>
      <c r="HR13" s="35"/>
      <c r="HS13" s="35"/>
      <c r="HT13" s="35"/>
      <c r="HU13" s="35"/>
      <c r="HV13" s="35"/>
      <c r="HW13" s="35"/>
      <c r="HX13" s="35"/>
      <c r="HY13" s="35"/>
      <c r="HZ13" s="35"/>
      <c r="IA13" s="35"/>
      <c r="IB13" s="35"/>
      <c r="IC13" s="35"/>
      <c r="ID13" s="35"/>
      <c r="IE13" s="35"/>
      <c r="IF13" s="35"/>
      <c r="IG13" s="35"/>
      <c r="IH13" s="35"/>
      <c r="II13" s="35"/>
      <c r="IJ13" s="35"/>
      <c r="IK13" s="35"/>
      <c r="IL13" s="35"/>
      <c r="IM13" s="35"/>
      <c r="IN13" s="35"/>
      <c r="IO13" s="35"/>
      <c r="IP13" s="35"/>
      <c r="IQ13" s="35"/>
      <c r="IR13" s="35"/>
      <c r="IS13" s="35"/>
      <c r="IT13" s="35"/>
      <c r="IU13" s="35"/>
      <c r="IV13" s="35"/>
      <c r="IW13" s="35"/>
      <c r="IX13" s="35"/>
      <c r="IY13" s="35"/>
      <c r="IZ13" s="35"/>
      <c r="JA13" s="35"/>
      <c r="JB13" s="35"/>
      <c r="JC13" s="35"/>
      <c r="JD13" s="35"/>
      <c r="JE13" s="35"/>
      <c r="JF13" s="35"/>
      <c r="JG13" s="35"/>
      <c r="JH13" s="35"/>
      <c r="JI13" s="35"/>
      <c r="JJ13" s="35"/>
      <c r="JK13" s="35"/>
      <c r="JL13" s="35"/>
      <c r="JM13" s="35"/>
      <c r="JN13" s="35"/>
      <c r="JO13" s="35"/>
      <c r="JP13" s="35"/>
      <c r="JQ13" s="35"/>
      <c r="JR13" s="35"/>
      <c r="JS13" s="35"/>
      <c r="JT13" s="35"/>
      <c r="JU13" s="35"/>
      <c r="JV13" s="35"/>
      <c r="JW13" s="35"/>
      <c r="JX13" s="35"/>
      <c r="JY13" s="35"/>
      <c r="JZ13" s="35"/>
      <c r="KA13" s="35"/>
      <c r="KB13" s="35"/>
      <c r="KC13" s="35"/>
      <c r="KD13" s="35"/>
      <c r="KE13" s="35"/>
      <c r="KF13" s="35"/>
      <c r="KG13" s="35"/>
      <c r="KH13" s="35"/>
      <c r="KI13" s="35"/>
      <c r="KJ13" s="35"/>
      <c r="KK13" s="35"/>
      <c r="KL13" s="35"/>
      <c r="KM13" s="35"/>
      <c r="KN13" s="35"/>
      <c r="KO13" s="35"/>
      <c r="KP13" s="35"/>
      <c r="KQ13" s="35"/>
      <c r="KR13" s="35"/>
      <c r="KS13" s="35"/>
      <c r="KT13" s="35"/>
      <c r="KU13" s="35"/>
      <c r="KV13" s="35"/>
      <c r="KW13" s="35"/>
      <c r="KX13" s="35"/>
      <c r="KY13" s="35"/>
      <c r="KZ13" s="35"/>
      <c r="LA13" s="35"/>
      <c r="LB13" s="35"/>
      <c r="LC13" s="35"/>
      <c r="LD13" s="35"/>
      <c r="LE13" s="35"/>
      <c r="LF13" s="35"/>
      <c r="LG13" s="35"/>
      <c r="LH13" s="35"/>
      <c r="LI13" s="35"/>
      <c r="LJ13" s="35"/>
      <c r="LK13" s="35"/>
      <c r="LL13" s="35"/>
      <c r="LM13" s="35"/>
      <c r="LN13" s="35"/>
      <c r="LO13" s="35"/>
      <c r="LP13" s="35"/>
      <c r="LQ13" s="35"/>
      <c r="LR13" s="35"/>
      <c r="LS13" s="35"/>
      <c r="LT13" s="35"/>
      <c r="LU13" s="35"/>
      <c r="LV13" s="35"/>
      <c r="LW13" s="35"/>
      <c r="LX13" s="35"/>
      <c r="LY13" s="35"/>
      <c r="LZ13" s="35"/>
      <c r="MA13" s="35"/>
      <c r="MB13" s="35"/>
      <c r="MC13" s="35"/>
      <c r="MD13" s="35"/>
      <c r="ME13" s="35"/>
      <c r="MF13" s="35"/>
      <c r="MG13" s="35"/>
      <c r="MH13" s="35"/>
      <c r="MI13" s="35"/>
      <c r="MJ13" s="35"/>
      <c r="MK13" s="35"/>
      <c r="ML13" s="35"/>
      <c r="MM13" s="35"/>
      <c r="MN13" s="35"/>
      <c r="MO13" s="35"/>
      <c r="MP13" s="35"/>
      <c r="MQ13" s="35"/>
      <c r="MR13" s="35"/>
      <c r="MS13" s="35"/>
      <c r="MT13" s="35"/>
      <c r="MU13" s="35"/>
      <c r="MV13" s="35"/>
      <c r="MW13" s="35"/>
      <c r="MX13" s="35"/>
      <c r="MY13" s="35"/>
      <c r="MZ13" s="35"/>
      <c r="NA13" s="35"/>
      <c r="NB13" s="35"/>
      <c r="NC13" s="35"/>
      <c r="ND13" s="35"/>
      <c r="NE13" s="35"/>
      <c r="NF13" s="35"/>
      <c r="NG13" s="35"/>
      <c r="NH13" s="35"/>
      <c r="NI13" s="35"/>
      <c r="NJ13" s="35"/>
      <c r="NK13" s="35"/>
      <c r="NL13" s="35"/>
      <c r="NM13" s="35"/>
      <c r="NN13" s="35"/>
      <c r="NO13" s="35"/>
      <c r="NP13" s="35"/>
      <c r="NQ13" s="35"/>
      <c r="NR13" s="35"/>
      <c r="NS13" s="35"/>
      <c r="NT13" s="35"/>
      <c r="NU13" s="35"/>
      <c r="NV13" s="35"/>
      <c r="NW13" s="35"/>
      <c r="NX13" s="35"/>
      <c r="NY13" s="35"/>
      <c r="NZ13" s="35"/>
      <c r="OA13" s="35"/>
      <c r="OB13" s="35"/>
      <c r="OC13" s="35"/>
      <c r="OD13" s="35"/>
      <c r="OE13" s="35"/>
      <c r="OF13" s="35"/>
      <c r="OG13" s="35"/>
      <c r="OH13" s="35"/>
      <c r="OI13" s="35"/>
      <c r="OJ13" s="35"/>
      <c r="OK13" s="35"/>
      <c r="OL13" s="35"/>
      <c r="OM13" s="35"/>
      <c r="ON13" s="35"/>
      <c r="OO13" s="35"/>
      <c r="OP13" s="35"/>
      <c r="OQ13" s="35"/>
      <c r="OR13" s="35"/>
      <c r="OS13" s="35"/>
      <c r="OT13" s="35"/>
      <c r="OU13" s="35"/>
      <c r="OV13" s="35"/>
      <c r="OW13" s="35"/>
      <c r="OX13" s="35"/>
      <c r="OY13" s="35"/>
      <c r="OZ13" s="35"/>
      <c r="PA13" s="35"/>
      <c r="PB13" s="35"/>
      <c r="PC13" s="35"/>
      <c r="PD13" s="35"/>
      <c r="PE13" s="35"/>
      <c r="PF13" s="35"/>
      <c r="PG13" s="35"/>
      <c r="PH13" s="35"/>
      <c r="PI13" s="35"/>
      <c r="PJ13" s="35"/>
      <c r="PK13" s="35"/>
      <c r="PL13" s="35"/>
      <c r="PM13" s="35"/>
      <c r="PN13" s="35"/>
      <c r="PO13" s="35"/>
      <c r="PP13" s="35"/>
      <c r="PQ13" s="35"/>
      <c r="PR13" s="35"/>
      <c r="PS13" s="35"/>
      <c r="PT13" s="35"/>
      <c r="PU13" s="35"/>
      <c r="PV13" s="35"/>
      <c r="PW13" s="35"/>
      <c r="PX13" s="35"/>
      <c r="PY13" s="35"/>
      <c r="PZ13" s="35"/>
      <c r="QA13" s="35"/>
      <c r="QB13" s="35"/>
      <c r="QC13" s="35"/>
      <c r="QD13" s="35"/>
      <c r="QE13" s="35"/>
      <c r="QF13" s="35"/>
      <c r="QG13" s="35"/>
      <c r="QH13" s="35"/>
      <c r="QI13" s="35"/>
      <c r="QJ13" s="35"/>
      <c r="QK13" s="35"/>
      <c r="QL13" s="35"/>
      <c r="QM13" s="35"/>
      <c r="QN13" s="35"/>
      <c r="QO13" s="35"/>
      <c r="QP13" s="35"/>
      <c r="QQ13" s="35"/>
      <c r="QR13" s="35"/>
      <c r="QS13" s="35"/>
      <c r="QT13" s="35"/>
      <c r="QU13" s="35"/>
      <c r="QV13" s="35"/>
      <c r="QW13" s="35"/>
      <c r="QX13" s="35"/>
      <c r="QY13" s="35"/>
      <c r="QZ13" s="35"/>
      <c r="RA13" s="35"/>
      <c r="RB13" s="35"/>
      <c r="RC13" s="35"/>
      <c r="RD13" s="35"/>
      <c r="RE13" s="35"/>
      <c r="RF13" s="35"/>
      <c r="RG13" s="35"/>
      <c r="RH13" s="35"/>
      <c r="RI13" s="35"/>
      <c r="RJ13" s="35"/>
      <c r="RK13" s="35"/>
      <c r="RL13" s="35"/>
      <c r="RM13" s="35"/>
      <c r="RN13" s="35"/>
      <c r="RO13" s="35"/>
      <c r="RP13" s="35"/>
      <c r="RQ13" s="35"/>
      <c r="RR13" s="35"/>
      <c r="RS13" s="35"/>
      <c r="RT13" s="35"/>
      <c r="RU13" s="35"/>
      <c r="RV13" s="35"/>
      <c r="RW13" s="35"/>
      <c r="RX13" s="35"/>
      <c r="RY13" s="35"/>
      <c r="RZ13" s="35"/>
      <c r="SA13" s="35"/>
      <c r="SB13" s="35"/>
      <c r="SC13" s="35"/>
      <c r="SD13" s="35"/>
      <c r="SE13" s="35"/>
      <c r="SF13" s="35"/>
      <c r="SG13" s="35"/>
      <c r="SH13" s="35"/>
      <c r="SI13" s="35"/>
      <c r="SJ13" s="35"/>
      <c r="SK13" s="35"/>
      <c r="SL13" s="35"/>
      <c r="SM13" s="35"/>
      <c r="SN13" s="35"/>
      <c r="SO13" s="35"/>
      <c r="SP13" s="35"/>
      <c r="SQ13" s="35"/>
      <c r="SR13" s="35"/>
      <c r="SS13" s="35"/>
      <c r="ST13" s="35"/>
      <c r="SU13" s="35"/>
      <c r="SV13" s="35"/>
      <c r="SW13" s="35"/>
      <c r="SX13" s="35"/>
      <c r="SY13" s="35"/>
      <c r="SZ13" s="35"/>
      <c r="TA13" s="35"/>
      <c r="TB13" s="35"/>
      <c r="TC13" s="35"/>
      <c r="TD13" s="35"/>
      <c r="TE13" s="35"/>
      <c r="TF13" s="35"/>
      <c r="TG13" s="35"/>
      <c r="TH13" s="35"/>
      <c r="TI13" s="35"/>
      <c r="TJ13" s="35"/>
      <c r="TK13" s="35"/>
      <c r="TL13" s="35"/>
      <c r="TM13" s="35"/>
      <c r="TN13" s="35"/>
      <c r="TO13" s="35"/>
      <c r="TP13" s="35"/>
      <c r="TQ13" s="35"/>
      <c r="TR13" s="35"/>
      <c r="TS13" s="35"/>
      <c r="TT13" s="35"/>
      <c r="TU13" s="35"/>
      <c r="TV13" s="35"/>
      <c r="TW13" s="35"/>
      <c r="TX13" s="35"/>
      <c r="TY13" s="35"/>
      <c r="TZ13" s="35"/>
      <c r="UA13" s="35"/>
      <c r="UB13" s="35"/>
      <c r="UC13" s="35"/>
      <c r="UD13" s="35"/>
      <c r="UE13" s="35"/>
      <c r="UF13" s="35"/>
      <c r="UG13" s="35"/>
      <c r="UH13" s="35"/>
      <c r="UI13" s="35"/>
      <c r="UJ13" s="35"/>
      <c r="UK13" s="35"/>
      <c r="UL13" s="35"/>
      <c r="UM13" s="35"/>
      <c r="UN13" s="35"/>
      <c r="UO13" s="35"/>
      <c r="UP13" s="35"/>
      <c r="UQ13" s="35"/>
      <c r="UR13" s="35"/>
      <c r="US13" s="35"/>
      <c r="UT13" s="35"/>
      <c r="UU13" s="35"/>
      <c r="UV13" s="35"/>
      <c r="UW13" s="35"/>
      <c r="UX13" s="35"/>
      <c r="UY13" s="35"/>
      <c r="UZ13" s="35"/>
      <c r="VA13" s="35"/>
      <c r="VB13" s="35"/>
      <c r="VC13" s="35"/>
      <c r="VD13" s="35"/>
      <c r="VE13" s="35"/>
      <c r="VF13" s="35"/>
      <c r="VG13" s="35"/>
      <c r="VH13" s="35"/>
      <c r="VI13" s="35"/>
      <c r="VJ13" s="35"/>
      <c r="VK13" s="35"/>
      <c r="VL13" s="35"/>
      <c r="VM13" s="35"/>
      <c r="VN13" s="35"/>
      <c r="VO13" s="35"/>
      <c r="VP13" s="35"/>
      <c r="VQ13" s="35"/>
      <c r="VR13" s="35"/>
      <c r="VS13" s="35"/>
      <c r="VT13" s="35"/>
      <c r="VU13" s="35"/>
      <c r="VV13" s="35"/>
      <c r="VW13" s="35"/>
      <c r="VX13" s="35"/>
      <c r="VY13" s="35"/>
      <c r="VZ13" s="35"/>
      <c r="WA13" s="35"/>
      <c r="WB13" s="35"/>
      <c r="WC13" s="35"/>
      <c r="WD13" s="35"/>
      <c r="WE13" s="35"/>
      <c r="WF13" s="35"/>
      <c r="WG13" s="35"/>
      <c r="WH13" s="35"/>
      <c r="WI13" s="35"/>
      <c r="WJ13" s="35"/>
      <c r="WK13" s="35"/>
      <c r="WL13" s="35"/>
      <c r="WM13" s="35"/>
      <c r="WN13" s="35"/>
      <c r="WO13" s="35"/>
      <c r="WP13" s="35"/>
      <c r="WQ13" s="35"/>
      <c r="WR13" s="35"/>
      <c r="WS13" s="35"/>
      <c r="WT13" s="35"/>
      <c r="WU13" s="35"/>
      <c r="WV13" s="35"/>
      <c r="WW13" s="35"/>
      <c r="WX13" s="35"/>
      <c r="WY13" s="35"/>
      <c r="WZ13" s="35"/>
      <c r="XA13" s="35"/>
      <c r="XB13" s="35"/>
      <c r="XC13" s="35"/>
      <c r="XD13" s="35"/>
      <c r="XE13" s="35"/>
      <c r="XF13" s="35"/>
      <c r="XG13" s="35"/>
      <c r="XH13" s="35"/>
      <c r="XI13" s="35"/>
      <c r="XJ13" s="35"/>
      <c r="XK13" s="35"/>
      <c r="XL13" s="35"/>
      <c r="XM13" s="35"/>
      <c r="XN13" s="35"/>
      <c r="XO13" s="35"/>
      <c r="XP13" s="35"/>
      <c r="XQ13" s="35"/>
      <c r="XR13" s="35"/>
      <c r="XS13" s="35"/>
      <c r="XT13" s="35"/>
      <c r="XU13" s="35"/>
      <c r="XV13" s="35"/>
      <c r="XW13" s="35"/>
      <c r="XX13" s="35"/>
      <c r="XY13" s="35"/>
      <c r="XZ13" s="35"/>
      <c r="YA13" s="35"/>
      <c r="YB13" s="35"/>
      <c r="YC13" s="35"/>
      <c r="YD13" s="35"/>
      <c r="YE13" s="35"/>
      <c r="YF13" s="35"/>
      <c r="YG13" s="35"/>
      <c r="YH13" s="35"/>
      <c r="YI13" s="35"/>
      <c r="YJ13" s="35"/>
      <c r="YK13" s="35"/>
      <c r="YL13" s="35"/>
      <c r="YM13" s="35"/>
      <c r="YN13" s="35"/>
      <c r="YO13" s="35"/>
      <c r="YP13" s="35"/>
      <c r="YQ13" s="35"/>
      <c r="YR13" s="35"/>
      <c r="YS13" s="35"/>
      <c r="YT13" s="35"/>
      <c r="YU13" s="35"/>
      <c r="YV13" s="35"/>
      <c r="YW13" s="35"/>
      <c r="YX13" s="35"/>
      <c r="YY13" s="35"/>
      <c r="YZ13" s="35"/>
      <c r="ZA13" s="35"/>
      <c r="ZB13" s="35"/>
      <c r="ZC13" s="35"/>
      <c r="ZD13" s="35"/>
      <c r="ZE13" s="35"/>
      <c r="ZF13" s="35"/>
      <c r="ZG13" s="35"/>
      <c r="ZH13" s="35"/>
      <c r="ZI13" s="35"/>
      <c r="ZJ13" s="35"/>
      <c r="ZK13" s="35"/>
      <c r="ZL13" s="35"/>
      <c r="ZM13" s="35"/>
      <c r="ZN13" s="35"/>
      <c r="ZO13" s="35"/>
      <c r="ZP13" s="35"/>
      <c r="ZQ13" s="35"/>
      <c r="ZR13" s="35"/>
      <c r="ZS13" s="35"/>
      <c r="ZT13" s="35"/>
      <c r="ZU13" s="35"/>
      <c r="ZV13" s="35"/>
      <c r="ZW13" s="35"/>
      <c r="ZX13" s="35"/>
      <c r="ZY13" s="35"/>
      <c r="ZZ13" s="35"/>
      <c r="AAA13" s="35"/>
      <c r="AAB13" s="35"/>
      <c r="AAC13" s="35"/>
      <c r="AAD13" s="35"/>
      <c r="AAE13" s="35"/>
      <c r="AAF13" s="35"/>
      <c r="AAG13" s="35"/>
      <c r="AAH13" s="35"/>
      <c r="AAI13" s="35"/>
      <c r="AAJ13" s="35"/>
      <c r="AAK13" s="35"/>
      <c r="AAL13" s="35"/>
      <c r="AAM13" s="35"/>
      <c r="AAN13" s="35"/>
      <c r="AAO13" s="35"/>
      <c r="AAP13" s="35"/>
      <c r="AAQ13" s="35"/>
      <c r="AAR13" s="35"/>
      <c r="AAS13" s="35"/>
      <c r="AAT13" s="35"/>
      <c r="AAU13" s="35"/>
      <c r="AAV13" s="35"/>
      <c r="AAW13" s="35"/>
      <c r="AAX13" s="35"/>
      <c r="AAY13" s="35"/>
      <c r="AAZ13" s="35"/>
      <c r="ABA13" s="35"/>
      <c r="ABB13" s="35"/>
      <c r="ABC13" s="35"/>
      <c r="ABD13" s="35"/>
      <c r="ABE13" s="35"/>
      <c r="ABF13" s="35"/>
      <c r="ABG13" s="35"/>
      <c r="ABH13" s="35"/>
      <c r="ABI13" s="35"/>
      <c r="ABJ13" s="35"/>
      <c r="ABK13" s="35"/>
      <c r="ABL13" s="35"/>
      <c r="ABM13" s="35"/>
      <c r="ABN13" s="35"/>
      <c r="ABO13" s="35"/>
      <c r="ABP13" s="35"/>
      <c r="ABQ13" s="35"/>
      <c r="ABR13" s="35"/>
      <c r="ABS13" s="35"/>
      <c r="ABT13" s="35"/>
      <c r="ABU13" s="35"/>
      <c r="ABV13" s="35"/>
      <c r="ABW13" s="35"/>
      <c r="ABX13" s="35"/>
      <c r="ABY13" s="35"/>
      <c r="ABZ13" s="35"/>
      <c r="ACA13" s="35"/>
      <c r="ACB13" s="35"/>
      <c r="ACC13" s="35"/>
      <c r="ACD13" s="35"/>
      <c r="ACE13" s="35"/>
      <c r="ACF13" s="35"/>
      <c r="ACG13" s="35"/>
      <c r="ACH13" s="35"/>
      <c r="ACI13" s="35"/>
      <c r="ACJ13" s="35"/>
      <c r="ACK13" s="35"/>
      <c r="ACL13" s="35"/>
      <c r="ACM13" s="35"/>
      <c r="ACN13" s="35"/>
      <c r="ACO13" s="35"/>
      <c r="ACP13" s="35"/>
      <c r="ACQ13" s="35"/>
      <c r="ACR13" s="35"/>
      <c r="ACS13" s="35"/>
      <c r="ACT13" s="35"/>
      <c r="ACU13" s="35"/>
      <c r="ACV13" s="35"/>
      <c r="ACW13" s="35"/>
      <c r="ACX13" s="35"/>
      <c r="ACY13" s="35"/>
      <c r="ACZ13" s="35"/>
      <c r="ADA13" s="35"/>
      <c r="ADB13" s="35"/>
      <c r="ADC13" s="35"/>
      <c r="ADD13" s="35"/>
      <c r="ADE13" s="35"/>
      <c r="ADF13" s="35"/>
      <c r="ADG13" s="35"/>
      <c r="ADH13" s="35"/>
      <c r="ADI13" s="35"/>
      <c r="ADJ13" s="35"/>
      <c r="ADK13" s="35"/>
      <c r="ADL13" s="35"/>
      <c r="ADM13" s="35"/>
      <c r="ADN13" s="35"/>
      <c r="ADO13" s="35"/>
      <c r="ADP13" s="35"/>
      <c r="ADQ13" s="35"/>
      <c r="ADR13" s="35"/>
      <c r="ADS13" s="35"/>
      <c r="ADT13" s="35"/>
      <c r="ADU13" s="35"/>
      <c r="ADV13" s="35"/>
      <c r="ADW13" s="35"/>
      <c r="ADX13" s="35"/>
      <c r="ADY13" s="35"/>
      <c r="ADZ13" s="35"/>
      <c r="AEA13" s="35"/>
      <c r="AEB13" s="35"/>
      <c r="AEC13" s="35"/>
      <c r="AED13" s="35"/>
      <c r="AEE13" s="35"/>
      <c r="AEF13" s="35"/>
      <c r="AEG13" s="35"/>
      <c r="AEH13" s="35"/>
      <c r="AEI13" s="35"/>
      <c r="AEJ13" s="35"/>
      <c r="AEK13" s="35"/>
      <c r="AEL13" s="35"/>
      <c r="AEM13" s="35"/>
      <c r="AEN13" s="35"/>
      <c r="AEO13" s="35"/>
      <c r="AEP13" s="35"/>
      <c r="AEQ13" s="35"/>
      <c r="AER13" s="35"/>
      <c r="AES13" s="35"/>
      <c r="AET13" s="35"/>
      <c r="AEU13" s="35"/>
      <c r="AEV13" s="35"/>
      <c r="AEW13" s="35"/>
      <c r="AEX13" s="35"/>
      <c r="AEY13" s="35"/>
      <c r="AEZ13" s="35"/>
      <c r="AFA13" s="35"/>
      <c r="AFB13" s="35"/>
      <c r="AFC13" s="35"/>
      <c r="AFD13" s="35"/>
      <c r="AFE13" s="35"/>
      <c r="AFF13" s="35"/>
      <c r="AFG13" s="35"/>
      <c r="AFH13" s="35"/>
      <c r="AFI13" s="35"/>
      <c r="AFJ13" s="35"/>
      <c r="AFK13" s="35"/>
      <c r="AFL13" s="35"/>
      <c r="AFM13" s="35"/>
      <c r="AFN13" s="35"/>
      <c r="AFO13" s="35"/>
      <c r="AFP13" s="35"/>
      <c r="AFQ13" s="35"/>
      <c r="AFR13" s="35"/>
      <c r="AFS13" s="35"/>
      <c r="AFT13" s="35"/>
      <c r="AFU13" s="35"/>
      <c r="AFV13" s="35"/>
      <c r="AFW13" s="35"/>
      <c r="AFX13" s="35"/>
      <c r="AFY13" s="35"/>
      <c r="AFZ13" s="35"/>
      <c r="AGA13" s="35"/>
      <c r="AGB13" s="35"/>
      <c r="AGC13" s="35"/>
      <c r="AGD13" s="35"/>
      <c r="AGE13" s="35"/>
      <c r="AGF13" s="35"/>
      <c r="AGG13" s="35"/>
      <c r="AGH13" s="35"/>
      <c r="AGI13" s="35"/>
      <c r="AGJ13" s="35"/>
      <c r="AGK13" s="35"/>
      <c r="AGL13" s="35"/>
      <c r="AGM13" s="35"/>
      <c r="AGN13" s="35"/>
      <c r="AGO13" s="35"/>
      <c r="AGP13" s="35"/>
      <c r="AGQ13" s="35"/>
      <c r="AGR13" s="35"/>
      <c r="AGS13" s="35"/>
      <c r="AGT13" s="35"/>
      <c r="AGU13" s="35"/>
      <c r="AGV13" s="35"/>
      <c r="AGW13" s="35"/>
      <c r="AGX13" s="35"/>
      <c r="AGY13" s="35"/>
      <c r="AGZ13" s="35"/>
      <c r="AHA13" s="35"/>
      <c r="AHB13" s="35"/>
      <c r="AHC13" s="35"/>
      <c r="AHD13" s="35"/>
      <c r="AHE13" s="35"/>
      <c r="AHF13" s="35"/>
      <c r="AHG13" s="35"/>
      <c r="AHH13" s="35"/>
      <c r="AHI13" s="35"/>
      <c r="AHJ13" s="35"/>
      <c r="AHK13" s="35"/>
      <c r="AHL13" s="35"/>
      <c r="AHM13" s="35"/>
      <c r="AHN13" s="35"/>
      <c r="AHO13" s="35"/>
      <c r="AHP13" s="35"/>
      <c r="AHQ13" s="35"/>
      <c r="AHR13" s="35"/>
      <c r="AHS13" s="35"/>
      <c r="AHT13" s="35"/>
      <c r="AHU13" s="35"/>
      <c r="AHV13" s="35"/>
      <c r="AHW13" s="35"/>
      <c r="AHX13" s="35"/>
      <c r="AHY13" s="35"/>
      <c r="AHZ13" s="35"/>
      <c r="AIA13" s="35"/>
      <c r="AIB13" s="35"/>
      <c r="AIC13" s="35"/>
      <c r="AID13" s="35"/>
      <c r="AIE13" s="35"/>
      <c r="AIF13" s="35"/>
      <c r="AIG13" s="35"/>
      <c r="AIH13" s="35"/>
      <c r="AII13" s="35"/>
      <c r="AIJ13" s="35"/>
      <c r="AIK13" s="35"/>
      <c r="AIL13" s="35"/>
      <c r="AIM13" s="35"/>
      <c r="AIN13" s="35"/>
      <c r="AIO13" s="35"/>
      <c r="AIP13" s="35"/>
      <c r="AIQ13" s="35"/>
      <c r="AIR13" s="35"/>
      <c r="AIS13" s="35"/>
      <c r="AIT13" s="35"/>
      <c r="AIU13" s="35"/>
      <c r="AIV13" s="35"/>
      <c r="AIW13" s="35"/>
      <c r="AIX13" s="35"/>
      <c r="AIY13" s="35"/>
      <c r="AIZ13" s="35"/>
      <c r="AJA13" s="35"/>
      <c r="AJB13" s="35"/>
      <c r="AJC13" s="35"/>
      <c r="AJD13" s="35"/>
      <c r="AJE13" s="35"/>
      <c r="AJF13" s="35"/>
      <c r="AJG13" s="35"/>
      <c r="AJH13" s="35"/>
      <c r="AJI13" s="35"/>
      <c r="AJJ13" s="35"/>
      <c r="AJK13" s="35"/>
      <c r="AJL13" s="35"/>
      <c r="AJM13" s="35"/>
      <c r="AJN13" s="35"/>
      <c r="AJO13" s="35"/>
      <c r="AJP13" s="35"/>
      <c r="AJQ13" s="35"/>
      <c r="AJR13" s="35"/>
      <c r="AJS13" s="35"/>
      <c r="AJT13" s="35"/>
      <c r="AJU13" s="35"/>
      <c r="AJV13" s="35"/>
      <c r="AJW13" s="35"/>
      <c r="AJX13" s="35"/>
      <c r="AJY13" s="35"/>
      <c r="AJZ13" s="35"/>
      <c r="AKA13" s="35"/>
      <c r="AKB13" s="35"/>
      <c r="AKC13" s="35"/>
      <c r="AKD13" s="35"/>
      <c r="AKE13" s="35"/>
      <c r="AKF13" s="35"/>
      <c r="AKG13" s="35"/>
      <c r="AKH13" s="35"/>
      <c r="AKI13" s="35"/>
      <c r="AKJ13" s="35"/>
      <c r="AKK13" s="35"/>
      <c r="AKL13" s="35"/>
      <c r="AKM13" s="35"/>
      <c r="AKN13" s="35"/>
      <c r="AKO13" s="35"/>
      <c r="AKP13" s="35"/>
      <c r="AKQ13" s="35"/>
      <c r="AKR13" s="35"/>
      <c r="AKS13" s="35"/>
      <c r="AKT13" s="35"/>
      <c r="AKU13" s="35"/>
      <c r="AKV13" s="35"/>
      <c r="AKW13" s="35"/>
      <c r="AKX13" s="35"/>
      <c r="AKY13" s="35"/>
      <c r="AKZ13" s="35"/>
      <c r="ALA13" s="35"/>
      <c r="ALB13" s="35"/>
      <c r="ALC13" s="35"/>
      <c r="ALD13" s="35"/>
      <c r="ALE13" s="35"/>
      <c r="ALF13" s="35"/>
      <c r="ALG13" s="35"/>
      <c r="ALH13" s="35"/>
      <c r="ALI13" s="35"/>
      <c r="ALJ13" s="35"/>
      <c r="ALK13" s="35"/>
      <c r="ALL13" s="35"/>
      <c r="ALM13" s="35"/>
      <c r="ALN13" s="35"/>
      <c r="ALO13" s="35"/>
      <c r="ALP13" s="35"/>
      <c r="ALQ13" s="35"/>
      <c r="ALR13" s="35"/>
      <c r="ALS13" s="35"/>
      <c r="ALT13" s="35"/>
      <c r="ALU13" s="35"/>
      <c r="ALV13" s="35"/>
      <c r="ALW13" s="35"/>
      <c r="ALX13" s="35"/>
      <c r="ALY13" s="35"/>
      <c r="ALZ13" s="35"/>
      <c r="AMA13" s="35"/>
      <c r="AMB13" s="35"/>
      <c r="AMC13" s="35"/>
      <c r="AMD13" s="35"/>
      <c r="AME13" s="35"/>
      <c r="AMF13" s="35"/>
      <c r="AMG13" s="35"/>
      <c r="AMH13" s="35"/>
      <c r="AMI13" s="35"/>
      <c r="AMJ13" s="35"/>
      <c r="AMK13" s="35"/>
      <c r="AML13" s="35"/>
      <c r="AMM13" s="35"/>
      <c r="AMN13" s="35"/>
      <c r="AMO13" s="35"/>
      <c r="AMP13" s="35"/>
      <c r="AMQ13" s="35"/>
      <c r="AMR13" s="35"/>
      <c r="AMS13" s="35"/>
      <c r="AMT13" s="35"/>
      <c r="AMU13" s="35"/>
      <c r="AMV13" s="35"/>
      <c r="AMW13" s="35"/>
      <c r="AMX13" s="35"/>
      <c r="AMY13" s="35"/>
      <c r="AMZ13" s="35"/>
      <c r="ANA13" s="35"/>
    </row>
    <row r="14" customFormat="false" ht="12.8" hidden="true" customHeight="true" outlineLevel="1" collapsed="false">
      <c r="A14" s="40"/>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35"/>
      <c r="BY14" s="35"/>
      <c r="BZ14" s="35"/>
      <c r="CA14" s="35"/>
      <c r="CB14" s="35"/>
      <c r="CC14" s="35"/>
      <c r="CD14" s="35"/>
      <c r="CE14" s="35"/>
      <c r="CF14" s="35"/>
      <c r="CG14" s="35"/>
      <c r="CH14" s="35"/>
      <c r="CI14" s="35"/>
      <c r="CJ14" s="35"/>
      <c r="CK14" s="35"/>
      <c r="CL14" s="35"/>
      <c r="CM14" s="35"/>
      <c r="CN14" s="35"/>
      <c r="CO14" s="35"/>
      <c r="CP14" s="35"/>
      <c r="CQ14" s="35"/>
      <c r="CR14" s="35"/>
      <c r="CS14" s="35"/>
      <c r="CT14" s="35"/>
      <c r="CU14" s="35"/>
      <c r="CV14" s="35"/>
      <c r="CW14" s="35"/>
      <c r="CX14" s="35"/>
      <c r="CY14" s="35"/>
      <c r="CZ14" s="35"/>
      <c r="DA14" s="35"/>
      <c r="DB14" s="35"/>
      <c r="DC14" s="35"/>
      <c r="DD14" s="35"/>
      <c r="DE14" s="35"/>
      <c r="DF14" s="35"/>
      <c r="DG14" s="35"/>
      <c r="DH14" s="35"/>
      <c r="DI14" s="35"/>
      <c r="DJ14" s="35"/>
      <c r="DK14" s="35"/>
      <c r="DL14" s="35"/>
      <c r="DM14" s="35"/>
      <c r="DN14" s="35"/>
      <c r="DO14" s="35"/>
      <c r="DP14" s="35"/>
      <c r="DQ14" s="35"/>
      <c r="DR14" s="35"/>
      <c r="DS14" s="35"/>
      <c r="DT14" s="35"/>
      <c r="DU14" s="35"/>
      <c r="DV14" s="35"/>
      <c r="DW14" s="35"/>
      <c r="DX14" s="35"/>
      <c r="DY14" s="35"/>
      <c r="DZ14" s="35"/>
      <c r="EA14" s="35"/>
      <c r="EB14" s="35"/>
      <c r="EC14" s="35"/>
      <c r="ED14" s="35"/>
      <c r="EE14" s="35"/>
      <c r="EF14" s="35"/>
      <c r="EG14" s="35"/>
      <c r="EH14" s="35"/>
      <c r="EI14" s="35"/>
      <c r="EJ14" s="35"/>
      <c r="EK14" s="35"/>
      <c r="EL14" s="35"/>
      <c r="EM14" s="35"/>
      <c r="EN14" s="35"/>
      <c r="EO14" s="35"/>
      <c r="EP14" s="35"/>
      <c r="EQ14" s="35"/>
      <c r="ER14" s="35"/>
      <c r="ES14" s="35"/>
      <c r="ET14" s="35"/>
      <c r="EU14" s="35"/>
      <c r="EV14" s="35"/>
      <c r="EW14" s="35"/>
      <c r="EX14" s="35"/>
      <c r="EY14" s="35"/>
      <c r="EZ14" s="35"/>
      <c r="FA14" s="35"/>
      <c r="FB14" s="35"/>
      <c r="FC14" s="35"/>
      <c r="FD14" s="35"/>
      <c r="FE14" s="35"/>
      <c r="FF14" s="35"/>
      <c r="FG14" s="35"/>
      <c r="FH14" s="35"/>
      <c r="FI14" s="35"/>
      <c r="FJ14" s="35"/>
      <c r="FK14" s="35"/>
      <c r="FL14" s="35"/>
      <c r="FM14" s="35"/>
      <c r="FN14" s="35"/>
      <c r="FO14" s="35"/>
      <c r="FP14" s="35"/>
      <c r="FQ14" s="35"/>
      <c r="FR14" s="35"/>
      <c r="FS14" s="35"/>
      <c r="FT14" s="35"/>
      <c r="FU14" s="35"/>
      <c r="FV14" s="35"/>
      <c r="FW14" s="35"/>
      <c r="FX14" s="35"/>
      <c r="FY14" s="35"/>
      <c r="FZ14" s="35"/>
      <c r="GA14" s="35"/>
      <c r="GB14" s="35"/>
      <c r="GC14" s="35"/>
      <c r="GD14" s="35"/>
      <c r="GE14" s="35"/>
      <c r="GF14" s="35"/>
      <c r="GG14" s="35"/>
      <c r="GH14" s="35"/>
      <c r="GI14" s="35"/>
      <c r="GJ14" s="35"/>
      <c r="GK14" s="35"/>
      <c r="GL14" s="35"/>
      <c r="GM14" s="35"/>
      <c r="GN14" s="35"/>
      <c r="GO14" s="35"/>
      <c r="GP14" s="35"/>
      <c r="GQ14" s="35"/>
      <c r="GR14" s="35"/>
      <c r="GS14" s="35"/>
      <c r="GT14" s="35"/>
      <c r="GU14" s="35"/>
      <c r="GV14" s="35"/>
      <c r="GW14" s="35"/>
      <c r="GX14" s="35"/>
      <c r="GY14" s="35"/>
      <c r="GZ14" s="35"/>
      <c r="HA14" s="35"/>
      <c r="HB14" s="35"/>
      <c r="HC14" s="35"/>
      <c r="HD14" s="35"/>
      <c r="HE14" s="35"/>
      <c r="HF14" s="35"/>
      <c r="HG14" s="35"/>
      <c r="HH14" s="35"/>
      <c r="HI14" s="35"/>
      <c r="HJ14" s="35"/>
      <c r="HK14" s="35"/>
      <c r="HL14" s="35"/>
      <c r="HM14" s="35"/>
      <c r="HN14" s="35"/>
      <c r="HO14" s="35"/>
      <c r="HP14" s="35"/>
      <c r="HQ14" s="35"/>
      <c r="HR14" s="35"/>
      <c r="HS14" s="35"/>
      <c r="HT14" s="35"/>
      <c r="HU14" s="35"/>
      <c r="HV14" s="35"/>
      <c r="HW14" s="35"/>
      <c r="HX14" s="35"/>
      <c r="HY14" s="35"/>
      <c r="HZ14" s="35"/>
      <c r="IA14" s="35"/>
      <c r="IB14" s="35"/>
      <c r="IC14" s="35"/>
      <c r="ID14" s="35"/>
      <c r="IE14" s="35"/>
      <c r="IF14" s="35"/>
      <c r="IG14" s="35"/>
      <c r="IH14" s="35"/>
      <c r="II14" s="35"/>
      <c r="IJ14" s="35"/>
      <c r="IK14" s="35"/>
      <c r="IL14" s="35"/>
      <c r="IM14" s="35"/>
      <c r="IN14" s="35"/>
      <c r="IO14" s="35"/>
      <c r="IP14" s="35"/>
      <c r="IQ14" s="35"/>
      <c r="IR14" s="35"/>
      <c r="IS14" s="35"/>
      <c r="IT14" s="35"/>
      <c r="IU14" s="35"/>
      <c r="IV14" s="35"/>
      <c r="IW14" s="35"/>
      <c r="IX14" s="35"/>
      <c r="IY14" s="35"/>
      <c r="IZ14" s="35"/>
      <c r="JA14" s="35"/>
      <c r="JB14" s="35"/>
      <c r="JC14" s="35"/>
      <c r="JD14" s="35"/>
      <c r="JE14" s="35"/>
      <c r="JF14" s="35"/>
      <c r="JG14" s="35"/>
      <c r="JH14" s="35"/>
      <c r="JI14" s="35"/>
      <c r="JJ14" s="35"/>
      <c r="JK14" s="35"/>
      <c r="JL14" s="35"/>
      <c r="JM14" s="35"/>
      <c r="JN14" s="35"/>
      <c r="JO14" s="35"/>
      <c r="JP14" s="35"/>
      <c r="JQ14" s="35"/>
      <c r="JR14" s="35"/>
      <c r="JS14" s="35"/>
      <c r="JT14" s="35"/>
      <c r="JU14" s="35"/>
      <c r="JV14" s="35"/>
      <c r="JW14" s="35"/>
      <c r="JX14" s="35"/>
      <c r="JY14" s="35"/>
      <c r="JZ14" s="35"/>
      <c r="KA14" s="35"/>
      <c r="KB14" s="35"/>
      <c r="KC14" s="35"/>
      <c r="KD14" s="35"/>
      <c r="KE14" s="35"/>
      <c r="KF14" s="35"/>
      <c r="KG14" s="35"/>
      <c r="KH14" s="35"/>
      <c r="KI14" s="35"/>
      <c r="KJ14" s="35"/>
      <c r="KK14" s="35"/>
      <c r="KL14" s="35"/>
      <c r="KM14" s="35"/>
      <c r="KN14" s="35"/>
      <c r="KO14" s="35"/>
      <c r="KP14" s="35"/>
      <c r="KQ14" s="35"/>
      <c r="KR14" s="35"/>
      <c r="KS14" s="35"/>
      <c r="KT14" s="35"/>
      <c r="KU14" s="35"/>
      <c r="KV14" s="35"/>
      <c r="KW14" s="35"/>
      <c r="KX14" s="35"/>
      <c r="KY14" s="35"/>
      <c r="KZ14" s="35"/>
      <c r="LA14" s="35"/>
      <c r="LB14" s="35"/>
      <c r="LC14" s="35"/>
      <c r="LD14" s="35"/>
      <c r="LE14" s="35"/>
      <c r="LF14" s="35"/>
      <c r="LG14" s="35"/>
      <c r="LH14" s="35"/>
      <c r="LI14" s="35"/>
      <c r="LJ14" s="35"/>
      <c r="LK14" s="35"/>
      <c r="LL14" s="35"/>
      <c r="LM14" s="35"/>
      <c r="LN14" s="35"/>
      <c r="LO14" s="35"/>
      <c r="LP14" s="35"/>
      <c r="LQ14" s="35"/>
      <c r="LR14" s="35"/>
      <c r="LS14" s="35"/>
      <c r="LT14" s="35"/>
      <c r="LU14" s="35"/>
      <c r="LV14" s="35"/>
      <c r="LW14" s="35"/>
      <c r="LX14" s="35"/>
      <c r="LY14" s="35"/>
      <c r="LZ14" s="35"/>
      <c r="MA14" s="35"/>
      <c r="MB14" s="35"/>
      <c r="MC14" s="35"/>
      <c r="MD14" s="35"/>
      <c r="ME14" s="35"/>
      <c r="MF14" s="35"/>
      <c r="MG14" s="35"/>
      <c r="MH14" s="35"/>
      <c r="MI14" s="35"/>
      <c r="MJ14" s="35"/>
      <c r="MK14" s="35"/>
      <c r="ML14" s="35"/>
      <c r="MM14" s="35"/>
      <c r="MN14" s="35"/>
      <c r="MO14" s="35"/>
      <c r="MP14" s="35"/>
      <c r="MQ14" s="35"/>
      <c r="MR14" s="35"/>
      <c r="MS14" s="35"/>
      <c r="MT14" s="35"/>
      <c r="MU14" s="35"/>
      <c r="MV14" s="35"/>
      <c r="MW14" s="35"/>
      <c r="MX14" s="35"/>
      <c r="MY14" s="35"/>
      <c r="MZ14" s="35"/>
      <c r="NA14" s="35"/>
      <c r="NB14" s="35"/>
      <c r="NC14" s="35"/>
      <c r="ND14" s="35"/>
      <c r="NE14" s="35"/>
      <c r="NF14" s="35"/>
      <c r="NG14" s="35"/>
      <c r="NH14" s="35"/>
      <c r="NI14" s="35"/>
      <c r="NJ14" s="35"/>
      <c r="NK14" s="35"/>
      <c r="NL14" s="35"/>
      <c r="NM14" s="35"/>
      <c r="NN14" s="35"/>
      <c r="NO14" s="35"/>
      <c r="NP14" s="35"/>
      <c r="NQ14" s="35"/>
      <c r="NR14" s="35"/>
      <c r="NS14" s="35"/>
      <c r="NT14" s="35"/>
      <c r="NU14" s="35"/>
      <c r="NV14" s="35"/>
      <c r="NW14" s="35"/>
      <c r="NX14" s="35"/>
      <c r="NY14" s="35"/>
      <c r="NZ14" s="35"/>
      <c r="OA14" s="35"/>
      <c r="OB14" s="35"/>
      <c r="OC14" s="35"/>
      <c r="OD14" s="35"/>
      <c r="OE14" s="35"/>
      <c r="OF14" s="35"/>
      <c r="OG14" s="35"/>
      <c r="OH14" s="35"/>
      <c r="OI14" s="35"/>
      <c r="OJ14" s="35"/>
      <c r="OK14" s="35"/>
      <c r="OL14" s="35"/>
      <c r="OM14" s="35"/>
      <c r="ON14" s="35"/>
      <c r="OO14" s="35"/>
      <c r="OP14" s="35"/>
      <c r="OQ14" s="35"/>
      <c r="OR14" s="35"/>
      <c r="OS14" s="35"/>
      <c r="OT14" s="35"/>
      <c r="OU14" s="35"/>
      <c r="OV14" s="35"/>
      <c r="OW14" s="35"/>
      <c r="OX14" s="35"/>
      <c r="OY14" s="35"/>
      <c r="OZ14" s="35"/>
      <c r="PA14" s="35"/>
      <c r="PB14" s="35"/>
      <c r="PC14" s="35"/>
      <c r="PD14" s="35"/>
      <c r="PE14" s="35"/>
      <c r="PF14" s="35"/>
      <c r="PG14" s="35"/>
      <c r="PH14" s="35"/>
      <c r="PI14" s="35"/>
      <c r="PJ14" s="35"/>
      <c r="PK14" s="35"/>
      <c r="PL14" s="35"/>
      <c r="PM14" s="35"/>
      <c r="PN14" s="35"/>
      <c r="PO14" s="35"/>
      <c r="PP14" s="35"/>
      <c r="PQ14" s="35"/>
      <c r="PR14" s="35"/>
      <c r="PS14" s="35"/>
      <c r="PT14" s="35"/>
      <c r="PU14" s="35"/>
      <c r="PV14" s="35"/>
      <c r="PW14" s="35"/>
      <c r="PX14" s="35"/>
      <c r="PY14" s="35"/>
      <c r="PZ14" s="35"/>
      <c r="QA14" s="35"/>
      <c r="QB14" s="35"/>
      <c r="QC14" s="35"/>
      <c r="QD14" s="35"/>
      <c r="QE14" s="35"/>
      <c r="QF14" s="35"/>
      <c r="QG14" s="35"/>
      <c r="QH14" s="35"/>
      <c r="QI14" s="35"/>
      <c r="QJ14" s="35"/>
      <c r="QK14" s="35"/>
      <c r="QL14" s="35"/>
      <c r="QM14" s="35"/>
      <c r="QN14" s="35"/>
      <c r="QO14" s="35"/>
      <c r="QP14" s="35"/>
      <c r="QQ14" s="35"/>
      <c r="QR14" s="35"/>
      <c r="QS14" s="35"/>
      <c r="QT14" s="35"/>
      <c r="QU14" s="35"/>
      <c r="QV14" s="35"/>
      <c r="QW14" s="35"/>
      <c r="QX14" s="35"/>
      <c r="QY14" s="35"/>
      <c r="QZ14" s="35"/>
      <c r="RA14" s="35"/>
      <c r="RB14" s="35"/>
      <c r="RC14" s="35"/>
      <c r="RD14" s="35"/>
      <c r="RE14" s="35"/>
      <c r="RF14" s="35"/>
      <c r="RG14" s="35"/>
      <c r="RH14" s="35"/>
      <c r="RI14" s="35"/>
      <c r="RJ14" s="35"/>
      <c r="RK14" s="35"/>
      <c r="RL14" s="35"/>
      <c r="RM14" s="35"/>
      <c r="RN14" s="35"/>
      <c r="RO14" s="35"/>
      <c r="RP14" s="35"/>
      <c r="RQ14" s="35"/>
      <c r="RR14" s="35"/>
      <c r="RS14" s="35"/>
      <c r="RT14" s="35"/>
      <c r="RU14" s="35"/>
      <c r="RV14" s="35"/>
      <c r="RW14" s="35"/>
      <c r="RX14" s="35"/>
      <c r="RY14" s="35"/>
      <c r="RZ14" s="35"/>
      <c r="SA14" s="35"/>
      <c r="SB14" s="35"/>
      <c r="SC14" s="35"/>
      <c r="SD14" s="35"/>
      <c r="SE14" s="35"/>
      <c r="SF14" s="35"/>
      <c r="SG14" s="35"/>
      <c r="SH14" s="35"/>
      <c r="SI14" s="35"/>
      <c r="SJ14" s="35"/>
      <c r="SK14" s="35"/>
      <c r="SL14" s="35"/>
      <c r="SM14" s="35"/>
      <c r="SN14" s="35"/>
      <c r="SO14" s="35"/>
      <c r="SP14" s="35"/>
      <c r="SQ14" s="35"/>
      <c r="SR14" s="35"/>
      <c r="SS14" s="35"/>
      <c r="ST14" s="35"/>
      <c r="SU14" s="35"/>
      <c r="SV14" s="35"/>
      <c r="SW14" s="35"/>
      <c r="SX14" s="35"/>
      <c r="SY14" s="35"/>
      <c r="SZ14" s="35"/>
      <c r="TA14" s="35"/>
      <c r="TB14" s="35"/>
      <c r="TC14" s="35"/>
      <c r="TD14" s="35"/>
      <c r="TE14" s="35"/>
      <c r="TF14" s="35"/>
      <c r="TG14" s="35"/>
      <c r="TH14" s="35"/>
      <c r="TI14" s="35"/>
      <c r="TJ14" s="35"/>
      <c r="TK14" s="35"/>
      <c r="TL14" s="35"/>
      <c r="TM14" s="35"/>
      <c r="TN14" s="35"/>
      <c r="TO14" s="35"/>
      <c r="TP14" s="35"/>
      <c r="TQ14" s="35"/>
      <c r="TR14" s="35"/>
      <c r="TS14" s="35"/>
      <c r="TT14" s="35"/>
      <c r="TU14" s="35"/>
      <c r="TV14" s="35"/>
      <c r="TW14" s="35"/>
      <c r="TX14" s="35"/>
      <c r="TY14" s="35"/>
      <c r="TZ14" s="35"/>
      <c r="UA14" s="35"/>
      <c r="UB14" s="35"/>
      <c r="UC14" s="35"/>
      <c r="UD14" s="35"/>
      <c r="UE14" s="35"/>
      <c r="UF14" s="35"/>
      <c r="UG14" s="35"/>
      <c r="UH14" s="35"/>
      <c r="UI14" s="35"/>
      <c r="UJ14" s="35"/>
      <c r="UK14" s="35"/>
      <c r="UL14" s="35"/>
      <c r="UM14" s="35"/>
      <c r="UN14" s="35"/>
      <c r="UO14" s="35"/>
      <c r="UP14" s="35"/>
      <c r="UQ14" s="35"/>
      <c r="UR14" s="35"/>
      <c r="US14" s="35"/>
      <c r="UT14" s="35"/>
      <c r="UU14" s="35"/>
      <c r="UV14" s="35"/>
      <c r="UW14" s="35"/>
      <c r="UX14" s="35"/>
      <c r="UY14" s="35"/>
      <c r="UZ14" s="35"/>
      <c r="VA14" s="35"/>
      <c r="VB14" s="35"/>
      <c r="VC14" s="35"/>
      <c r="VD14" s="35"/>
      <c r="VE14" s="35"/>
      <c r="VF14" s="35"/>
      <c r="VG14" s="35"/>
      <c r="VH14" s="35"/>
      <c r="VI14" s="35"/>
      <c r="VJ14" s="35"/>
      <c r="VK14" s="35"/>
      <c r="VL14" s="35"/>
      <c r="VM14" s="35"/>
      <c r="VN14" s="35"/>
      <c r="VO14" s="35"/>
      <c r="VP14" s="35"/>
      <c r="VQ14" s="35"/>
      <c r="VR14" s="35"/>
      <c r="VS14" s="35"/>
      <c r="VT14" s="35"/>
      <c r="VU14" s="35"/>
      <c r="VV14" s="35"/>
      <c r="VW14" s="35"/>
      <c r="VX14" s="35"/>
      <c r="VY14" s="35"/>
      <c r="VZ14" s="35"/>
      <c r="WA14" s="35"/>
      <c r="WB14" s="35"/>
      <c r="WC14" s="35"/>
      <c r="WD14" s="35"/>
      <c r="WE14" s="35"/>
      <c r="WF14" s="35"/>
      <c r="WG14" s="35"/>
      <c r="WH14" s="35"/>
      <c r="WI14" s="35"/>
      <c r="WJ14" s="35"/>
      <c r="WK14" s="35"/>
      <c r="WL14" s="35"/>
      <c r="WM14" s="35"/>
      <c r="WN14" s="35"/>
      <c r="WO14" s="35"/>
      <c r="WP14" s="35"/>
      <c r="WQ14" s="35"/>
      <c r="WR14" s="35"/>
      <c r="WS14" s="35"/>
      <c r="WT14" s="35"/>
      <c r="WU14" s="35"/>
      <c r="WV14" s="35"/>
      <c r="WW14" s="35"/>
      <c r="WX14" s="35"/>
      <c r="WY14" s="35"/>
      <c r="WZ14" s="35"/>
      <c r="XA14" s="35"/>
      <c r="XB14" s="35"/>
      <c r="XC14" s="35"/>
      <c r="XD14" s="35"/>
      <c r="XE14" s="35"/>
      <c r="XF14" s="35"/>
      <c r="XG14" s="35"/>
      <c r="XH14" s="35"/>
      <c r="XI14" s="35"/>
      <c r="XJ14" s="35"/>
      <c r="XK14" s="35"/>
      <c r="XL14" s="35"/>
      <c r="XM14" s="35"/>
      <c r="XN14" s="35"/>
      <c r="XO14" s="35"/>
      <c r="XP14" s="35"/>
      <c r="XQ14" s="35"/>
      <c r="XR14" s="35"/>
      <c r="XS14" s="35"/>
      <c r="XT14" s="35"/>
      <c r="XU14" s="35"/>
      <c r="XV14" s="35"/>
      <c r="XW14" s="35"/>
      <c r="XX14" s="35"/>
      <c r="XY14" s="35"/>
      <c r="XZ14" s="35"/>
      <c r="YA14" s="35"/>
      <c r="YB14" s="35"/>
      <c r="YC14" s="35"/>
      <c r="YD14" s="35"/>
      <c r="YE14" s="35"/>
      <c r="YF14" s="35"/>
      <c r="YG14" s="35"/>
      <c r="YH14" s="35"/>
      <c r="YI14" s="35"/>
      <c r="YJ14" s="35"/>
      <c r="YK14" s="35"/>
      <c r="YL14" s="35"/>
      <c r="YM14" s="35"/>
      <c r="YN14" s="35"/>
      <c r="YO14" s="35"/>
      <c r="YP14" s="35"/>
      <c r="YQ14" s="35"/>
      <c r="YR14" s="35"/>
      <c r="YS14" s="35"/>
      <c r="YT14" s="35"/>
      <c r="YU14" s="35"/>
      <c r="YV14" s="35"/>
      <c r="YW14" s="35"/>
      <c r="YX14" s="35"/>
      <c r="YY14" s="35"/>
      <c r="YZ14" s="35"/>
      <c r="ZA14" s="35"/>
      <c r="ZB14" s="35"/>
      <c r="ZC14" s="35"/>
      <c r="ZD14" s="35"/>
      <c r="ZE14" s="35"/>
      <c r="ZF14" s="35"/>
      <c r="ZG14" s="35"/>
      <c r="ZH14" s="35"/>
      <c r="ZI14" s="35"/>
      <c r="ZJ14" s="35"/>
      <c r="ZK14" s="35"/>
      <c r="ZL14" s="35"/>
      <c r="ZM14" s="35"/>
      <c r="ZN14" s="35"/>
      <c r="ZO14" s="35"/>
      <c r="ZP14" s="35"/>
      <c r="ZQ14" s="35"/>
      <c r="ZR14" s="35"/>
      <c r="ZS14" s="35"/>
      <c r="ZT14" s="35"/>
      <c r="ZU14" s="35"/>
      <c r="ZV14" s="35"/>
      <c r="ZW14" s="35"/>
      <c r="ZX14" s="35"/>
      <c r="ZY14" s="35"/>
      <c r="ZZ14" s="35"/>
      <c r="AAA14" s="35"/>
      <c r="AAB14" s="35"/>
      <c r="AAC14" s="35"/>
      <c r="AAD14" s="35"/>
      <c r="AAE14" s="35"/>
      <c r="AAF14" s="35"/>
      <c r="AAG14" s="35"/>
      <c r="AAH14" s="35"/>
      <c r="AAI14" s="35"/>
      <c r="AAJ14" s="35"/>
      <c r="AAK14" s="35"/>
      <c r="AAL14" s="35"/>
      <c r="AAM14" s="35"/>
      <c r="AAN14" s="35"/>
      <c r="AAO14" s="35"/>
      <c r="AAP14" s="35"/>
      <c r="AAQ14" s="35"/>
      <c r="AAR14" s="35"/>
      <c r="AAS14" s="35"/>
      <c r="AAT14" s="35"/>
      <c r="AAU14" s="35"/>
      <c r="AAV14" s="35"/>
      <c r="AAW14" s="35"/>
      <c r="AAX14" s="35"/>
      <c r="AAY14" s="35"/>
      <c r="AAZ14" s="35"/>
      <c r="ABA14" s="35"/>
      <c r="ABB14" s="35"/>
      <c r="ABC14" s="35"/>
      <c r="ABD14" s="35"/>
      <c r="ABE14" s="35"/>
      <c r="ABF14" s="35"/>
      <c r="ABG14" s="35"/>
      <c r="ABH14" s="35"/>
      <c r="ABI14" s="35"/>
      <c r="ABJ14" s="35"/>
      <c r="ABK14" s="35"/>
      <c r="ABL14" s="35"/>
      <c r="ABM14" s="35"/>
      <c r="ABN14" s="35"/>
      <c r="ABO14" s="35"/>
      <c r="ABP14" s="35"/>
      <c r="ABQ14" s="35"/>
      <c r="ABR14" s="35"/>
      <c r="ABS14" s="35"/>
      <c r="ABT14" s="35"/>
      <c r="ABU14" s="35"/>
      <c r="ABV14" s="35"/>
      <c r="ABW14" s="35"/>
      <c r="ABX14" s="35"/>
      <c r="ABY14" s="35"/>
      <c r="ABZ14" s="35"/>
      <c r="ACA14" s="35"/>
      <c r="ACB14" s="35"/>
      <c r="ACC14" s="35"/>
      <c r="ACD14" s="35"/>
      <c r="ACE14" s="35"/>
      <c r="ACF14" s="35"/>
      <c r="ACG14" s="35"/>
      <c r="ACH14" s="35"/>
      <c r="ACI14" s="35"/>
      <c r="ACJ14" s="35"/>
      <c r="ACK14" s="35"/>
      <c r="ACL14" s="35"/>
      <c r="ACM14" s="35"/>
      <c r="ACN14" s="35"/>
      <c r="ACO14" s="35"/>
      <c r="ACP14" s="35"/>
      <c r="ACQ14" s="35"/>
      <c r="ACR14" s="35"/>
      <c r="ACS14" s="35"/>
      <c r="ACT14" s="35"/>
      <c r="ACU14" s="35"/>
      <c r="ACV14" s="35"/>
      <c r="ACW14" s="35"/>
      <c r="ACX14" s="35"/>
      <c r="ACY14" s="35"/>
      <c r="ACZ14" s="35"/>
      <c r="ADA14" s="35"/>
      <c r="ADB14" s="35"/>
      <c r="ADC14" s="35"/>
      <c r="ADD14" s="35"/>
      <c r="ADE14" s="35"/>
      <c r="ADF14" s="35"/>
      <c r="ADG14" s="35"/>
      <c r="ADH14" s="35"/>
      <c r="ADI14" s="35"/>
      <c r="ADJ14" s="35"/>
      <c r="ADK14" s="35"/>
      <c r="ADL14" s="35"/>
      <c r="ADM14" s="35"/>
      <c r="ADN14" s="35"/>
      <c r="ADO14" s="35"/>
      <c r="ADP14" s="35"/>
      <c r="ADQ14" s="35"/>
      <c r="ADR14" s="35"/>
      <c r="ADS14" s="35"/>
      <c r="ADT14" s="35"/>
      <c r="ADU14" s="35"/>
      <c r="ADV14" s="35"/>
      <c r="ADW14" s="35"/>
      <c r="ADX14" s="35"/>
      <c r="ADY14" s="35"/>
      <c r="ADZ14" s="35"/>
      <c r="AEA14" s="35"/>
      <c r="AEB14" s="35"/>
      <c r="AEC14" s="35"/>
      <c r="AED14" s="35"/>
      <c r="AEE14" s="35"/>
      <c r="AEF14" s="35"/>
      <c r="AEG14" s="35"/>
      <c r="AEH14" s="35"/>
      <c r="AEI14" s="35"/>
      <c r="AEJ14" s="35"/>
      <c r="AEK14" s="35"/>
      <c r="AEL14" s="35"/>
      <c r="AEM14" s="35"/>
      <c r="AEN14" s="35"/>
      <c r="AEO14" s="35"/>
      <c r="AEP14" s="35"/>
      <c r="AEQ14" s="35"/>
      <c r="AER14" s="35"/>
      <c r="AES14" s="35"/>
      <c r="AET14" s="35"/>
      <c r="AEU14" s="35"/>
      <c r="AEV14" s="35"/>
      <c r="AEW14" s="35"/>
      <c r="AEX14" s="35"/>
      <c r="AEY14" s="35"/>
      <c r="AEZ14" s="35"/>
      <c r="AFA14" s="35"/>
      <c r="AFB14" s="35"/>
      <c r="AFC14" s="35"/>
      <c r="AFD14" s="35"/>
      <c r="AFE14" s="35"/>
      <c r="AFF14" s="35"/>
      <c r="AFG14" s="35"/>
      <c r="AFH14" s="35"/>
      <c r="AFI14" s="35"/>
      <c r="AFJ14" s="35"/>
      <c r="AFK14" s="35"/>
      <c r="AFL14" s="35"/>
      <c r="AFM14" s="35"/>
      <c r="AFN14" s="35"/>
      <c r="AFO14" s="35"/>
      <c r="AFP14" s="35"/>
      <c r="AFQ14" s="35"/>
      <c r="AFR14" s="35"/>
      <c r="AFS14" s="35"/>
      <c r="AFT14" s="35"/>
      <c r="AFU14" s="35"/>
      <c r="AFV14" s="35"/>
      <c r="AFW14" s="35"/>
      <c r="AFX14" s="35"/>
      <c r="AFY14" s="35"/>
      <c r="AFZ14" s="35"/>
      <c r="AGA14" s="35"/>
      <c r="AGB14" s="35"/>
      <c r="AGC14" s="35"/>
      <c r="AGD14" s="35"/>
      <c r="AGE14" s="35"/>
      <c r="AGF14" s="35"/>
      <c r="AGG14" s="35"/>
      <c r="AGH14" s="35"/>
      <c r="AGI14" s="35"/>
      <c r="AGJ14" s="35"/>
      <c r="AGK14" s="35"/>
      <c r="AGL14" s="35"/>
      <c r="AGM14" s="35"/>
      <c r="AGN14" s="35"/>
      <c r="AGO14" s="35"/>
      <c r="AGP14" s="35"/>
      <c r="AGQ14" s="35"/>
      <c r="AGR14" s="35"/>
      <c r="AGS14" s="35"/>
      <c r="AGT14" s="35"/>
      <c r="AGU14" s="35"/>
      <c r="AGV14" s="35"/>
      <c r="AGW14" s="35"/>
      <c r="AGX14" s="35"/>
      <c r="AGY14" s="35"/>
      <c r="AGZ14" s="35"/>
      <c r="AHA14" s="35"/>
      <c r="AHB14" s="35"/>
      <c r="AHC14" s="35"/>
      <c r="AHD14" s="35"/>
      <c r="AHE14" s="35"/>
      <c r="AHF14" s="35"/>
      <c r="AHG14" s="35"/>
      <c r="AHH14" s="35"/>
      <c r="AHI14" s="35"/>
      <c r="AHJ14" s="35"/>
      <c r="AHK14" s="35"/>
      <c r="AHL14" s="35"/>
      <c r="AHM14" s="35"/>
      <c r="AHN14" s="35"/>
      <c r="AHO14" s="35"/>
      <c r="AHP14" s="35"/>
      <c r="AHQ14" s="35"/>
      <c r="AHR14" s="35"/>
      <c r="AHS14" s="35"/>
      <c r="AHT14" s="35"/>
      <c r="AHU14" s="35"/>
      <c r="AHV14" s="35"/>
      <c r="AHW14" s="35"/>
      <c r="AHX14" s="35"/>
      <c r="AHY14" s="35"/>
      <c r="AHZ14" s="35"/>
      <c r="AIA14" s="35"/>
      <c r="AIB14" s="35"/>
      <c r="AIC14" s="35"/>
      <c r="AID14" s="35"/>
      <c r="AIE14" s="35"/>
      <c r="AIF14" s="35"/>
      <c r="AIG14" s="35"/>
      <c r="AIH14" s="35"/>
      <c r="AII14" s="35"/>
      <c r="AIJ14" s="35"/>
      <c r="AIK14" s="35"/>
      <c r="AIL14" s="35"/>
      <c r="AIM14" s="35"/>
      <c r="AIN14" s="35"/>
      <c r="AIO14" s="35"/>
      <c r="AIP14" s="35"/>
      <c r="AIQ14" s="35"/>
      <c r="AIR14" s="35"/>
      <c r="AIS14" s="35"/>
      <c r="AIT14" s="35"/>
      <c r="AIU14" s="35"/>
      <c r="AIV14" s="35"/>
      <c r="AIW14" s="35"/>
      <c r="AIX14" s="35"/>
      <c r="AIY14" s="35"/>
      <c r="AIZ14" s="35"/>
      <c r="AJA14" s="35"/>
      <c r="AJB14" s="35"/>
      <c r="AJC14" s="35"/>
      <c r="AJD14" s="35"/>
      <c r="AJE14" s="35"/>
      <c r="AJF14" s="35"/>
      <c r="AJG14" s="35"/>
      <c r="AJH14" s="35"/>
      <c r="AJI14" s="35"/>
      <c r="AJJ14" s="35"/>
      <c r="AJK14" s="35"/>
      <c r="AJL14" s="35"/>
      <c r="AJM14" s="35"/>
      <c r="AJN14" s="35"/>
      <c r="AJO14" s="35"/>
      <c r="AJP14" s="35"/>
      <c r="AJQ14" s="35"/>
      <c r="AJR14" s="35"/>
      <c r="AJS14" s="35"/>
      <c r="AJT14" s="35"/>
      <c r="AJU14" s="35"/>
      <c r="AJV14" s="35"/>
      <c r="AJW14" s="35"/>
      <c r="AJX14" s="35"/>
      <c r="AJY14" s="35"/>
      <c r="AJZ14" s="35"/>
      <c r="AKA14" s="35"/>
      <c r="AKB14" s="35"/>
      <c r="AKC14" s="35"/>
      <c r="AKD14" s="35"/>
      <c r="AKE14" s="35"/>
      <c r="AKF14" s="35"/>
      <c r="AKG14" s="35"/>
      <c r="AKH14" s="35"/>
      <c r="AKI14" s="35"/>
      <c r="AKJ14" s="35"/>
      <c r="AKK14" s="35"/>
      <c r="AKL14" s="35"/>
      <c r="AKM14" s="35"/>
      <c r="AKN14" s="35"/>
      <c r="AKO14" s="35"/>
      <c r="AKP14" s="35"/>
      <c r="AKQ14" s="35"/>
      <c r="AKR14" s="35"/>
      <c r="AKS14" s="35"/>
      <c r="AKT14" s="35"/>
      <c r="AKU14" s="35"/>
      <c r="AKV14" s="35"/>
      <c r="AKW14" s="35"/>
      <c r="AKX14" s="35"/>
      <c r="AKY14" s="35"/>
      <c r="AKZ14" s="35"/>
      <c r="ALA14" s="35"/>
      <c r="ALB14" s="35"/>
      <c r="ALC14" s="35"/>
      <c r="ALD14" s="35"/>
      <c r="ALE14" s="35"/>
      <c r="ALF14" s="35"/>
      <c r="ALG14" s="35"/>
      <c r="ALH14" s="35"/>
      <c r="ALI14" s="35"/>
      <c r="ALJ14" s="35"/>
      <c r="ALK14" s="35"/>
      <c r="ALL14" s="35"/>
      <c r="ALM14" s="35"/>
      <c r="ALN14" s="35"/>
      <c r="ALO14" s="35"/>
      <c r="ALP14" s="35"/>
      <c r="ALQ14" s="35"/>
      <c r="ALR14" s="35"/>
      <c r="ALS14" s="35"/>
      <c r="ALT14" s="35"/>
      <c r="ALU14" s="35"/>
      <c r="ALV14" s="35"/>
      <c r="ALW14" s="35"/>
      <c r="ALX14" s="35"/>
      <c r="ALY14" s="35"/>
      <c r="ALZ14" s="35"/>
      <c r="AMA14" s="35"/>
      <c r="AMB14" s="35"/>
      <c r="AMC14" s="35"/>
      <c r="AMD14" s="35"/>
      <c r="AME14" s="35"/>
      <c r="AMF14" s="35"/>
      <c r="AMG14" s="35"/>
      <c r="AMH14" s="35"/>
      <c r="AMI14" s="35"/>
      <c r="AMJ14" s="35"/>
      <c r="AMK14" s="35"/>
      <c r="AML14" s="35"/>
      <c r="AMM14" s="35"/>
      <c r="AMN14" s="35"/>
      <c r="AMO14" s="35"/>
      <c r="AMP14" s="35"/>
      <c r="AMQ14" s="35"/>
      <c r="AMR14" s="35"/>
      <c r="AMS14" s="35"/>
      <c r="AMT14" s="35"/>
      <c r="AMU14" s="35"/>
      <c r="AMV14" s="35"/>
      <c r="AMW14" s="35"/>
      <c r="AMX14" s="35"/>
      <c r="AMY14" s="35"/>
      <c r="AMZ14" s="35"/>
      <c r="ANA14" s="35"/>
    </row>
    <row r="15" customFormat="false" ht="12.8" hidden="true" customHeight="true" outlineLevel="1" collapsed="false">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c r="BQ15" s="40"/>
      <c r="BR15" s="40"/>
      <c r="BS15" s="40"/>
      <c r="BT15" s="40"/>
      <c r="BU15" s="40"/>
      <c r="BV15" s="40"/>
      <c r="BW15" s="40" t="s">
        <v>364</v>
      </c>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5"/>
      <c r="GC15" s="35"/>
      <c r="GD15" s="35"/>
      <c r="GE15" s="35"/>
      <c r="GF15" s="35"/>
      <c r="GG15" s="35"/>
      <c r="GH15" s="35"/>
      <c r="GI15" s="35"/>
      <c r="GJ15" s="35"/>
      <c r="GK15" s="35"/>
      <c r="GL15" s="35"/>
      <c r="GM15" s="35"/>
      <c r="GN15" s="35"/>
      <c r="GO15" s="35"/>
      <c r="GP15" s="35"/>
      <c r="GQ15" s="35"/>
      <c r="GR15" s="35"/>
      <c r="GS15" s="35"/>
      <c r="GT15" s="35"/>
      <c r="GU15" s="35"/>
      <c r="GV15" s="35"/>
      <c r="GW15" s="35"/>
      <c r="GX15" s="35"/>
      <c r="GY15" s="35"/>
      <c r="GZ15" s="35"/>
      <c r="HA15" s="35"/>
      <c r="HB15" s="35"/>
      <c r="HC15" s="35"/>
      <c r="HD15" s="35"/>
      <c r="HE15" s="35"/>
      <c r="HF15" s="35"/>
      <c r="HG15" s="35"/>
      <c r="HH15" s="35"/>
      <c r="HI15" s="35"/>
      <c r="HJ15" s="35"/>
      <c r="HK15" s="35"/>
      <c r="HL15" s="35"/>
      <c r="HM15" s="35"/>
      <c r="HN15" s="35"/>
      <c r="HO15" s="35"/>
      <c r="HP15" s="35"/>
      <c r="HQ15" s="35"/>
      <c r="HR15" s="35"/>
      <c r="HS15" s="35"/>
      <c r="HT15" s="35"/>
      <c r="HU15" s="35"/>
      <c r="HV15" s="35"/>
      <c r="HW15" s="35"/>
      <c r="HX15" s="35"/>
      <c r="HY15" s="35"/>
      <c r="HZ15" s="35"/>
      <c r="IA15" s="35"/>
      <c r="IB15" s="35"/>
      <c r="IC15" s="35"/>
      <c r="ID15" s="35"/>
      <c r="IE15" s="35"/>
      <c r="IF15" s="35"/>
      <c r="IG15" s="35"/>
      <c r="IH15" s="35"/>
      <c r="II15" s="35"/>
      <c r="IJ15" s="35"/>
      <c r="IK15" s="35"/>
      <c r="IL15" s="35"/>
      <c r="IM15" s="35"/>
      <c r="IN15" s="35"/>
      <c r="IO15" s="35"/>
      <c r="IP15" s="35"/>
      <c r="IQ15" s="35"/>
      <c r="IR15" s="35"/>
      <c r="IS15" s="35"/>
      <c r="IT15" s="35"/>
      <c r="IU15" s="35"/>
      <c r="IV15" s="35"/>
      <c r="IW15" s="35"/>
      <c r="IX15" s="35"/>
      <c r="IY15" s="35"/>
      <c r="IZ15" s="35"/>
      <c r="JA15" s="35"/>
      <c r="JB15" s="35"/>
      <c r="JC15" s="35"/>
      <c r="JD15" s="35"/>
      <c r="JE15" s="35"/>
      <c r="JF15" s="35"/>
      <c r="JG15" s="35"/>
      <c r="JH15" s="35"/>
      <c r="JI15" s="35"/>
      <c r="JJ15" s="35"/>
      <c r="JK15" s="35"/>
      <c r="JL15" s="35"/>
      <c r="JM15" s="35"/>
      <c r="JN15" s="35"/>
      <c r="JO15" s="35"/>
      <c r="JP15" s="35"/>
      <c r="JQ15" s="35"/>
      <c r="JR15" s="35"/>
      <c r="JS15" s="35"/>
      <c r="JT15" s="35"/>
      <c r="JU15" s="35"/>
      <c r="JV15" s="35"/>
      <c r="JW15" s="35"/>
      <c r="JX15" s="35"/>
      <c r="JY15" s="35"/>
      <c r="JZ15" s="35"/>
      <c r="KA15" s="35"/>
      <c r="KB15" s="35"/>
      <c r="KC15" s="35"/>
      <c r="KD15" s="35"/>
      <c r="KE15" s="35"/>
      <c r="KF15" s="35"/>
      <c r="KG15" s="35"/>
      <c r="KH15" s="35"/>
      <c r="KI15" s="35"/>
      <c r="KJ15" s="35"/>
      <c r="KK15" s="35"/>
      <c r="KL15" s="35"/>
      <c r="KM15" s="35"/>
      <c r="KN15" s="35"/>
      <c r="KO15" s="35"/>
      <c r="KP15" s="35"/>
      <c r="KQ15" s="35"/>
      <c r="KR15" s="35"/>
      <c r="KS15" s="35"/>
      <c r="KT15" s="35"/>
      <c r="KU15" s="35"/>
      <c r="KV15" s="35"/>
      <c r="KW15" s="35"/>
      <c r="KX15" s="35"/>
      <c r="KY15" s="35"/>
      <c r="KZ15" s="35"/>
      <c r="LA15" s="35"/>
      <c r="LB15" s="35"/>
      <c r="LC15" s="35"/>
      <c r="LD15" s="35"/>
      <c r="LE15" s="35"/>
      <c r="LF15" s="35"/>
      <c r="LG15" s="35"/>
      <c r="LH15" s="35"/>
      <c r="LI15" s="35"/>
      <c r="LJ15" s="35"/>
      <c r="LK15" s="35"/>
      <c r="LL15" s="35"/>
      <c r="LM15" s="35"/>
      <c r="LN15" s="35"/>
      <c r="LO15" s="35"/>
      <c r="LP15" s="35"/>
      <c r="LQ15" s="35"/>
      <c r="LR15" s="35"/>
      <c r="LS15" s="35"/>
      <c r="LT15" s="35"/>
      <c r="LU15" s="35"/>
      <c r="LV15" s="35"/>
      <c r="LW15" s="35"/>
      <c r="LX15" s="35"/>
      <c r="LY15" s="35"/>
      <c r="LZ15" s="35"/>
      <c r="MA15" s="35"/>
      <c r="MB15" s="35"/>
      <c r="MC15" s="35"/>
      <c r="MD15" s="35"/>
      <c r="ME15" s="35"/>
      <c r="MF15" s="35"/>
      <c r="MG15" s="35"/>
      <c r="MH15" s="35"/>
      <c r="MI15" s="35"/>
      <c r="MJ15" s="35"/>
      <c r="MK15" s="35"/>
      <c r="ML15" s="35"/>
      <c r="MM15" s="35"/>
      <c r="MN15" s="35"/>
      <c r="MO15" s="35"/>
      <c r="MP15" s="35"/>
      <c r="MQ15" s="35"/>
      <c r="MR15" s="35"/>
      <c r="MS15" s="35"/>
      <c r="MT15" s="35"/>
      <c r="MU15" s="35"/>
      <c r="MV15" s="35"/>
      <c r="MW15" s="35"/>
      <c r="MX15" s="35"/>
      <c r="MY15" s="35"/>
      <c r="MZ15" s="35"/>
      <c r="NA15" s="35"/>
      <c r="NB15" s="35"/>
      <c r="NC15" s="35"/>
      <c r="ND15" s="35"/>
      <c r="NE15" s="35"/>
      <c r="NF15" s="35"/>
      <c r="NG15" s="35"/>
      <c r="NH15" s="35"/>
      <c r="NI15" s="35"/>
      <c r="NJ15" s="35"/>
      <c r="NK15" s="35"/>
      <c r="NL15" s="35"/>
      <c r="NM15" s="35"/>
      <c r="NN15" s="35"/>
      <c r="NO15" s="35"/>
      <c r="NP15" s="35"/>
      <c r="NQ15" s="35"/>
      <c r="NR15" s="35"/>
      <c r="NS15" s="35"/>
      <c r="NT15" s="35"/>
      <c r="NU15" s="35"/>
      <c r="NV15" s="35"/>
      <c r="NW15" s="35"/>
      <c r="NX15" s="35"/>
      <c r="NY15" s="35"/>
      <c r="NZ15" s="35"/>
      <c r="OA15" s="35"/>
      <c r="OB15" s="35"/>
      <c r="OC15" s="35"/>
      <c r="OD15" s="35"/>
      <c r="OE15" s="35"/>
      <c r="OF15" s="35"/>
      <c r="OG15" s="35"/>
      <c r="OH15" s="35"/>
      <c r="OI15" s="35"/>
      <c r="OJ15" s="35"/>
      <c r="OK15" s="35"/>
      <c r="OL15" s="35"/>
      <c r="OM15" s="35"/>
      <c r="ON15" s="35"/>
      <c r="OO15" s="35"/>
      <c r="OP15" s="35"/>
      <c r="OQ15" s="35"/>
      <c r="OR15" s="35"/>
      <c r="OS15" s="35"/>
      <c r="OT15" s="35"/>
      <c r="OU15" s="35"/>
      <c r="OV15" s="35"/>
      <c r="OW15" s="35"/>
      <c r="OX15" s="35"/>
      <c r="OY15" s="35"/>
      <c r="OZ15" s="35"/>
      <c r="PA15" s="35"/>
      <c r="PB15" s="35"/>
      <c r="PC15" s="35"/>
      <c r="PD15" s="35"/>
      <c r="PE15" s="35"/>
      <c r="PF15" s="35"/>
      <c r="PG15" s="35"/>
      <c r="PH15" s="35"/>
      <c r="PI15" s="35"/>
      <c r="PJ15" s="35"/>
      <c r="PK15" s="35"/>
      <c r="PL15" s="35"/>
      <c r="PM15" s="35"/>
      <c r="PN15" s="35"/>
      <c r="PO15" s="35"/>
      <c r="PP15" s="35"/>
      <c r="PQ15" s="35"/>
      <c r="PR15" s="35"/>
      <c r="PS15" s="35"/>
      <c r="PT15" s="35"/>
      <c r="PU15" s="35"/>
      <c r="PV15" s="35"/>
      <c r="PW15" s="35"/>
      <c r="PX15" s="35"/>
      <c r="PY15" s="35"/>
      <c r="PZ15" s="35"/>
      <c r="QA15" s="35"/>
      <c r="QB15" s="35"/>
      <c r="QC15" s="35"/>
      <c r="QD15" s="35"/>
      <c r="QE15" s="35"/>
      <c r="QF15" s="35"/>
      <c r="QG15" s="35"/>
      <c r="QH15" s="35"/>
      <c r="QI15" s="35"/>
      <c r="QJ15" s="35"/>
      <c r="QK15" s="35"/>
      <c r="QL15" s="35"/>
      <c r="QM15" s="35"/>
      <c r="QN15" s="35"/>
      <c r="QO15" s="35"/>
      <c r="QP15" s="35"/>
      <c r="QQ15" s="35"/>
      <c r="QR15" s="35"/>
      <c r="QS15" s="35"/>
      <c r="QT15" s="35"/>
      <c r="QU15" s="35"/>
      <c r="QV15" s="35"/>
      <c r="QW15" s="35"/>
      <c r="QX15" s="35"/>
      <c r="QY15" s="35"/>
      <c r="QZ15" s="35"/>
      <c r="RA15" s="35"/>
      <c r="RB15" s="35"/>
      <c r="RC15" s="35"/>
      <c r="RD15" s="35"/>
      <c r="RE15" s="35"/>
      <c r="RF15" s="35"/>
      <c r="RG15" s="35"/>
      <c r="RH15" s="35"/>
      <c r="RI15" s="35"/>
      <c r="RJ15" s="35"/>
      <c r="RK15" s="35"/>
      <c r="RL15" s="35"/>
      <c r="RM15" s="35"/>
      <c r="RN15" s="35"/>
      <c r="RO15" s="35"/>
      <c r="RP15" s="35"/>
      <c r="RQ15" s="35"/>
      <c r="RR15" s="35"/>
      <c r="RS15" s="35"/>
      <c r="RT15" s="35"/>
      <c r="RU15" s="35"/>
      <c r="RV15" s="35"/>
      <c r="RW15" s="35"/>
      <c r="RX15" s="35"/>
      <c r="RY15" s="35"/>
      <c r="RZ15" s="35"/>
      <c r="SA15" s="35"/>
      <c r="SB15" s="35"/>
      <c r="SC15" s="35"/>
      <c r="SD15" s="35"/>
      <c r="SE15" s="35"/>
      <c r="SF15" s="35"/>
      <c r="SG15" s="35"/>
      <c r="SH15" s="35"/>
      <c r="SI15" s="35"/>
      <c r="SJ15" s="35"/>
      <c r="SK15" s="35"/>
      <c r="SL15" s="35"/>
      <c r="SM15" s="35"/>
      <c r="SN15" s="35"/>
      <c r="SO15" s="35"/>
      <c r="SP15" s="35"/>
      <c r="SQ15" s="35"/>
      <c r="SR15" s="35"/>
      <c r="SS15" s="35"/>
      <c r="ST15" s="35"/>
      <c r="SU15" s="35"/>
      <c r="SV15" s="35"/>
      <c r="SW15" s="35"/>
      <c r="SX15" s="35"/>
      <c r="SY15" s="35"/>
      <c r="SZ15" s="35"/>
      <c r="TA15" s="35"/>
      <c r="TB15" s="35"/>
      <c r="TC15" s="35"/>
      <c r="TD15" s="35"/>
      <c r="TE15" s="35"/>
      <c r="TF15" s="35"/>
      <c r="TG15" s="35"/>
      <c r="TH15" s="35"/>
      <c r="TI15" s="35"/>
      <c r="TJ15" s="35"/>
      <c r="TK15" s="35"/>
      <c r="TL15" s="35"/>
      <c r="TM15" s="35"/>
      <c r="TN15" s="35"/>
      <c r="TO15" s="35"/>
      <c r="TP15" s="35"/>
      <c r="TQ15" s="35"/>
      <c r="TR15" s="35"/>
      <c r="TS15" s="35"/>
      <c r="TT15" s="35"/>
      <c r="TU15" s="35"/>
      <c r="TV15" s="35"/>
      <c r="TW15" s="35"/>
      <c r="TX15" s="35"/>
      <c r="TY15" s="35"/>
      <c r="TZ15" s="35"/>
      <c r="UA15" s="35"/>
      <c r="UB15" s="35"/>
      <c r="UC15" s="35"/>
      <c r="UD15" s="35"/>
      <c r="UE15" s="35"/>
      <c r="UF15" s="35"/>
      <c r="UG15" s="35"/>
      <c r="UH15" s="35"/>
      <c r="UI15" s="35"/>
      <c r="UJ15" s="35"/>
      <c r="UK15" s="35"/>
      <c r="UL15" s="35"/>
      <c r="UM15" s="35"/>
      <c r="UN15" s="35"/>
      <c r="UO15" s="35"/>
      <c r="UP15" s="35"/>
      <c r="UQ15" s="35"/>
      <c r="UR15" s="35"/>
      <c r="US15" s="35"/>
      <c r="UT15" s="35"/>
      <c r="UU15" s="35"/>
      <c r="UV15" s="35"/>
      <c r="UW15" s="35"/>
      <c r="UX15" s="35"/>
      <c r="UY15" s="35"/>
      <c r="UZ15" s="35"/>
      <c r="VA15" s="35"/>
      <c r="VB15" s="35"/>
      <c r="VC15" s="35"/>
      <c r="VD15" s="35"/>
      <c r="VE15" s="35"/>
      <c r="VF15" s="35"/>
      <c r="VG15" s="35"/>
      <c r="VH15" s="35"/>
      <c r="VI15" s="35"/>
      <c r="VJ15" s="35"/>
      <c r="VK15" s="35"/>
      <c r="VL15" s="35"/>
      <c r="VM15" s="35"/>
      <c r="VN15" s="35"/>
      <c r="VO15" s="35"/>
      <c r="VP15" s="35"/>
      <c r="VQ15" s="35"/>
      <c r="VR15" s="35"/>
      <c r="VS15" s="35"/>
      <c r="VT15" s="35"/>
      <c r="VU15" s="35"/>
      <c r="VV15" s="35"/>
      <c r="VW15" s="35"/>
      <c r="VX15" s="35"/>
      <c r="VY15" s="35"/>
      <c r="VZ15" s="35"/>
      <c r="WA15" s="35"/>
      <c r="WB15" s="35"/>
      <c r="WC15" s="35"/>
      <c r="WD15" s="35"/>
      <c r="WE15" s="35"/>
      <c r="WF15" s="35"/>
      <c r="WG15" s="35"/>
      <c r="WH15" s="35"/>
      <c r="WI15" s="35"/>
      <c r="WJ15" s="35"/>
      <c r="WK15" s="35"/>
      <c r="WL15" s="35"/>
      <c r="WM15" s="35"/>
      <c r="WN15" s="35"/>
      <c r="WO15" s="35"/>
      <c r="WP15" s="35"/>
      <c r="WQ15" s="35"/>
      <c r="WR15" s="35"/>
      <c r="WS15" s="35"/>
      <c r="WT15" s="35"/>
      <c r="WU15" s="35"/>
      <c r="WV15" s="35"/>
      <c r="WW15" s="35"/>
      <c r="WX15" s="35"/>
      <c r="WY15" s="35"/>
      <c r="WZ15" s="35"/>
      <c r="XA15" s="35"/>
      <c r="XB15" s="35"/>
      <c r="XC15" s="35"/>
      <c r="XD15" s="35"/>
      <c r="XE15" s="35"/>
      <c r="XF15" s="35"/>
      <c r="XG15" s="35"/>
      <c r="XH15" s="35"/>
      <c r="XI15" s="35"/>
      <c r="XJ15" s="35"/>
      <c r="XK15" s="35"/>
      <c r="XL15" s="35"/>
      <c r="XM15" s="35"/>
      <c r="XN15" s="35"/>
      <c r="XO15" s="35"/>
      <c r="XP15" s="35"/>
      <c r="XQ15" s="35"/>
      <c r="XR15" s="35"/>
      <c r="XS15" s="35"/>
      <c r="XT15" s="35"/>
      <c r="XU15" s="35"/>
      <c r="XV15" s="35"/>
      <c r="XW15" s="35"/>
      <c r="XX15" s="35"/>
      <c r="XY15" s="35"/>
      <c r="XZ15" s="35"/>
      <c r="YA15" s="35"/>
      <c r="YB15" s="35"/>
      <c r="YC15" s="35"/>
      <c r="YD15" s="35"/>
      <c r="YE15" s="35"/>
      <c r="YF15" s="35"/>
      <c r="YG15" s="35"/>
      <c r="YH15" s="35"/>
      <c r="YI15" s="35"/>
      <c r="YJ15" s="35"/>
      <c r="YK15" s="35"/>
      <c r="YL15" s="35"/>
      <c r="YM15" s="35"/>
      <c r="YN15" s="35"/>
      <c r="YO15" s="35"/>
      <c r="YP15" s="35"/>
      <c r="YQ15" s="35"/>
      <c r="YR15" s="35"/>
      <c r="YS15" s="35"/>
      <c r="YT15" s="35"/>
      <c r="YU15" s="35"/>
      <c r="YV15" s="35"/>
      <c r="YW15" s="35"/>
      <c r="YX15" s="35"/>
      <c r="YY15" s="35"/>
      <c r="YZ15" s="35"/>
      <c r="ZA15" s="35"/>
      <c r="ZB15" s="35"/>
      <c r="ZC15" s="35"/>
      <c r="ZD15" s="35"/>
      <c r="ZE15" s="35"/>
      <c r="ZF15" s="35"/>
      <c r="ZG15" s="35"/>
      <c r="ZH15" s="35"/>
      <c r="ZI15" s="35"/>
      <c r="ZJ15" s="35"/>
      <c r="ZK15" s="35"/>
      <c r="ZL15" s="35"/>
      <c r="ZM15" s="35"/>
      <c r="ZN15" s="35"/>
      <c r="ZO15" s="35"/>
      <c r="ZP15" s="35"/>
      <c r="ZQ15" s="35"/>
      <c r="ZR15" s="35"/>
      <c r="ZS15" s="35"/>
      <c r="ZT15" s="35"/>
      <c r="ZU15" s="35"/>
      <c r="ZV15" s="35"/>
      <c r="ZW15" s="35"/>
      <c r="ZX15" s="35"/>
      <c r="ZY15" s="35"/>
      <c r="ZZ15" s="35"/>
      <c r="AAA15" s="35"/>
      <c r="AAB15" s="35"/>
      <c r="AAC15" s="35"/>
      <c r="AAD15" s="35"/>
      <c r="AAE15" s="35"/>
      <c r="AAF15" s="35"/>
      <c r="AAG15" s="35"/>
      <c r="AAH15" s="35"/>
      <c r="AAI15" s="35"/>
      <c r="AAJ15" s="35"/>
      <c r="AAK15" s="35"/>
      <c r="AAL15" s="35"/>
      <c r="AAM15" s="35"/>
      <c r="AAN15" s="35"/>
      <c r="AAO15" s="35"/>
      <c r="AAP15" s="35"/>
      <c r="AAQ15" s="35"/>
      <c r="AAR15" s="35"/>
      <c r="AAS15" s="35"/>
      <c r="AAT15" s="35"/>
      <c r="AAU15" s="35"/>
      <c r="AAV15" s="35"/>
      <c r="AAW15" s="35"/>
      <c r="AAX15" s="35"/>
      <c r="AAY15" s="35"/>
      <c r="AAZ15" s="35"/>
      <c r="ABA15" s="35"/>
      <c r="ABB15" s="35"/>
      <c r="ABC15" s="35"/>
      <c r="ABD15" s="35"/>
      <c r="ABE15" s="35"/>
      <c r="ABF15" s="35"/>
      <c r="ABG15" s="35"/>
      <c r="ABH15" s="35"/>
      <c r="ABI15" s="35"/>
      <c r="ABJ15" s="35"/>
      <c r="ABK15" s="35"/>
      <c r="ABL15" s="35"/>
      <c r="ABM15" s="35"/>
      <c r="ABN15" s="35"/>
      <c r="ABO15" s="35"/>
      <c r="ABP15" s="35"/>
      <c r="ABQ15" s="35"/>
      <c r="ABR15" s="35"/>
      <c r="ABS15" s="35"/>
      <c r="ABT15" s="35"/>
      <c r="ABU15" s="35"/>
      <c r="ABV15" s="35"/>
      <c r="ABW15" s="35"/>
      <c r="ABX15" s="35"/>
      <c r="ABY15" s="35"/>
      <c r="ABZ15" s="35"/>
      <c r="ACA15" s="35"/>
      <c r="ACB15" s="35"/>
      <c r="ACC15" s="35"/>
      <c r="ACD15" s="35"/>
      <c r="ACE15" s="35"/>
      <c r="ACF15" s="35"/>
      <c r="ACG15" s="35"/>
      <c r="ACH15" s="35"/>
      <c r="ACI15" s="35"/>
      <c r="ACJ15" s="35"/>
      <c r="ACK15" s="35"/>
      <c r="ACL15" s="35"/>
      <c r="ACM15" s="35"/>
      <c r="ACN15" s="35"/>
      <c r="ACO15" s="35"/>
      <c r="ACP15" s="35"/>
      <c r="ACQ15" s="35"/>
      <c r="ACR15" s="35"/>
      <c r="ACS15" s="35"/>
      <c r="ACT15" s="35"/>
      <c r="ACU15" s="35"/>
      <c r="ACV15" s="35"/>
      <c r="ACW15" s="35"/>
      <c r="ACX15" s="35"/>
      <c r="ACY15" s="35"/>
      <c r="ACZ15" s="35"/>
      <c r="ADA15" s="35"/>
      <c r="ADB15" s="35"/>
      <c r="ADC15" s="35"/>
      <c r="ADD15" s="35"/>
      <c r="ADE15" s="35"/>
      <c r="ADF15" s="35"/>
      <c r="ADG15" s="35"/>
      <c r="ADH15" s="35"/>
      <c r="ADI15" s="35"/>
      <c r="ADJ15" s="35"/>
      <c r="ADK15" s="35"/>
      <c r="ADL15" s="35"/>
      <c r="ADM15" s="35"/>
      <c r="ADN15" s="35"/>
      <c r="ADO15" s="35"/>
      <c r="ADP15" s="35"/>
      <c r="ADQ15" s="35"/>
      <c r="ADR15" s="35"/>
      <c r="ADS15" s="35"/>
      <c r="ADT15" s="35"/>
      <c r="ADU15" s="35"/>
      <c r="ADV15" s="35"/>
      <c r="ADW15" s="35"/>
      <c r="ADX15" s="35"/>
      <c r="ADY15" s="35"/>
      <c r="ADZ15" s="35"/>
      <c r="AEA15" s="35"/>
      <c r="AEB15" s="35"/>
      <c r="AEC15" s="35"/>
      <c r="AED15" s="35"/>
      <c r="AEE15" s="35"/>
      <c r="AEF15" s="35"/>
      <c r="AEG15" s="35"/>
      <c r="AEH15" s="35"/>
      <c r="AEI15" s="35"/>
      <c r="AEJ15" s="35"/>
      <c r="AEK15" s="35"/>
      <c r="AEL15" s="35"/>
      <c r="AEM15" s="35"/>
      <c r="AEN15" s="35"/>
      <c r="AEO15" s="35"/>
      <c r="AEP15" s="35"/>
      <c r="AEQ15" s="35"/>
      <c r="AER15" s="35"/>
      <c r="AES15" s="35"/>
      <c r="AET15" s="35"/>
      <c r="AEU15" s="35"/>
      <c r="AEV15" s="35"/>
      <c r="AEW15" s="35"/>
      <c r="AEX15" s="35"/>
      <c r="AEY15" s="35"/>
      <c r="AEZ15" s="35"/>
      <c r="AFA15" s="35"/>
      <c r="AFB15" s="35"/>
      <c r="AFC15" s="35"/>
      <c r="AFD15" s="35"/>
      <c r="AFE15" s="35"/>
      <c r="AFF15" s="35"/>
      <c r="AFG15" s="35"/>
      <c r="AFH15" s="35"/>
      <c r="AFI15" s="35"/>
      <c r="AFJ15" s="35"/>
      <c r="AFK15" s="35"/>
      <c r="AFL15" s="35"/>
      <c r="AFM15" s="35"/>
      <c r="AFN15" s="35"/>
      <c r="AFO15" s="35"/>
      <c r="AFP15" s="35"/>
      <c r="AFQ15" s="35"/>
      <c r="AFR15" s="35"/>
      <c r="AFS15" s="35"/>
      <c r="AFT15" s="35"/>
      <c r="AFU15" s="35"/>
      <c r="AFV15" s="35"/>
      <c r="AFW15" s="35"/>
      <c r="AFX15" s="35"/>
      <c r="AFY15" s="35"/>
      <c r="AFZ15" s="35"/>
      <c r="AGA15" s="35"/>
      <c r="AGB15" s="35"/>
      <c r="AGC15" s="35"/>
      <c r="AGD15" s="35"/>
      <c r="AGE15" s="35"/>
      <c r="AGF15" s="35"/>
      <c r="AGG15" s="35"/>
      <c r="AGH15" s="35"/>
      <c r="AGI15" s="35"/>
      <c r="AGJ15" s="35"/>
      <c r="AGK15" s="35"/>
      <c r="AGL15" s="35"/>
      <c r="AGM15" s="35"/>
      <c r="AGN15" s="35"/>
      <c r="AGO15" s="35"/>
      <c r="AGP15" s="35"/>
      <c r="AGQ15" s="35"/>
      <c r="AGR15" s="35"/>
      <c r="AGS15" s="35"/>
      <c r="AGT15" s="35"/>
      <c r="AGU15" s="35"/>
      <c r="AGV15" s="35"/>
      <c r="AGW15" s="35"/>
      <c r="AGX15" s="35"/>
      <c r="AGY15" s="35"/>
      <c r="AGZ15" s="35"/>
      <c r="AHA15" s="35"/>
      <c r="AHB15" s="35"/>
      <c r="AHC15" s="35"/>
      <c r="AHD15" s="35"/>
      <c r="AHE15" s="35"/>
      <c r="AHF15" s="35"/>
      <c r="AHG15" s="35"/>
      <c r="AHH15" s="35"/>
      <c r="AHI15" s="35"/>
      <c r="AHJ15" s="35"/>
      <c r="AHK15" s="35"/>
      <c r="AHL15" s="35"/>
      <c r="AHM15" s="35"/>
      <c r="AHN15" s="35"/>
      <c r="AHO15" s="35"/>
      <c r="AHP15" s="35"/>
      <c r="AHQ15" s="35"/>
      <c r="AHR15" s="35"/>
      <c r="AHS15" s="35"/>
      <c r="AHT15" s="35"/>
      <c r="AHU15" s="35"/>
      <c r="AHV15" s="35"/>
      <c r="AHW15" s="35"/>
      <c r="AHX15" s="35"/>
      <c r="AHY15" s="35"/>
      <c r="AHZ15" s="35"/>
      <c r="AIA15" s="35"/>
      <c r="AIB15" s="35"/>
      <c r="AIC15" s="35"/>
      <c r="AID15" s="35"/>
      <c r="AIE15" s="35"/>
      <c r="AIF15" s="35"/>
      <c r="AIG15" s="35"/>
      <c r="AIH15" s="35"/>
      <c r="AII15" s="35"/>
      <c r="AIJ15" s="35"/>
      <c r="AIK15" s="35"/>
      <c r="AIL15" s="35"/>
      <c r="AIM15" s="35"/>
      <c r="AIN15" s="35"/>
      <c r="AIO15" s="35"/>
      <c r="AIP15" s="35"/>
      <c r="AIQ15" s="35"/>
      <c r="AIR15" s="35"/>
      <c r="AIS15" s="35"/>
      <c r="AIT15" s="35"/>
      <c r="AIU15" s="35"/>
      <c r="AIV15" s="35"/>
      <c r="AIW15" s="35"/>
      <c r="AIX15" s="35"/>
      <c r="AIY15" s="35"/>
      <c r="AIZ15" s="35"/>
      <c r="AJA15" s="35"/>
      <c r="AJB15" s="35"/>
      <c r="AJC15" s="35"/>
      <c r="AJD15" s="35"/>
      <c r="AJE15" s="35"/>
      <c r="AJF15" s="35"/>
      <c r="AJG15" s="35"/>
      <c r="AJH15" s="35"/>
      <c r="AJI15" s="35"/>
      <c r="AJJ15" s="35"/>
      <c r="AJK15" s="35"/>
      <c r="AJL15" s="35"/>
      <c r="AJM15" s="35"/>
      <c r="AJN15" s="35"/>
      <c r="AJO15" s="35"/>
      <c r="AJP15" s="35"/>
      <c r="AJQ15" s="35"/>
      <c r="AJR15" s="35"/>
      <c r="AJS15" s="35"/>
      <c r="AJT15" s="35"/>
      <c r="AJU15" s="35"/>
      <c r="AJV15" s="35"/>
      <c r="AJW15" s="35"/>
      <c r="AJX15" s="35"/>
      <c r="AJY15" s="35"/>
      <c r="AJZ15" s="35"/>
      <c r="AKA15" s="35"/>
      <c r="AKB15" s="35"/>
      <c r="AKC15" s="35"/>
      <c r="AKD15" s="35"/>
      <c r="AKE15" s="35"/>
      <c r="AKF15" s="35"/>
      <c r="AKG15" s="35"/>
      <c r="AKH15" s="35"/>
      <c r="AKI15" s="35"/>
      <c r="AKJ15" s="35"/>
      <c r="AKK15" s="35"/>
      <c r="AKL15" s="35"/>
      <c r="AKM15" s="35"/>
      <c r="AKN15" s="35"/>
      <c r="AKO15" s="35"/>
      <c r="AKP15" s="35"/>
      <c r="AKQ15" s="35"/>
      <c r="AKR15" s="35"/>
      <c r="AKS15" s="35"/>
      <c r="AKT15" s="35"/>
      <c r="AKU15" s="35"/>
      <c r="AKV15" s="35"/>
      <c r="AKW15" s="35"/>
      <c r="AKX15" s="35"/>
      <c r="AKY15" s="35"/>
      <c r="AKZ15" s="35"/>
      <c r="ALA15" s="35"/>
      <c r="ALB15" s="35"/>
      <c r="ALC15" s="35"/>
      <c r="ALD15" s="35"/>
      <c r="ALE15" s="35"/>
      <c r="ALF15" s="35"/>
      <c r="ALG15" s="35"/>
      <c r="ALH15" s="35"/>
      <c r="ALI15" s="35"/>
      <c r="ALJ15" s="35"/>
      <c r="ALK15" s="35"/>
      <c r="ALL15" s="35"/>
      <c r="ALM15" s="35"/>
      <c r="ALN15" s="35"/>
      <c r="ALO15" s="35"/>
      <c r="ALP15" s="35"/>
      <c r="ALQ15" s="35"/>
      <c r="ALR15" s="35"/>
      <c r="ALS15" s="35"/>
      <c r="ALT15" s="35"/>
      <c r="ALU15" s="35"/>
      <c r="ALV15" s="35"/>
      <c r="ALW15" s="35"/>
      <c r="ALX15" s="35"/>
      <c r="ALY15" s="35"/>
      <c r="ALZ15" s="35"/>
      <c r="AMA15" s="35"/>
      <c r="AMB15" s="35"/>
      <c r="AMC15" s="35"/>
      <c r="AMD15" s="35"/>
      <c r="AME15" s="35"/>
      <c r="AMF15" s="35"/>
      <c r="AMG15" s="35"/>
      <c r="AMH15" s="35"/>
      <c r="AMI15" s="35"/>
      <c r="AMJ15" s="35"/>
      <c r="AMK15" s="35"/>
      <c r="AML15" s="35"/>
      <c r="AMM15" s="35"/>
      <c r="AMN15" s="35"/>
      <c r="AMO15" s="35"/>
      <c r="AMP15" s="35"/>
      <c r="AMQ15" s="35"/>
      <c r="AMR15" s="35"/>
      <c r="AMS15" s="35"/>
      <c r="AMT15" s="35"/>
      <c r="AMU15" s="35"/>
      <c r="AMV15" s="35"/>
      <c r="AMW15" s="35"/>
      <c r="AMX15" s="35"/>
      <c r="AMY15" s="35"/>
      <c r="AMZ15" s="35"/>
      <c r="ANA15" s="35"/>
    </row>
    <row r="16" customFormat="false" ht="12.8" hidden="true" customHeight="true" outlineLevel="1" collapsed="false">
      <c r="A16" s="40"/>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t="s">
        <v>364</v>
      </c>
      <c r="BX16" s="35"/>
      <c r="BY16" s="35"/>
      <c r="BZ16" s="35"/>
      <c r="CA16" s="35"/>
      <c r="CB16" s="35"/>
      <c r="CC16" s="35"/>
      <c r="CD16" s="35"/>
      <c r="CE16" s="35"/>
      <c r="CF16" s="35"/>
      <c r="CG16" s="35"/>
      <c r="CH16" s="35"/>
      <c r="CI16" s="35"/>
      <c r="CJ16" s="35"/>
      <c r="CK16" s="35"/>
      <c r="CL16" s="35"/>
      <c r="CM16" s="35"/>
      <c r="CN16" s="35"/>
      <c r="CO16" s="35"/>
      <c r="CP16" s="35"/>
      <c r="CQ16" s="35"/>
      <c r="CR16" s="35"/>
      <c r="CS16" s="35"/>
      <c r="CT16" s="35"/>
      <c r="CU16" s="35"/>
      <c r="CV16" s="35"/>
      <c r="CW16" s="35"/>
      <c r="CX16" s="35"/>
      <c r="CY16" s="35"/>
      <c r="CZ16" s="35"/>
      <c r="DA16" s="35"/>
      <c r="DB16" s="35"/>
      <c r="DC16" s="35"/>
      <c r="DD16" s="35"/>
      <c r="DE16" s="35"/>
      <c r="DF16" s="35"/>
      <c r="DG16" s="35"/>
      <c r="DH16" s="35"/>
      <c r="DI16" s="35"/>
      <c r="DJ16" s="35"/>
      <c r="DK16" s="35"/>
      <c r="DL16" s="35"/>
      <c r="DM16" s="35"/>
      <c r="DN16" s="35"/>
      <c r="DO16" s="35"/>
      <c r="DP16" s="35"/>
      <c r="DQ16" s="35"/>
      <c r="DR16" s="35"/>
      <c r="DS16" s="35"/>
      <c r="DT16" s="35"/>
      <c r="DU16" s="35"/>
      <c r="DV16" s="35"/>
      <c r="DW16" s="35"/>
      <c r="DX16" s="35"/>
      <c r="DY16" s="35"/>
      <c r="DZ16" s="35"/>
      <c r="EA16" s="35"/>
      <c r="EB16" s="35"/>
      <c r="EC16" s="35"/>
      <c r="ED16" s="35"/>
      <c r="EE16" s="35"/>
      <c r="EF16" s="35"/>
      <c r="EG16" s="35"/>
      <c r="EH16" s="35"/>
      <c r="EI16" s="35"/>
      <c r="EJ16" s="35"/>
      <c r="EK16" s="35"/>
      <c r="EL16" s="35"/>
      <c r="EM16" s="35"/>
      <c r="EN16" s="35"/>
      <c r="EO16" s="35"/>
      <c r="EP16" s="35"/>
      <c r="EQ16" s="35"/>
      <c r="ER16" s="35"/>
      <c r="ES16" s="35"/>
      <c r="ET16" s="35"/>
      <c r="EU16" s="35"/>
      <c r="EV16" s="35"/>
      <c r="EW16" s="35"/>
      <c r="EX16" s="35"/>
      <c r="EY16" s="35"/>
      <c r="EZ16" s="35"/>
      <c r="FA16" s="35"/>
      <c r="FB16" s="35"/>
      <c r="FC16" s="35"/>
      <c r="FD16" s="35"/>
      <c r="FE16" s="35"/>
      <c r="FF16" s="35"/>
      <c r="FG16" s="35"/>
      <c r="FH16" s="35"/>
      <c r="FI16" s="35"/>
      <c r="FJ16" s="35"/>
      <c r="FK16" s="35"/>
      <c r="FL16" s="35"/>
      <c r="FM16" s="35"/>
      <c r="FN16" s="35"/>
      <c r="FO16" s="35"/>
      <c r="FP16" s="35"/>
      <c r="FQ16" s="35"/>
      <c r="FR16" s="35"/>
      <c r="FS16" s="35"/>
      <c r="FT16" s="35"/>
      <c r="FU16" s="35"/>
      <c r="FV16" s="35"/>
      <c r="FW16" s="35"/>
      <c r="FX16" s="35"/>
      <c r="FY16" s="35"/>
      <c r="FZ16" s="35"/>
      <c r="GA16" s="35"/>
      <c r="GB16" s="35"/>
      <c r="GC16" s="35"/>
      <c r="GD16" s="35"/>
      <c r="GE16" s="35"/>
      <c r="GF16" s="35"/>
      <c r="GG16" s="35"/>
      <c r="GH16" s="35"/>
      <c r="GI16" s="35"/>
      <c r="GJ16" s="35"/>
      <c r="GK16" s="35"/>
      <c r="GL16" s="35"/>
      <c r="GM16" s="35"/>
      <c r="GN16" s="35"/>
      <c r="GO16" s="35"/>
      <c r="GP16" s="35"/>
      <c r="GQ16" s="35"/>
      <c r="GR16" s="35"/>
      <c r="GS16" s="35"/>
      <c r="GT16" s="35"/>
      <c r="GU16" s="35"/>
      <c r="GV16" s="35"/>
      <c r="GW16" s="35"/>
      <c r="GX16" s="35"/>
      <c r="GY16" s="35"/>
      <c r="GZ16" s="35"/>
      <c r="HA16" s="35"/>
      <c r="HB16" s="35"/>
      <c r="HC16" s="35"/>
      <c r="HD16" s="35"/>
      <c r="HE16" s="35"/>
      <c r="HF16" s="35"/>
      <c r="HG16" s="35"/>
      <c r="HH16" s="35"/>
      <c r="HI16" s="35"/>
      <c r="HJ16" s="35"/>
      <c r="HK16" s="35"/>
      <c r="HL16" s="35"/>
      <c r="HM16" s="35"/>
      <c r="HN16" s="35"/>
      <c r="HO16" s="35"/>
      <c r="HP16" s="35"/>
      <c r="HQ16" s="35"/>
      <c r="HR16" s="35"/>
      <c r="HS16" s="35"/>
      <c r="HT16" s="35"/>
      <c r="HU16" s="35"/>
      <c r="HV16" s="35"/>
      <c r="HW16" s="35"/>
      <c r="HX16" s="35"/>
      <c r="HY16" s="35"/>
      <c r="HZ16" s="35"/>
      <c r="IA16" s="35"/>
      <c r="IB16" s="35"/>
      <c r="IC16" s="35"/>
      <c r="ID16" s="35"/>
      <c r="IE16" s="35"/>
      <c r="IF16" s="35"/>
      <c r="IG16" s="35"/>
      <c r="IH16" s="35"/>
      <c r="II16" s="35"/>
      <c r="IJ16" s="35"/>
      <c r="IK16" s="35"/>
      <c r="IL16" s="35"/>
      <c r="IM16" s="35"/>
      <c r="IN16" s="35"/>
      <c r="IO16" s="35"/>
      <c r="IP16" s="35"/>
      <c r="IQ16" s="35"/>
      <c r="IR16" s="35"/>
      <c r="IS16" s="35"/>
      <c r="IT16" s="35"/>
      <c r="IU16" s="35"/>
      <c r="IV16" s="35"/>
      <c r="IW16" s="35"/>
      <c r="IX16" s="35"/>
      <c r="IY16" s="35"/>
      <c r="IZ16" s="35"/>
      <c r="JA16" s="35"/>
      <c r="JB16" s="35"/>
      <c r="JC16" s="35"/>
      <c r="JD16" s="35"/>
      <c r="JE16" s="35"/>
      <c r="JF16" s="35"/>
      <c r="JG16" s="35"/>
      <c r="JH16" s="35"/>
      <c r="JI16" s="35"/>
      <c r="JJ16" s="35"/>
      <c r="JK16" s="35"/>
      <c r="JL16" s="35"/>
      <c r="JM16" s="35"/>
      <c r="JN16" s="35"/>
      <c r="JO16" s="35"/>
      <c r="JP16" s="35"/>
      <c r="JQ16" s="35"/>
      <c r="JR16" s="35"/>
      <c r="JS16" s="35"/>
      <c r="JT16" s="35"/>
      <c r="JU16" s="35"/>
      <c r="JV16" s="35"/>
      <c r="JW16" s="35"/>
      <c r="JX16" s="35"/>
      <c r="JY16" s="35"/>
      <c r="JZ16" s="35"/>
      <c r="KA16" s="35"/>
      <c r="KB16" s="35"/>
      <c r="KC16" s="35"/>
      <c r="KD16" s="35"/>
      <c r="KE16" s="35"/>
      <c r="KF16" s="35"/>
      <c r="KG16" s="35"/>
      <c r="KH16" s="35"/>
      <c r="KI16" s="35"/>
      <c r="KJ16" s="35"/>
      <c r="KK16" s="35"/>
      <c r="KL16" s="35"/>
      <c r="KM16" s="35"/>
      <c r="KN16" s="35"/>
      <c r="KO16" s="35"/>
      <c r="KP16" s="35"/>
      <c r="KQ16" s="35"/>
      <c r="KR16" s="35"/>
      <c r="KS16" s="35"/>
      <c r="KT16" s="35"/>
      <c r="KU16" s="35"/>
      <c r="KV16" s="35"/>
      <c r="KW16" s="35"/>
      <c r="KX16" s="35"/>
      <c r="KY16" s="35"/>
      <c r="KZ16" s="35"/>
      <c r="LA16" s="35"/>
      <c r="LB16" s="35"/>
      <c r="LC16" s="35"/>
      <c r="LD16" s="35"/>
      <c r="LE16" s="35"/>
      <c r="LF16" s="35"/>
      <c r="LG16" s="35"/>
      <c r="LH16" s="35"/>
      <c r="LI16" s="35"/>
      <c r="LJ16" s="35"/>
      <c r="LK16" s="35"/>
      <c r="LL16" s="35"/>
      <c r="LM16" s="35"/>
      <c r="LN16" s="35"/>
      <c r="LO16" s="35"/>
      <c r="LP16" s="35"/>
      <c r="LQ16" s="35"/>
      <c r="LR16" s="35"/>
      <c r="LS16" s="35"/>
      <c r="LT16" s="35"/>
      <c r="LU16" s="35"/>
      <c r="LV16" s="35"/>
      <c r="LW16" s="35"/>
      <c r="LX16" s="35"/>
      <c r="LY16" s="35"/>
      <c r="LZ16" s="35"/>
      <c r="MA16" s="35"/>
      <c r="MB16" s="35"/>
      <c r="MC16" s="35"/>
      <c r="MD16" s="35"/>
      <c r="ME16" s="35"/>
      <c r="MF16" s="35"/>
      <c r="MG16" s="35"/>
      <c r="MH16" s="35"/>
      <c r="MI16" s="35"/>
      <c r="MJ16" s="35"/>
      <c r="MK16" s="35"/>
      <c r="ML16" s="35"/>
      <c r="MM16" s="35"/>
      <c r="MN16" s="35"/>
      <c r="MO16" s="35"/>
      <c r="MP16" s="35"/>
      <c r="MQ16" s="35"/>
      <c r="MR16" s="35"/>
      <c r="MS16" s="35"/>
      <c r="MT16" s="35"/>
      <c r="MU16" s="35"/>
      <c r="MV16" s="35"/>
      <c r="MW16" s="35"/>
      <c r="MX16" s="35"/>
      <c r="MY16" s="35"/>
      <c r="MZ16" s="35"/>
      <c r="NA16" s="35"/>
      <c r="NB16" s="35"/>
      <c r="NC16" s="35"/>
      <c r="ND16" s="35"/>
      <c r="NE16" s="35"/>
      <c r="NF16" s="35"/>
      <c r="NG16" s="35"/>
      <c r="NH16" s="35"/>
      <c r="NI16" s="35"/>
      <c r="NJ16" s="35"/>
      <c r="NK16" s="35"/>
      <c r="NL16" s="35"/>
      <c r="NM16" s="35"/>
      <c r="NN16" s="35"/>
      <c r="NO16" s="35"/>
      <c r="NP16" s="35"/>
      <c r="NQ16" s="35"/>
      <c r="NR16" s="35"/>
      <c r="NS16" s="35"/>
      <c r="NT16" s="35"/>
      <c r="NU16" s="35"/>
      <c r="NV16" s="35"/>
      <c r="NW16" s="35"/>
      <c r="NX16" s="35"/>
      <c r="NY16" s="35"/>
      <c r="NZ16" s="35"/>
      <c r="OA16" s="35"/>
      <c r="OB16" s="35"/>
      <c r="OC16" s="35"/>
      <c r="OD16" s="35"/>
      <c r="OE16" s="35"/>
      <c r="OF16" s="35"/>
      <c r="OG16" s="35"/>
      <c r="OH16" s="35"/>
      <c r="OI16" s="35"/>
      <c r="OJ16" s="35"/>
      <c r="OK16" s="35"/>
      <c r="OL16" s="35"/>
      <c r="OM16" s="35"/>
      <c r="ON16" s="35"/>
      <c r="OO16" s="35"/>
      <c r="OP16" s="35"/>
      <c r="OQ16" s="35"/>
      <c r="OR16" s="35"/>
      <c r="OS16" s="35"/>
      <c r="OT16" s="35"/>
      <c r="OU16" s="35"/>
      <c r="OV16" s="35"/>
      <c r="OW16" s="35"/>
      <c r="OX16" s="35"/>
      <c r="OY16" s="35"/>
      <c r="OZ16" s="35"/>
      <c r="PA16" s="35"/>
      <c r="PB16" s="35"/>
      <c r="PC16" s="35"/>
      <c r="PD16" s="35"/>
      <c r="PE16" s="35"/>
      <c r="PF16" s="35"/>
      <c r="PG16" s="35"/>
      <c r="PH16" s="35"/>
      <c r="PI16" s="35"/>
      <c r="PJ16" s="35"/>
      <c r="PK16" s="35"/>
      <c r="PL16" s="35"/>
      <c r="PM16" s="35"/>
      <c r="PN16" s="35"/>
      <c r="PO16" s="35"/>
      <c r="PP16" s="35"/>
      <c r="PQ16" s="35"/>
      <c r="PR16" s="35"/>
      <c r="PS16" s="35"/>
      <c r="PT16" s="35"/>
      <c r="PU16" s="35"/>
      <c r="PV16" s="35"/>
      <c r="PW16" s="35"/>
      <c r="PX16" s="35"/>
      <c r="PY16" s="35"/>
      <c r="PZ16" s="35"/>
      <c r="QA16" s="35"/>
      <c r="QB16" s="35"/>
      <c r="QC16" s="35"/>
      <c r="QD16" s="35"/>
      <c r="QE16" s="35"/>
      <c r="QF16" s="35"/>
      <c r="QG16" s="35"/>
      <c r="QH16" s="35"/>
      <c r="QI16" s="35"/>
      <c r="QJ16" s="35"/>
      <c r="QK16" s="35"/>
      <c r="QL16" s="35"/>
      <c r="QM16" s="35"/>
      <c r="QN16" s="35"/>
      <c r="QO16" s="35"/>
      <c r="QP16" s="35"/>
      <c r="QQ16" s="35"/>
      <c r="QR16" s="35"/>
      <c r="QS16" s="35"/>
      <c r="QT16" s="35"/>
      <c r="QU16" s="35"/>
      <c r="QV16" s="35"/>
      <c r="QW16" s="35"/>
      <c r="QX16" s="35"/>
      <c r="QY16" s="35"/>
      <c r="QZ16" s="35"/>
      <c r="RA16" s="35"/>
      <c r="RB16" s="35"/>
      <c r="RC16" s="35"/>
      <c r="RD16" s="35"/>
      <c r="RE16" s="35"/>
      <c r="RF16" s="35"/>
      <c r="RG16" s="35"/>
      <c r="RH16" s="35"/>
      <c r="RI16" s="35"/>
      <c r="RJ16" s="35"/>
      <c r="RK16" s="35"/>
      <c r="RL16" s="35"/>
      <c r="RM16" s="35"/>
      <c r="RN16" s="35"/>
      <c r="RO16" s="35"/>
      <c r="RP16" s="35"/>
      <c r="RQ16" s="35"/>
      <c r="RR16" s="35"/>
      <c r="RS16" s="35"/>
      <c r="RT16" s="35"/>
      <c r="RU16" s="35"/>
      <c r="RV16" s="35"/>
      <c r="RW16" s="35"/>
      <c r="RX16" s="35"/>
      <c r="RY16" s="35"/>
      <c r="RZ16" s="35"/>
      <c r="SA16" s="35"/>
      <c r="SB16" s="35"/>
      <c r="SC16" s="35"/>
      <c r="SD16" s="35"/>
      <c r="SE16" s="35"/>
      <c r="SF16" s="35"/>
      <c r="SG16" s="35"/>
      <c r="SH16" s="35"/>
      <c r="SI16" s="35"/>
      <c r="SJ16" s="35"/>
      <c r="SK16" s="35"/>
      <c r="SL16" s="35"/>
      <c r="SM16" s="35"/>
      <c r="SN16" s="35"/>
      <c r="SO16" s="35"/>
      <c r="SP16" s="35"/>
      <c r="SQ16" s="35"/>
      <c r="SR16" s="35"/>
      <c r="SS16" s="35"/>
      <c r="ST16" s="35"/>
      <c r="SU16" s="35"/>
      <c r="SV16" s="35"/>
      <c r="SW16" s="35"/>
      <c r="SX16" s="35"/>
      <c r="SY16" s="35"/>
      <c r="SZ16" s="35"/>
      <c r="TA16" s="35"/>
      <c r="TB16" s="35"/>
      <c r="TC16" s="35"/>
      <c r="TD16" s="35"/>
      <c r="TE16" s="35"/>
      <c r="TF16" s="35"/>
      <c r="TG16" s="35"/>
      <c r="TH16" s="35"/>
      <c r="TI16" s="35"/>
      <c r="TJ16" s="35"/>
      <c r="TK16" s="35"/>
      <c r="TL16" s="35"/>
      <c r="TM16" s="35"/>
      <c r="TN16" s="35"/>
      <c r="TO16" s="35"/>
      <c r="TP16" s="35"/>
      <c r="TQ16" s="35"/>
      <c r="TR16" s="35"/>
      <c r="TS16" s="35"/>
      <c r="TT16" s="35"/>
      <c r="TU16" s="35"/>
      <c r="TV16" s="35"/>
      <c r="TW16" s="35"/>
      <c r="TX16" s="35"/>
      <c r="TY16" s="35"/>
      <c r="TZ16" s="35"/>
      <c r="UA16" s="35"/>
      <c r="UB16" s="35"/>
      <c r="UC16" s="35"/>
      <c r="UD16" s="35"/>
      <c r="UE16" s="35"/>
      <c r="UF16" s="35"/>
      <c r="UG16" s="35"/>
      <c r="UH16" s="35"/>
      <c r="UI16" s="35"/>
      <c r="UJ16" s="35"/>
      <c r="UK16" s="35"/>
      <c r="UL16" s="35"/>
      <c r="UM16" s="35"/>
      <c r="UN16" s="35"/>
      <c r="UO16" s="35"/>
      <c r="UP16" s="35"/>
      <c r="UQ16" s="35"/>
      <c r="UR16" s="35"/>
      <c r="US16" s="35"/>
      <c r="UT16" s="35"/>
      <c r="UU16" s="35"/>
      <c r="UV16" s="35"/>
      <c r="UW16" s="35"/>
      <c r="UX16" s="35"/>
      <c r="UY16" s="35"/>
      <c r="UZ16" s="35"/>
      <c r="VA16" s="35"/>
      <c r="VB16" s="35"/>
      <c r="VC16" s="35"/>
      <c r="VD16" s="35"/>
      <c r="VE16" s="35"/>
      <c r="VF16" s="35"/>
      <c r="VG16" s="35"/>
      <c r="VH16" s="35"/>
      <c r="VI16" s="35"/>
      <c r="VJ16" s="35"/>
      <c r="VK16" s="35"/>
      <c r="VL16" s="35"/>
      <c r="VM16" s="35"/>
      <c r="VN16" s="35"/>
      <c r="VO16" s="35"/>
      <c r="VP16" s="35"/>
      <c r="VQ16" s="35"/>
      <c r="VR16" s="35"/>
      <c r="VS16" s="35"/>
      <c r="VT16" s="35"/>
      <c r="VU16" s="35"/>
      <c r="VV16" s="35"/>
      <c r="VW16" s="35"/>
      <c r="VX16" s="35"/>
      <c r="VY16" s="35"/>
      <c r="VZ16" s="35"/>
      <c r="WA16" s="35"/>
      <c r="WB16" s="35"/>
      <c r="WC16" s="35"/>
      <c r="WD16" s="35"/>
      <c r="WE16" s="35"/>
      <c r="WF16" s="35"/>
      <c r="WG16" s="35"/>
      <c r="WH16" s="35"/>
      <c r="WI16" s="35"/>
      <c r="WJ16" s="35"/>
      <c r="WK16" s="35"/>
      <c r="WL16" s="35"/>
      <c r="WM16" s="35"/>
      <c r="WN16" s="35"/>
      <c r="WO16" s="35"/>
      <c r="WP16" s="35"/>
      <c r="WQ16" s="35"/>
      <c r="WR16" s="35"/>
      <c r="WS16" s="35"/>
      <c r="WT16" s="35"/>
      <c r="WU16" s="35"/>
      <c r="WV16" s="35"/>
      <c r="WW16" s="35"/>
      <c r="WX16" s="35"/>
      <c r="WY16" s="35"/>
      <c r="WZ16" s="35"/>
      <c r="XA16" s="35"/>
      <c r="XB16" s="35"/>
      <c r="XC16" s="35"/>
      <c r="XD16" s="35"/>
      <c r="XE16" s="35"/>
      <c r="XF16" s="35"/>
      <c r="XG16" s="35"/>
      <c r="XH16" s="35"/>
      <c r="XI16" s="35"/>
      <c r="XJ16" s="35"/>
      <c r="XK16" s="35"/>
      <c r="XL16" s="35"/>
      <c r="XM16" s="35"/>
      <c r="XN16" s="35"/>
      <c r="XO16" s="35"/>
      <c r="XP16" s="35"/>
      <c r="XQ16" s="35"/>
      <c r="XR16" s="35"/>
      <c r="XS16" s="35"/>
      <c r="XT16" s="35"/>
      <c r="XU16" s="35"/>
      <c r="XV16" s="35"/>
      <c r="XW16" s="35"/>
      <c r="XX16" s="35"/>
      <c r="XY16" s="35"/>
      <c r="XZ16" s="35"/>
      <c r="YA16" s="35"/>
      <c r="YB16" s="35"/>
      <c r="YC16" s="35"/>
      <c r="YD16" s="35"/>
      <c r="YE16" s="35"/>
      <c r="YF16" s="35"/>
      <c r="YG16" s="35"/>
      <c r="YH16" s="35"/>
      <c r="YI16" s="35"/>
      <c r="YJ16" s="35"/>
      <c r="YK16" s="35"/>
      <c r="YL16" s="35"/>
      <c r="YM16" s="35"/>
      <c r="YN16" s="35"/>
      <c r="YO16" s="35"/>
      <c r="YP16" s="35"/>
      <c r="YQ16" s="35"/>
      <c r="YR16" s="35"/>
      <c r="YS16" s="35"/>
      <c r="YT16" s="35"/>
      <c r="YU16" s="35"/>
      <c r="YV16" s="35"/>
      <c r="YW16" s="35"/>
      <c r="YX16" s="35"/>
      <c r="YY16" s="35"/>
      <c r="YZ16" s="35"/>
      <c r="ZA16" s="35"/>
      <c r="ZB16" s="35"/>
      <c r="ZC16" s="35"/>
      <c r="ZD16" s="35"/>
      <c r="ZE16" s="35"/>
      <c r="ZF16" s="35"/>
      <c r="ZG16" s="35"/>
      <c r="ZH16" s="35"/>
      <c r="ZI16" s="35"/>
      <c r="ZJ16" s="35"/>
      <c r="ZK16" s="35"/>
      <c r="ZL16" s="35"/>
      <c r="ZM16" s="35"/>
      <c r="ZN16" s="35"/>
      <c r="ZO16" s="35"/>
      <c r="ZP16" s="35"/>
      <c r="ZQ16" s="35"/>
      <c r="ZR16" s="35"/>
      <c r="ZS16" s="35"/>
      <c r="ZT16" s="35"/>
      <c r="ZU16" s="35"/>
      <c r="ZV16" s="35"/>
      <c r="ZW16" s="35"/>
      <c r="ZX16" s="35"/>
      <c r="ZY16" s="35"/>
      <c r="ZZ16" s="35"/>
      <c r="AAA16" s="35"/>
      <c r="AAB16" s="35"/>
      <c r="AAC16" s="35"/>
      <c r="AAD16" s="35"/>
      <c r="AAE16" s="35"/>
      <c r="AAF16" s="35"/>
      <c r="AAG16" s="35"/>
      <c r="AAH16" s="35"/>
      <c r="AAI16" s="35"/>
      <c r="AAJ16" s="35"/>
      <c r="AAK16" s="35"/>
      <c r="AAL16" s="35"/>
      <c r="AAM16" s="35"/>
      <c r="AAN16" s="35"/>
      <c r="AAO16" s="35"/>
      <c r="AAP16" s="35"/>
      <c r="AAQ16" s="35"/>
      <c r="AAR16" s="35"/>
      <c r="AAS16" s="35"/>
      <c r="AAT16" s="35"/>
      <c r="AAU16" s="35"/>
      <c r="AAV16" s="35"/>
      <c r="AAW16" s="35"/>
      <c r="AAX16" s="35"/>
      <c r="AAY16" s="35"/>
      <c r="AAZ16" s="35"/>
      <c r="ABA16" s="35"/>
      <c r="ABB16" s="35"/>
      <c r="ABC16" s="35"/>
      <c r="ABD16" s="35"/>
      <c r="ABE16" s="35"/>
      <c r="ABF16" s="35"/>
      <c r="ABG16" s="35"/>
      <c r="ABH16" s="35"/>
      <c r="ABI16" s="35"/>
      <c r="ABJ16" s="35"/>
      <c r="ABK16" s="35"/>
      <c r="ABL16" s="35"/>
      <c r="ABM16" s="35"/>
      <c r="ABN16" s="35"/>
      <c r="ABO16" s="35"/>
      <c r="ABP16" s="35"/>
      <c r="ABQ16" s="35"/>
      <c r="ABR16" s="35"/>
      <c r="ABS16" s="35"/>
      <c r="ABT16" s="35"/>
      <c r="ABU16" s="35"/>
      <c r="ABV16" s="35"/>
      <c r="ABW16" s="35"/>
      <c r="ABX16" s="35"/>
      <c r="ABY16" s="35"/>
      <c r="ABZ16" s="35"/>
      <c r="ACA16" s="35"/>
      <c r="ACB16" s="35"/>
      <c r="ACC16" s="35"/>
      <c r="ACD16" s="35"/>
      <c r="ACE16" s="35"/>
      <c r="ACF16" s="35"/>
      <c r="ACG16" s="35"/>
      <c r="ACH16" s="35"/>
      <c r="ACI16" s="35"/>
      <c r="ACJ16" s="35"/>
      <c r="ACK16" s="35"/>
      <c r="ACL16" s="35"/>
      <c r="ACM16" s="35"/>
      <c r="ACN16" s="35"/>
      <c r="ACO16" s="35"/>
      <c r="ACP16" s="35"/>
      <c r="ACQ16" s="35"/>
      <c r="ACR16" s="35"/>
      <c r="ACS16" s="35"/>
      <c r="ACT16" s="35"/>
      <c r="ACU16" s="35"/>
      <c r="ACV16" s="35"/>
      <c r="ACW16" s="35"/>
      <c r="ACX16" s="35"/>
      <c r="ACY16" s="35"/>
      <c r="ACZ16" s="35"/>
      <c r="ADA16" s="35"/>
      <c r="ADB16" s="35"/>
      <c r="ADC16" s="35"/>
      <c r="ADD16" s="35"/>
      <c r="ADE16" s="35"/>
      <c r="ADF16" s="35"/>
      <c r="ADG16" s="35"/>
      <c r="ADH16" s="35"/>
      <c r="ADI16" s="35"/>
      <c r="ADJ16" s="35"/>
      <c r="ADK16" s="35"/>
      <c r="ADL16" s="35"/>
      <c r="ADM16" s="35"/>
      <c r="ADN16" s="35"/>
      <c r="ADO16" s="35"/>
      <c r="ADP16" s="35"/>
      <c r="ADQ16" s="35"/>
      <c r="ADR16" s="35"/>
      <c r="ADS16" s="35"/>
      <c r="ADT16" s="35"/>
      <c r="ADU16" s="35"/>
      <c r="ADV16" s="35"/>
      <c r="ADW16" s="35"/>
      <c r="ADX16" s="35"/>
      <c r="ADY16" s="35"/>
      <c r="ADZ16" s="35"/>
      <c r="AEA16" s="35"/>
      <c r="AEB16" s="35"/>
      <c r="AEC16" s="35"/>
      <c r="AED16" s="35"/>
      <c r="AEE16" s="35"/>
      <c r="AEF16" s="35"/>
      <c r="AEG16" s="35"/>
      <c r="AEH16" s="35"/>
      <c r="AEI16" s="35"/>
      <c r="AEJ16" s="35"/>
      <c r="AEK16" s="35"/>
      <c r="AEL16" s="35"/>
      <c r="AEM16" s="35"/>
      <c r="AEN16" s="35"/>
      <c r="AEO16" s="35"/>
      <c r="AEP16" s="35"/>
      <c r="AEQ16" s="35"/>
      <c r="AER16" s="35"/>
      <c r="AES16" s="35"/>
      <c r="AET16" s="35"/>
      <c r="AEU16" s="35"/>
      <c r="AEV16" s="35"/>
      <c r="AEW16" s="35"/>
      <c r="AEX16" s="35"/>
      <c r="AEY16" s="35"/>
      <c r="AEZ16" s="35"/>
      <c r="AFA16" s="35"/>
      <c r="AFB16" s="35"/>
      <c r="AFC16" s="35"/>
      <c r="AFD16" s="35"/>
      <c r="AFE16" s="35"/>
      <c r="AFF16" s="35"/>
      <c r="AFG16" s="35"/>
      <c r="AFH16" s="35"/>
      <c r="AFI16" s="35"/>
      <c r="AFJ16" s="35"/>
      <c r="AFK16" s="35"/>
      <c r="AFL16" s="35"/>
      <c r="AFM16" s="35"/>
      <c r="AFN16" s="35"/>
      <c r="AFO16" s="35"/>
      <c r="AFP16" s="35"/>
      <c r="AFQ16" s="35"/>
      <c r="AFR16" s="35"/>
      <c r="AFS16" s="35"/>
      <c r="AFT16" s="35"/>
      <c r="AFU16" s="35"/>
      <c r="AFV16" s="35"/>
      <c r="AFW16" s="35"/>
      <c r="AFX16" s="35"/>
      <c r="AFY16" s="35"/>
      <c r="AFZ16" s="35"/>
      <c r="AGA16" s="35"/>
      <c r="AGB16" s="35"/>
      <c r="AGC16" s="35"/>
      <c r="AGD16" s="35"/>
      <c r="AGE16" s="35"/>
      <c r="AGF16" s="35"/>
      <c r="AGG16" s="35"/>
      <c r="AGH16" s="35"/>
      <c r="AGI16" s="35"/>
      <c r="AGJ16" s="35"/>
      <c r="AGK16" s="35"/>
      <c r="AGL16" s="35"/>
      <c r="AGM16" s="35"/>
      <c r="AGN16" s="35"/>
      <c r="AGO16" s="35"/>
      <c r="AGP16" s="35"/>
      <c r="AGQ16" s="35"/>
      <c r="AGR16" s="35"/>
      <c r="AGS16" s="35"/>
      <c r="AGT16" s="35"/>
      <c r="AGU16" s="35"/>
      <c r="AGV16" s="35"/>
      <c r="AGW16" s="35"/>
      <c r="AGX16" s="35"/>
      <c r="AGY16" s="35"/>
      <c r="AGZ16" s="35"/>
      <c r="AHA16" s="35"/>
      <c r="AHB16" s="35"/>
      <c r="AHC16" s="35"/>
      <c r="AHD16" s="35"/>
      <c r="AHE16" s="35"/>
      <c r="AHF16" s="35"/>
      <c r="AHG16" s="35"/>
      <c r="AHH16" s="35"/>
      <c r="AHI16" s="35"/>
      <c r="AHJ16" s="35"/>
      <c r="AHK16" s="35"/>
      <c r="AHL16" s="35"/>
      <c r="AHM16" s="35"/>
      <c r="AHN16" s="35"/>
      <c r="AHO16" s="35"/>
      <c r="AHP16" s="35"/>
      <c r="AHQ16" s="35"/>
      <c r="AHR16" s="35"/>
      <c r="AHS16" s="35"/>
      <c r="AHT16" s="35"/>
      <c r="AHU16" s="35"/>
      <c r="AHV16" s="35"/>
      <c r="AHW16" s="35"/>
      <c r="AHX16" s="35"/>
      <c r="AHY16" s="35"/>
      <c r="AHZ16" s="35"/>
      <c r="AIA16" s="35"/>
      <c r="AIB16" s="35"/>
      <c r="AIC16" s="35"/>
      <c r="AID16" s="35"/>
      <c r="AIE16" s="35"/>
      <c r="AIF16" s="35"/>
      <c r="AIG16" s="35"/>
      <c r="AIH16" s="35"/>
      <c r="AII16" s="35"/>
      <c r="AIJ16" s="35"/>
      <c r="AIK16" s="35"/>
      <c r="AIL16" s="35"/>
      <c r="AIM16" s="35"/>
      <c r="AIN16" s="35"/>
      <c r="AIO16" s="35"/>
      <c r="AIP16" s="35"/>
      <c r="AIQ16" s="35"/>
      <c r="AIR16" s="35"/>
      <c r="AIS16" s="35"/>
      <c r="AIT16" s="35"/>
      <c r="AIU16" s="35"/>
      <c r="AIV16" s="35"/>
      <c r="AIW16" s="35"/>
      <c r="AIX16" s="35"/>
      <c r="AIY16" s="35"/>
      <c r="AIZ16" s="35"/>
      <c r="AJA16" s="35"/>
      <c r="AJB16" s="35"/>
      <c r="AJC16" s="35"/>
      <c r="AJD16" s="35"/>
      <c r="AJE16" s="35"/>
      <c r="AJF16" s="35"/>
      <c r="AJG16" s="35"/>
      <c r="AJH16" s="35"/>
      <c r="AJI16" s="35"/>
      <c r="AJJ16" s="35"/>
      <c r="AJK16" s="35"/>
      <c r="AJL16" s="35"/>
      <c r="AJM16" s="35"/>
      <c r="AJN16" s="35"/>
      <c r="AJO16" s="35"/>
      <c r="AJP16" s="35"/>
      <c r="AJQ16" s="35"/>
      <c r="AJR16" s="35"/>
      <c r="AJS16" s="35"/>
      <c r="AJT16" s="35"/>
      <c r="AJU16" s="35"/>
      <c r="AJV16" s="35"/>
      <c r="AJW16" s="35"/>
      <c r="AJX16" s="35"/>
      <c r="AJY16" s="35"/>
      <c r="AJZ16" s="35"/>
      <c r="AKA16" s="35"/>
      <c r="AKB16" s="35"/>
      <c r="AKC16" s="35"/>
      <c r="AKD16" s="35"/>
      <c r="AKE16" s="35"/>
      <c r="AKF16" s="35"/>
      <c r="AKG16" s="35"/>
      <c r="AKH16" s="35"/>
      <c r="AKI16" s="35"/>
      <c r="AKJ16" s="35"/>
      <c r="AKK16" s="35"/>
      <c r="AKL16" s="35"/>
      <c r="AKM16" s="35"/>
      <c r="AKN16" s="35"/>
      <c r="AKO16" s="35"/>
      <c r="AKP16" s="35"/>
      <c r="AKQ16" s="35"/>
      <c r="AKR16" s="35"/>
      <c r="AKS16" s="35"/>
      <c r="AKT16" s="35"/>
      <c r="AKU16" s="35"/>
      <c r="AKV16" s="35"/>
      <c r="AKW16" s="35"/>
      <c r="AKX16" s="35"/>
      <c r="AKY16" s="35"/>
      <c r="AKZ16" s="35"/>
      <c r="ALA16" s="35"/>
      <c r="ALB16" s="35"/>
      <c r="ALC16" s="35"/>
      <c r="ALD16" s="35"/>
      <c r="ALE16" s="35"/>
      <c r="ALF16" s="35"/>
      <c r="ALG16" s="35"/>
      <c r="ALH16" s="35"/>
      <c r="ALI16" s="35"/>
      <c r="ALJ16" s="35"/>
      <c r="ALK16" s="35"/>
      <c r="ALL16" s="35"/>
      <c r="ALM16" s="35"/>
      <c r="ALN16" s="35"/>
      <c r="ALO16" s="35"/>
      <c r="ALP16" s="35"/>
      <c r="ALQ16" s="35"/>
      <c r="ALR16" s="35"/>
      <c r="ALS16" s="35"/>
      <c r="ALT16" s="35"/>
      <c r="ALU16" s="35"/>
      <c r="ALV16" s="35"/>
      <c r="ALW16" s="35"/>
      <c r="ALX16" s="35"/>
      <c r="ALY16" s="35"/>
      <c r="ALZ16" s="35"/>
      <c r="AMA16" s="35"/>
      <c r="AMB16" s="35"/>
      <c r="AMC16" s="35"/>
      <c r="AMD16" s="35"/>
      <c r="AME16" s="35"/>
      <c r="AMF16" s="35"/>
      <c r="AMG16" s="35"/>
      <c r="AMH16" s="35"/>
      <c r="AMI16" s="35"/>
      <c r="AMJ16" s="35"/>
      <c r="AMK16" s="35"/>
      <c r="AML16" s="35"/>
      <c r="AMM16" s="35"/>
      <c r="AMN16" s="35"/>
      <c r="AMO16" s="35"/>
      <c r="AMP16" s="35"/>
      <c r="AMQ16" s="35"/>
      <c r="AMR16" s="35"/>
      <c r="AMS16" s="35"/>
      <c r="AMT16" s="35"/>
      <c r="AMU16" s="35"/>
      <c r="AMV16" s="35"/>
      <c r="AMW16" s="35"/>
      <c r="AMX16" s="35"/>
      <c r="AMY16" s="35"/>
      <c r="AMZ16" s="35"/>
      <c r="ANA16" s="35"/>
    </row>
    <row r="17" customFormat="false" ht="12.8" hidden="true" customHeight="true" outlineLevel="1" collapsed="false">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c r="BM17" s="40"/>
      <c r="BN17" s="40"/>
      <c r="BO17" s="40"/>
      <c r="BP17" s="40"/>
      <c r="BQ17" s="40"/>
      <c r="BR17" s="40"/>
      <c r="BS17" s="40"/>
      <c r="BT17" s="40"/>
      <c r="BU17" s="40"/>
      <c r="BV17" s="40"/>
      <c r="BW17" s="40" t="s">
        <v>364</v>
      </c>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5"/>
      <c r="GC17" s="35"/>
      <c r="GD17" s="35"/>
      <c r="GE17" s="35"/>
      <c r="GF17" s="35"/>
      <c r="GG17" s="35"/>
      <c r="GH17" s="35"/>
      <c r="GI17" s="35"/>
      <c r="GJ17" s="35"/>
      <c r="GK17" s="35"/>
      <c r="GL17" s="35"/>
      <c r="GM17" s="35"/>
      <c r="GN17" s="35"/>
      <c r="GO17" s="35"/>
      <c r="GP17" s="35"/>
      <c r="GQ17" s="35"/>
      <c r="GR17" s="35"/>
      <c r="GS17" s="35"/>
      <c r="GT17" s="35"/>
      <c r="GU17" s="35"/>
      <c r="GV17" s="35"/>
      <c r="GW17" s="35"/>
      <c r="GX17" s="35"/>
      <c r="GY17" s="35"/>
      <c r="GZ17" s="35"/>
      <c r="HA17" s="35"/>
      <c r="HB17" s="35"/>
      <c r="HC17" s="35"/>
      <c r="HD17" s="35"/>
      <c r="HE17" s="35"/>
      <c r="HF17" s="35"/>
      <c r="HG17" s="35"/>
      <c r="HH17" s="35"/>
      <c r="HI17" s="35"/>
      <c r="HJ17" s="35"/>
      <c r="HK17" s="35"/>
      <c r="HL17" s="35"/>
      <c r="HM17" s="35"/>
      <c r="HN17" s="35"/>
      <c r="HO17" s="35"/>
      <c r="HP17" s="35"/>
      <c r="HQ17" s="35"/>
      <c r="HR17" s="35"/>
      <c r="HS17" s="35"/>
      <c r="HT17" s="35"/>
      <c r="HU17" s="35"/>
      <c r="HV17" s="35"/>
      <c r="HW17" s="35"/>
      <c r="HX17" s="35"/>
      <c r="HY17" s="35"/>
      <c r="HZ17" s="35"/>
      <c r="IA17" s="35"/>
      <c r="IB17" s="35"/>
      <c r="IC17" s="35"/>
      <c r="ID17" s="35"/>
      <c r="IE17" s="35"/>
      <c r="IF17" s="35"/>
      <c r="IG17" s="35"/>
      <c r="IH17" s="35"/>
      <c r="II17" s="35"/>
      <c r="IJ17" s="35"/>
      <c r="IK17" s="35"/>
      <c r="IL17" s="35"/>
      <c r="IM17" s="35"/>
      <c r="IN17" s="35"/>
      <c r="IO17" s="35"/>
      <c r="IP17" s="35"/>
      <c r="IQ17" s="35"/>
      <c r="IR17" s="35"/>
      <c r="IS17" s="35"/>
      <c r="IT17" s="35"/>
      <c r="IU17" s="35"/>
      <c r="IV17" s="35"/>
      <c r="IW17" s="35"/>
      <c r="IX17" s="35"/>
      <c r="IY17" s="35"/>
      <c r="IZ17" s="35"/>
      <c r="JA17" s="35"/>
      <c r="JB17" s="35"/>
      <c r="JC17" s="35"/>
      <c r="JD17" s="35"/>
      <c r="JE17" s="35"/>
      <c r="JF17" s="35"/>
      <c r="JG17" s="35"/>
      <c r="JH17" s="35"/>
      <c r="JI17" s="35"/>
      <c r="JJ17" s="35"/>
      <c r="JK17" s="35"/>
      <c r="JL17" s="35"/>
      <c r="JM17" s="35"/>
      <c r="JN17" s="35"/>
      <c r="JO17" s="35"/>
      <c r="JP17" s="35"/>
      <c r="JQ17" s="35"/>
      <c r="JR17" s="35"/>
      <c r="JS17" s="35"/>
      <c r="JT17" s="35"/>
      <c r="JU17" s="35"/>
      <c r="JV17" s="35"/>
      <c r="JW17" s="35"/>
      <c r="JX17" s="35"/>
      <c r="JY17" s="35"/>
      <c r="JZ17" s="35"/>
      <c r="KA17" s="35"/>
      <c r="KB17" s="35"/>
      <c r="KC17" s="35"/>
      <c r="KD17" s="35"/>
      <c r="KE17" s="35"/>
      <c r="KF17" s="35"/>
      <c r="KG17" s="35"/>
      <c r="KH17" s="35"/>
      <c r="KI17" s="35"/>
      <c r="KJ17" s="35"/>
      <c r="KK17" s="35"/>
      <c r="KL17" s="35"/>
      <c r="KM17" s="35"/>
      <c r="KN17" s="35"/>
      <c r="KO17" s="35"/>
      <c r="KP17" s="35"/>
      <c r="KQ17" s="35"/>
      <c r="KR17" s="35"/>
      <c r="KS17" s="35"/>
      <c r="KT17" s="35"/>
      <c r="KU17" s="35"/>
      <c r="KV17" s="35"/>
      <c r="KW17" s="35"/>
      <c r="KX17" s="35"/>
      <c r="KY17" s="35"/>
      <c r="KZ17" s="35"/>
      <c r="LA17" s="35"/>
      <c r="LB17" s="35"/>
      <c r="LC17" s="35"/>
      <c r="LD17" s="35"/>
      <c r="LE17" s="35"/>
      <c r="LF17" s="35"/>
      <c r="LG17" s="35"/>
      <c r="LH17" s="35"/>
      <c r="LI17" s="35"/>
      <c r="LJ17" s="35"/>
      <c r="LK17" s="35"/>
      <c r="LL17" s="35"/>
      <c r="LM17" s="35"/>
      <c r="LN17" s="35"/>
      <c r="LO17" s="35"/>
      <c r="LP17" s="35"/>
      <c r="LQ17" s="35"/>
      <c r="LR17" s="35"/>
      <c r="LS17" s="35"/>
      <c r="LT17" s="35"/>
      <c r="LU17" s="35"/>
      <c r="LV17" s="35"/>
      <c r="LW17" s="35"/>
      <c r="LX17" s="35"/>
      <c r="LY17" s="35"/>
      <c r="LZ17" s="35"/>
      <c r="MA17" s="35"/>
      <c r="MB17" s="35"/>
      <c r="MC17" s="35"/>
      <c r="MD17" s="35"/>
      <c r="ME17" s="35"/>
      <c r="MF17" s="35"/>
      <c r="MG17" s="35"/>
      <c r="MH17" s="35"/>
      <c r="MI17" s="35"/>
      <c r="MJ17" s="35"/>
      <c r="MK17" s="35"/>
      <c r="ML17" s="35"/>
      <c r="MM17" s="35"/>
      <c r="MN17" s="35"/>
      <c r="MO17" s="35"/>
      <c r="MP17" s="35"/>
      <c r="MQ17" s="35"/>
      <c r="MR17" s="35"/>
      <c r="MS17" s="35"/>
      <c r="MT17" s="35"/>
      <c r="MU17" s="35"/>
      <c r="MV17" s="35"/>
      <c r="MW17" s="35"/>
      <c r="MX17" s="35"/>
      <c r="MY17" s="35"/>
      <c r="MZ17" s="35"/>
      <c r="NA17" s="35"/>
      <c r="NB17" s="35"/>
      <c r="NC17" s="35"/>
      <c r="ND17" s="35"/>
      <c r="NE17" s="35"/>
      <c r="NF17" s="35"/>
      <c r="NG17" s="35"/>
      <c r="NH17" s="35"/>
      <c r="NI17" s="35"/>
      <c r="NJ17" s="35"/>
      <c r="NK17" s="35"/>
      <c r="NL17" s="35"/>
      <c r="NM17" s="35"/>
      <c r="NN17" s="35"/>
      <c r="NO17" s="35"/>
      <c r="NP17" s="35"/>
      <c r="NQ17" s="35"/>
      <c r="NR17" s="35"/>
      <c r="NS17" s="35"/>
      <c r="NT17" s="35"/>
      <c r="NU17" s="35"/>
      <c r="NV17" s="35"/>
      <c r="NW17" s="35"/>
      <c r="NX17" s="35"/>
      <c r="NY17" s="35"/>
      <c r="NZ17" s="35"/>
      <c r="OA17" s="35"/>
      <c r="OB17" s="35"/>
      <c r="OC17" s="35"/>
      <c r="OD17" s="35"/>
      <c r="OE17" s="35"/>
      <c r="OF17" s="35"/>
      <c r="OG17" s="35"/>
      <c r="OH17" s="35"/>
      <c r="OI17" s="35"/>
      <c r="OJ17" s="35"/>
      <c r="OK17" s="35"/>
      <c r="OL17" s="35"/>
      <c r="OM17" s="35"/>
      <c r="ON17" s="35"/>
      <c r="OO17" s="35"/>
      <c r="OP17" s="35"/>
      <c r="OQ17" s="35"/>
      <c r="OR17" s="35"/>
      <c r="OS17" s="35"/>
      <c r="OT17" s="35"/>
      <c r="OU17" s="35"/>
      <c r="OV17" s="35"/>
      <c r="OW17" s="35"/>
      <c r="OX17" s="35"/>
      <c r="OY17" s="35"/>
      <c r="OZ17" s="35"/>
      <c r="PA17" s="35"/>
      <c r="PB17" s="35"/>
      <c r="PC17" s="35"/>
      <c r="PD17" s="35"/>
      <c r="PE17" s="35"/>
      <c r="PF17" s="35"/>
      <c r="PG17" s="35"/>
      <c r="PH17" s="35"/>
      <c r="PI17" s="35"/>
      <c r="PJ17" s="35"/>
      <c r="PK17" s="35"/>
      <c r="PL17" s="35"/>
      <c r="PM17" s="35"/>
      <c r="PN17" s="35"/>
      <c r="PO17" s="35"/>
      <c r="PP17" s="35"/>
      <c r="PQ17" s="35"/>
      <c r="PR17" s="35"/>
      <c r="PS17" s="35"/>
      <c r="PT17" s="35"/>
      <c r="PU17" s="35"/>
      <c r="PV17" s="35"/>
      <c r="PW17" s="35"/>
      <c r="PX17" s="35"/>
      <c r="PY17" s="35"/>
      <c r="PZ17" s="35"/>
      <c r="QA17" s="35"/>
      <c r="QB17" s="35"/>
      <c r="QC17" s="35"/>
      <c r="QD17" s="35"/>
      <c r="QE17" s="35"/>
      <c r="QF17" s="35"/>
      <c r="QG17" s="35"/>
      <c r="QH17" s="35"/>
      <c r="QI17" s="35"/>
      <c r="QJ17" s="35"/>
      <c r="QK17" s="35"/>
      <c r="QL17" s="35"/>
      <c r="QM17" s="35"/>
      <c r="QN17" s="35"/>
      <c r="QO17" s="35"/>
      <c r="QP17" s="35"/>
      <c r="QQ17" s="35"/>
      <c r="QR17" s="35"/>
      <c r="QS17" s="35"/>
      <c r="QT17" s="35"/>
      <c r="QU17" s="35"/>
      <c r="QV17" s="35"/>
      <c r="QW17" s="35"/>
      <c r="QX17" s="35"/>
      <c r="QY17" s="35"/>
      <c r="QZ17" s="35"/>
      <c r="RA17" s="35"/>
      <c r="RB17" s="35"/>
      <c r="RC17" s="35"/>
      <c r="RD17" s="35"/>
      <c r="RE17" s="35"/>
      <c r="RF17" s="35"/>
      <c r="RG17" s="35"/>
      <c r="RH17" s="35"/>
      <c r="RI17" s="35"/>
      <c r="RJ17" s="35"/>
      <c r="RK17" s="35"/>
      <c r="RL17" s="35"/>
      <c r="RM17" s="35"/>
      <c r="RN17" s="35"/>
      <c r="RO17" s="35"/>
      <c r="RP17" s="35"/>
      <c r="RQ17" s="35"/>
      <c r="RR17" s="35"/>
      <c r="RS17" s="35"/>
      <c r="RT17" s="35"/>
      <c r="RU17" s="35"/>
      <c r="RV17" s="35"/>
      <c r="RW17" s="35"/>
      <c r="RX17" s="35"/>
      <c r="RY17" s="35"/>
      <c r="RZ17" s="35"/>
      <c r="SA17" s="35"/>
      <c r="SB17" s="35"/>
      <c r="SC17" s="35"/>
      <c r="SD17" s="35"/>
      <c r="SE17" s="35"/>
      <c r="SF17" s="35"/>
      <c r="SG17" s="35"/>
      <c r="SH17" s="35"/>
      <c r="SI17" s="35"/>
      <c r="SJ17" s="35"/>
      <c r="SK17" s="35"/>
      <c r="SL17" s="35"/>
      <c r="SM17" s="35"/>
      <c r="SN17" s="35"/>
      <c r="SO17" s="35"/>
      <c r="SP17" s="35"/>
      <c r="SQ17" s="35"/>
      <c r="SR17" s="35"/>
      <c r="SS17" s="35"/>
      <c r="ST17" s="35"/>
      <c r="SU17" s="35"/>
      <c r="SV17" s="35"/>
      <c r="SW17" s="35"/>
      <c r="SX17" s="35"/>
      <c r="SY17" s="35"/>
      <c r="SZ17" s="35"/>
      <c r="TA17" s="35"/>
      <c r="TB17" s="35"/>
      <c r="TC17" s="35"/>
      <c r="TD17" s="35"/>
      <c r="TE17" s="35"/>
      <c r="TF17" s="35"/>
      <c r="TG17" s="35"/>
      <c r="TH17" s="35"/>
      <c r="TI17" s="35"/>
      <c r="TJ17" s="35"/>
      <c r="TK17" s="35"/>
      <c r="TL17" s="35"/>
      <c r="TM17" s="35"/>
      <c r="TN17" s="35"/>
      <c r="TO17" s="35"/>
      <c r="TP17" s="35"/>
      <c r="TQ17" s="35"/>
      <c r="TR17" s="35"/>
      <c r="TS17" s="35"/>
      <c r="TT17" s="35"/>
      <c r="TU17" s="35"/>
      <c r="TV17" s="35"/>
      <c r="TW17" s="35"/>
      <c r="TX17" s="35"/>
      <c r="TY17" s="35"/>
      <c r="TZ17" s="35"/>
      <c r="UA17" s="35"/>
      <c r="UB17" s="35"/>
      <c r="UC17" s="35"/>
      <c r="UD17" s="35"/>
      <c r="UE17" s="35"/>
      <c r="UF17" s="35"/>
      <c r="UG17" s="35"/>
      <c r="UH17" s="35"/>
      <c r="UI17" s="35"/>
      <c r="UJ17" s="35"/>
      <c r="UK17" s="35"/>
      <c r="UL17" s="35"/>
      <c r="UM17" s="35"/>
      <c r="UN17" s="35"/>
      <c r="UO17" s="35"/>
      <c r="UP17" s="35"/>
      <c r="UQ17" s="35"/>
      <c r="UR17" s="35"/>
      <c r="US17" s="35"/>
      <c r="UT17" s="35"/>
      <c r="UU17" s="35"/>
      <c r="UV17" s="35"/>
      <c r="UW17" s="35"/>
      <c r="UX17" s="35"/>
      <c r="UY17" s="35"/>
      <c r="UZ17" s="35"/>
      <c r="VA17" s="35"/>
      <c r="VB17" s="35"/>
      <c r="VC17" s="35"/>
      <c r="VD17" s="35"/>
      <c r="VE17" s="35"/>
      <c r="VF17" s="35"/>
      <c r="VG17" s="35"/>
      <c r="VH17" s="35"/>
      <c r="VI17" s="35"/>
      <c r="VJ17" s="35"/>
      <c r="VK17" s="35"/>
      <c r="VL17" s="35"/>
      <c r="VM17" s="35"/>
      <c r="VN17" s="35"/>
      <c r="VO17" s="35"/>
      <c r="VP17" s="35"/>
      <c r="VQ17" s="35"/>
      <c r="VR17" s="35"/>
      <c r="VS17" s="35"/>
      <c r="VT17" s="35"/>
      <c r="VU17" s="35"/>
      <c r="VV17" s="35"/>
      <c r="VW17" s="35"/>
      <c r="VX17" s="35"/>
      <c r="VY17" s="35"/>
      <c r="VZ17" s="35"/>
      <c r="WA17" s="35"/>
      <c r="WB17" s="35"/>
      <c r="WC17" s="35"/>
      <c r="WD17" s="35"/>
      <c r="WE17" s="35"/>
      <c r="WF17" s="35"/>
      <c r="WG17" s="35"/>
      <c r="WH17" s="35"/>
      <c r="WI17" s="35"/>
      <c r="WJ17" s="35"/>
      <c r="WK17" s="35"/>
      <c r="WL17" s="35"/>
      <c r="WM17" s="35"/>
      <c r="WN17" s="35"/>
      <c r="WO17" s="35"/>
      <c r="WP17" s="35"/>
      <c r="WQ17" s="35"/>
      <c r="WR17" s="35"/>
      <c r="WS17" s="35"/>
      <c r="WT17" s="35"/>
      <c r="WU17" s="35"/>
      <c r="WV17" s="35"/>
      <c r="WW17" s="35"/>
      <c r="WX17" s="35"/>
      <c r="WY17" s="35"/>
      <c r="WZ17" s="35"/>
      <c r="XA17" s="35"/>
      <c r="XB17" s="35"/>
      <c r="XC17" s="35"/>
      <c r="XD17" s="35"/>
      <c r="XE17" s="35"/>
      <c r="XF17" s="35"/>
      <c r="XG17" s="35"/>
      <c r="XH17" s="35"/>
      <c r="XI17" s="35"/>
      <c r="XJ17" s="35"/>
      <c r="XK17" s="35"/>
      <c r="XL17" s="35"/>
      <c r="XM17" s="35"/>
      <c r="XN17" s="35"/>
      <c r="XO17" s="35"/>
      <c r="XP17" s="35"/>
      <c r="XQ17" s="35"/>
      <c r="XR17" s="35"/>
      <c r="XS17" s="35"/>
      <c r="XT17" s="35"/>
      <c r="XU17" s="35"/>
      <c r="XV17" s="35"/>
      <c r="XW17" s="35"/>
      <c r="XX17" s="35"/>
      <c r="XY17" s="35"/>
      <c r="XZ17" s="35"/>
      <c r="YA17" s="35"/>
      <c r="YB17" s="35"/>
      <c r="YC17" s="35"/>
      <c r="YD17" s="35"/>
      <c r="YE17" s="35"/>
      <c r="YF17" s="35"/>
      <c r="YG17" s="35"/>
      <c r="YH17" s="35"/>
      <c r="YI17" s="35"/>
      <c r="YJ17" s="35"/>
      <c r="YK17" s="35"/>
      <c r="YL17" s="35"/>
      <c r="YM17" s="35"/>
      <c r="YN17" s="35"/>
      <c r="YO17" s="35"/>
      <c r="YP17" s="35"/>
      <c r="YQ17" s="35"/>
      <c r="YR17" s="35"/>
      <c r="YS17" s="35"/>
      <c r="YT17" s="35"/>
      <c r="YU17" s="35"/>
      <c r="YV17" s="35"/>
      <c r="YW17" s="35"/>
      <c r="YX17" s="35"/>
      <c r="YY17" s="35"/>
      <c r="YZ17" s="35"/>
      <c r="ZA17" s="35"/>
      <c r="ZB17" s="35"/>
      <c r="ZC17" s="35"/>
      <c r="ZD17" s="35"/>
      <c r="ZE17" s="35"/>
      <c r="ZF17" s="35"/>
      <c r="ZG17" s="35"/>
      <c r="ZH17" s="35"/>
      <c r="ZI17" s="35"/>
      <c r="ZJ17" s="35"/>
      <c r="ZK17" s="35"/>
      <c r="ZL17" s="35"/>
      <c r="ZM17" s="35"/>
      <c r="ZN17" s="35"/>
      <c r="ZO17" s="35"/>
      <c r="ZP17" s="35"/>
      <c r="ZQ17" s="35"/>
      <c r="ZR17" s="35"/>
      <c r="ZS17" s="35"/>
      <c r="ZT17" s="35"/>
      <c r="ZU17" s="35"/>
      <c r="ZV17" s="35"/>
      <c r="ZW17" s="35"/>
      <c r="ZX17" s="35"/>
      <c r="ZY17" s="35"/>
      <c r="ZZ17" s="35"/>
      <c r="AAA17" s="35"/>
      <c r="AAB17" s="35"/>
      <c r="AAC17" s="35"/>
      <c r="AAD17" s="35"/>
      <c r="AAE17" s="35"/>
      <c r="AAF17" s="35"/>
      <c r="AAG17" s="35"/>
      <c r="AAH17" s="35"/>
      <c r="AAI17" s="35"/>
      <c r="AAJ17" s="35"/>
      <c r="AAK17" s="35"/>
      <c r="AAL17" s="35"/>
      <c r="AAM17" s="35"/>
      <c r="AAN17" s="35"/>
      <c r="AAO17" s="35"/>
      <c r="AAP17" s="35"/>
      <c r="AAQ17" s="35"/>
      <c r="AAR17" s="35"/>
      <c r="AAS17" s="35"/>
      <c r="AAT17" s="35"/>
      <c r="AAU17" s="35"/>
      <c r="AAV17" s="35"/>
      <c r="AAW17" s="35"/>
      <c r="AAX17" s="35"/>
      <c r="AAY17" s="35"/>
      <c r="AAZ17" s="35"/>
      <c r="ABA17" s="35"/>
      <c r="ABB17" s="35"/>
      <c r="ABC17" s="35"/>
      <c r="ABD17" s="35"/>
      <c r="ABE17" s="35"/>
      <c r="ABF17" s="35"/>
      <c r="ABG17" s="35"/>
      <c r="ABH17" s="35"/>
      <c r="ABI17" s="35"/>
      <c r="ABJ17" s="35"/>
      <c r="ABK17" s="35"/>
      <c r="ABL17" s="35"/>
      <c r="ABM17" s="35"/>
      <c r="ABN17" s="35"/>
      <c r="ABO17" s="35"/>
      <c r="ABP17" s="35"/>
      <c r="ABQ17" s="35"/>
      <c r="ABR17" s="35"/>
      <c r="ABS17" s="35"/>
      <c r="ABT17" s="35"/>
      <c r="ABU17" s="35"/>
      <c r="ABV17" s="35"/>
      <c r="ABW17" s="35"/>
      <c r="ABX17" s="35"/>
      <c r="ABY17" s="35"/>
      <c r="ABZ17" s="35"/>
      <c r="ACA17" s="35"/>
      <c r="ACB17" s="35"/>
      <c r="ACC17" s="35"/>
      <c r="ACD17" s="35"/>
      <c r="ACE17" s="35"/>
      <c r="ACF17" s="35"/>
      <c r="ACG17" s="35"/>
      <c r="ACH17" s="35"/>
      <c r="ACI17" s="35"/>
      <c r="ACJ17" s="35"/>
      <c r="ACK17" s="35"/>
      <c r="ACL17" s="35"/>
      <c r="ACM17" s="35"/>
      <c r="ACN17" s="35"/>
      <c r="ACO17" s="35"/>
      <c r="ACP17" s="35"/>
      <c r="ACQ17" s="35"/>
      <c r="ACR17" s="35"/>
      <c r="ACS17" s="35"/>
      <c r="ACT17" s="35"/>
      <c r="ACU17" s="35"/>
      <c r="ACV17" s="35"/>
      <c r="ACW17" s="35"/>
      <c r="ACX17" s="35"/>
      <c r="ACY17" s="35"/>
      <c r="ACZ17" s="35"/>
      <c r="ADA17" s="35"/>
      <c r="ADB17" s="35"/>
      <c r="ADC17" s="35"/>
      <c r="ADD17" s="35"/>
      <c r="ADE17" s="35"/>
      <c r="ADF17" s="35"/>
      <c r="ADG17" s="35"/>
      <c r="ADH17" s="35"/>
      <c r="ADI17" s="35"/>
      <c r="ADJ17" s="35"/>
      <c r="ADK17" s="35"/>
      <c r="ADL17" s="35"/>
      <c r="ADM17" s="35"/>
      <c r="ADN17" s="35"/>
      <c r="ADO17" s="35"/>
      <c r="ADP17" s="35"/>
      <c r="ADQ17" s="35"/>
      <c r="ADR17" s="35"/>
      <c r="ADS17" s="35"/>
      <c r="ADT17" s="35"/>
      <c r="ADU17" s="35"/>
      <c r="ADV17" s="35"/>
      <c r="ADW17" s="35"/>
      <c r="ADX17" s="35"/>
      <c r="ADY17" s="35"/>
      <c r="ADZ17" s="35"/>
      <c r="AEA17" s="35"/>
      <c r="AEB17" s="35"/>
      <c r="AEC17" s="35"/>
      <c r="AED17" s="35"/>
      <c r="AEE17" s="35"/>
      <c r="AEF17" s="35"/>
      <c r="AEG17" s="35"/>
      <c r="AEH17" s="35"/>
      <c r="AEI17" s="35"/>
      <c r="AEJ17" s="35"/>
      <c r="AEK17" s="35"/>
      <c r="AEL17" s="35"/>
      <c r="AEM17" s="35"/>
      <c r="AEN17" s="35"/>
      <c r="AEO17" s="35"/>
      <c r="AEP17" s="35"/>
      <c r="AEQ17" s="35"/>
      <c r="AER17" s="35"/>
      <c r="AES17" s="35"/>
      <c r="AET17" s="35"/>
      <c r="AEU17" s="35"/>
      <c r="AEV17" s="35"/>
      <c r="AEW17" s="35"/>
      <c r="AEX17" s="35"/>
      <c r="AEY17" s="35"/>
      <c r="AEZ17" s="35"/>
      <c r="AFA17" s="35"/>
      <c r="AFB17" s="35"/>
      <c r="AFC17" s="35"/>
      <c r="AFD17" s="35"/>
      <c r="AFE17" s="35"/>
      <c r="AFF17" s="35"/>
      <c r="AFG17" s="35"/>
      <c r="AFH17" s="35"/>
      <c r="AFI17" s="35"/>
      <c r="AFJ17" s="35"/>
      <c r="AFK17" s="35"/>
      <c r="AFL17" s="35"/>
      <c r="AFM17" s="35"/>
      <c r="AFN17" s="35"/>
      <c r="AFO17" s="35"/>
      <c r="AFP17" s="35"/>
      <c r="AFQ17" s="35"/>
      <c r="AFR17" s="35"/>
      <c r="AFS17" s="35"/>
      <c r="AFT17" s="35"/>
      <c r="AFU17" s="35"/>
      <c r="AFV17" s="35"/>
      <c r="AFW17" s="35"/>
      <c r="AFX17" s="35"/>
      <c r="AFY17" s="35"/>
      <c r="AFZ17" s="35"/>
      <c r="AGA17" s="35"/>
      <c r="AGB17" s="35"/>
      <c r="AGC17" s="35"/>
      <c r="AGD17" s="35"/>
      <c r="AGE17" s="35"/>
      <c r="AGF17" s="35"/>
      <c r="AGG17" s="35"/>
      <c r="AGH17" s="35"/>
      <c r="AGI17" s="35"/>
      <c r="AGJ17" s="35"/>
      <c r="AGK17" s="35"/>
      <c r="AGL17" s="35"/>
      <c r="AGM17" s="35"/>
      <c r="AGN17" s="35"/>
      <c r="AGO17" s="35"/>
      <c r="AGP17" s="35"/>
      <c r="AGQ17" s="35"/>
      <c r="AGR17" s="35"/>
      <c r="AGS17" s="35"/>
      <c r="AGT17" s="35"/>
      <c r="AGU17" s="35"/>
      <c r="AGV17" s="35"/>
      <c r="AGW17" s="35"/>
      <c r="AGX17" s="35"/>
      <c r="AGY17" s="35"/>
      <c r="AGZ17" s="35"/>
      <c r="AHA17" s="35"/>
      <c r="AHB17" s="35"/>
      <c r="AHC17" s="35"/>
      <c r="AHD17" s="35"/>
      <c r="AHE17" s="35"/>
      <c r="AHF17" s="35"/>
      <c r="AHG17" s="35"/>
      <c r="AHH17" s="35"/>
      <c r="AHI17" s="35"/>
      <c r="AHJ17" s="35"/>
      <c r="AHK17" s="35"/>
      <c r="AHL17" s="35"/>
      <c r="AHM17" s="35"/>
      <c r="AHN17" s="35"/>
      <c r="AHO17" s="35"/>
      <c r="AHP17" s="35"/>
      <c r="AHQ17" s="35"/>
      <c r="AHR17" s="35"/>
      <c r="AHS17" s="35"/>
      <c r="AHT17" s="35"/>
      <c r="AHU17" s="35"/>
      <c r="AHV17" s="35"/>
      <c r="AHW17" s="35"/>
      <c r="AHX17" s="35"/>
      <c r="AHY17" s="35"/>
      <c r="AHZ17" s="35"/>
      <c r="AIA17" s="35"/>
      <c r="AIB17" s="35"/>
      <c r="AIC17" s="35"/>
      <c r="AID17" s="35"/>
      <c r="AIE17" s="35"/>
      <c r="AIF17" s="35"/>
      <c r="AIG17" s="35"/>
      <c r="AIH17" s="35"/>
      <c r="AII17" s="35"/>
      <c r="AIJ17" s="35"/>
      <c r="AIK17" s="35"/>
      <c r="AIL17" s="35"/>
      <c r="AIM17" s="35"/>
      <c r="AIN17" s="35"/>
      <c r="AIO17" s="35"/>
      <c r="AIP17" s="35"/>
      <c r="AIQ17" s="35"/>
      <c r="AIR17" s="35"/>
      <c r="AIS17" s="35"/>
      <c r="AIT17" s="35"/>
      <c r="AIU17" s="35"/>
      <c r="AIV17" s="35"/>
      <c r="AIW17" s="35"/>
      <c r="AIX17" s="35"/>
      <c r="AIY17" s="35"/>
      <c r="AIZ17" s="35"/>
      <c r="AJA17" s="35"/>
      <c r="AJB17" s="35"/>
      <c r="AJC17" s="35"/>
      <c r="AJD17" s="35"/>
      <c r="AJE17" s="35"/>
      <c r="AJF17" s="35"/>
      <c r="AJG17" s="35"/>
      <c r="AJH17" s="35"/>
      <c r="AJI17" s="35"/>
      <c r="AJJ17" s="35"/>
      <c r="AJK17" s="35"/>
      <c r="AJL17" s="35"/>
      <c r="AJM17" s="35"/>
      <c r="AJN17" s="35"/>
      <c r="AJO17" s="35"/>
      <c r="AJP17" s="35"/>
      <c r="AJQ17" s="35"/>
      <c r="AJR17" s="35"/>
      <c r="AJS17" s="35"/>
      <c r="AJT17" s="35"/>
      <c r="AJU17" s="35"/>
      <c r="AJV17" s="35"/>
      <c r="AJW17" s="35"/>
      <c r="AJX17" s="35"/>
      <c r="AJY17" s="35"/>
      <c r="AJZ17" s="35"/>
      <c r="AKA17" s="35"/>
      <c r="AKB17" s="35"/>
      <c r="AKC17" s="35"/>
      <c r="AKD17" s="35"/>
      <c r="AKE17" s="35"/>
      <c r="AKF17" s="35"/>
      <c r="AKG17" s="35"/>
      <c r="AKH17" s="35"/>
      <c r="AKI17" s="35"/>
      <c r="AKJ17" s="35"/>
      <c r="AKK17" s="35"/>
      <c r="AKL17" s="35"/>
      <c r="AKM17" s="35"/>
      <c r="AKN17" s="35"/>
      <c r="AKO17" s="35"/>
      <c r="AKP17" s="35"/>
      <c r="AKQ17" s="35"/>
      <c r="AKR17" s="35"/>
      <c r="AKS17" s="35"/>
      <c r="AKT17" s="35"/>
      <c r="AKU17" s="35"/>
      <c r="AKV17" s="35"/>
      <c r="AKW17" s="35"/>
      <c r="AKX17" s="35"/>
      <c r="AKY17" s="35"/>
      <c r="AKZ17" s="35"/>
      <c r="ALA17" s="35"/>
      <c r="ALB17" s="35"/>
      <c r="ALC17" s="35"/>
      <c r="ALD17" s="35"/>
      <c r="ALE17" s="35"/>
      <c r="ALF17" s="35"/>
      <c r="ALG17" s="35"/>
      <c r="ALH17" s="35"/>
      <c r="ALI17" s="35"/>
      <c r="ALJ17" s="35"/>
      <c r="ALK17" s="35"/>
      <c r="ALL17" s="35"/>
      <c r="ALM17" s="35"/>
      <c r="ALN17" s="35"/>
      <c r="ALO17" s="35"/>
      <c r="ALP17" s="35"/>
      <c r="ALQ17" s="35"/>
      <c r="ALR17" s="35"/>
      <c r="ALS17" s="35"/>
      <c r="ALT17" s="35"/>
      <c r="ALU17" s="35"/>
      <c r="ALV17" s="35"/>
      <c r="ALW17" s="35"/>
      <c r="ALX17" s="35"/>
      <c r="ALY17" s="35"/>
      <c r="ALZ17" s="35"/>
      <c r="AMA17" s="35"/>
      <c r="AMB17" s="35"/>
      <c r="AMC17" s="35"/>
      <c r="AMD17" s="35"/>
      <c r="AME17" s="35"/>
      <c r="AMF17" s="35"/>
      <c r="AMG17" s="35"/>
      <c r="AMH17" s="35"/>
      <c r="AMI17" s="35"/>
      <c r="AMJ17" s="35"/>
      <c r="AMK17" s="35"/>
      <c r="AML17" s="35"/>
      <c r="AMM17" s="35"/>
      <c r="AMN17" s="35"/>
      <c r="AMO17" s="35"/>
      <c r="AMP17" s="35"/>
      <c r="AMQ17" s="35"/>
      <c r="AMR17" s="35"/>
      <c r="AMS17" s="35"/>
      <c r="AMT17" s="35"/>
      <c r="AMU17" s="35"/>
      <c r="AMV17" s="35"/>
      <c r="AMW17" s="35"/>
      <c r="AMX17" s="35"/>
      <c r="AMY17" s="35"/>
      <c r="AMZ17" s="35"/>
      <c r="ANA17" s="35"/>
    </row>
    <row r="18" customFormat="false" ht="12.8" hidden="true" customHeight="true" outlineLevel="1" collapsed="false">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40"/>
      <c r="BO18" s="40"/>
      <c r="BP18" s="40"/>
      <c r="BQ18" s="40"/>
      <c r="BR18" s="40"/>
      <c r="BS18" s="40"/>
      <c r="BT18" s="40"/>
      <c r="BU18" s="40"/>
      <c r="BV18" s="40"/>
      <c r="BW18" s="40" t="s">
        <v>364</v>
      </c>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c r="JE18" s="35"/>
      <c r="JF18" s="35"/>
      <c r="JG18" s="35"/>
      <c r="JH18" s="35"/>
      <c r="JI18" s="35"/>
      <c r="JJ18" s="35"/>
      <c r="JK18" s="35"/>
      <c r="JL18" s="35"/>
      <c r="JM18" s="35"/>
      <c r="JN18" s="35"/>
      <c r="JO18" s="35"/>
      <c r="JP18" s="35"/>
      <c r="JQ18" s="35"/>
      <c r="JR18" s="35"/>
      <c r="JS18" s="35"/>
      <c r="JT18" s="35"/>
      <c r="JU18" s="35"/>
      <c r="JV18" s="35"/>
      <c r="JW18" s="35"/>
      <c r="JX18" s="35"/>
      <c r="JY18" s="35"/>
      <c r="JZ18" s="35"/>
      <c r="KA18" s="35"/>
      <c r="KB18" s="35"/>
      <c r="KC18" s="35"/>
      <c r="KD18" s="35"/>
      <c r="KE18" s="35"/>
      <c r="KF18" s="35"/>
      <c r="KG18" s="35"/>
      <c r="KH18" s="35"/>
      <c r="KI18" s="35"/>
      <c r="KJ18" s="35"/>
      <c r="KK18" s="35"/>
      <c r="KL18" s="35"/>
      <c r="KM18" s="35"/>
      <c r="KN18" s="35"/>
      <c r="KO18" s="35"/>
      <c r="KP18" s="35"/>
      <c r="KQ18" s="35"/>
      <c r="KR18" s="35"/>
      <c r="KS18" s="35"/>
      <c r="KT18" s="35"/>
      <c r="KU18" s="35"/>
      <c r="KV18" s="35"/>
      <c r="KW18" s="35"/>
      <c r="KX18" s="35"/>
      <c r="KY18" s="35"/>
      <c r="KZ18" s="35"/>
      <c r="LA18" s="35"/>
      <c r="LB18" s="35"/>
      <c r="LC18" s="35"/>
      <c r="LD18" s="35"/>
      <c r="LE18" s="35"/>
      <c r="LF18" s="35"/>
      <c r="LG18" s="35"/>
      <c r="LH18" s="35"/>
      <c r="LI18" s="35"/>
      <c r="LJ18" s="35"/>
      <c r="LK18" s="35"/>
      <c r="LL18" s="35"/>
      <c r="LM18" s="35"/>
      <c r="LN18" s="35"/>
      <c r="LO18" s="35"/>
      <c r="LP18" s="35"/>
      <c r="LQ18" s="35"/>
      <c r="LR18" s="35"/>
      <c r="LS18" s="35"/>
      <c r="LT18" s="35"/>
      <c r="LU18" s="35"/>
      <c r="LV18" s="35"/>
      <c r="LW18" s="35"/>
      <c r="LX18" s="35"/>
      <c r="LY18" s="35"/>
      <c r="LZ18" s="35"/>
      <c r="MA18" s="35"/>
      <c r="MB18" s="35"/>
      <c r="MC18" s="35"/>
      <c r="MD18" s="35"/>
      <c r="ME18" s="35"/>
      <c r="MF18" s="35"/>
      <c r="MG18" s="35"/>
      <c r="MH18" s="35"/>
      <c r="MI18" s="35"/>
      <c r="MJ18" s="35"/>
      <c r="MK18" s="35"/>
      <c r="ML18" s="35"/>
      <c r="MM18" s="35"/>
      <c r="MN18" s="35"/>
      <c r="MO18" s="35"/>
      <c r="MP18" s="35"/>
      <c r="MQ18" s="35"/>
      <c r="MR18" s="35"/>
      <c r="MS18" s="35"/>
      <c r="MT18" s="35"/>
      <c r="MU18" s="35"/>
      <c r="MV18" s="35"/>
      <c r="MW18" s="35"/>
      <c r="MX18" s="35"/>
      <c r="MY18" s="35"/>
      <c r="MZ18" s="35"/>
      <c r="NA18" s="35"/>
      <c r="NB18" s="35"/>
      <c r="NC18" s="35"/>
      <c r="ND18" s="35"/>
      <c r="NE18" s="35"/>
      <c r="NF18" s="35"/>
      <c r="NG18" s="35"/>
      <c r="NH18" s="35"/>
      <c r="NI18" s="35"/>
      <c r="NJ18" s="35"/>
      <c r="NK18" s="35"/>
      <c r="NL18" s="35"/>
      <c r="NM18" s="35"/>
      <c r="NN18" s="35"/>
      <c r="NO18" s="35"/>
      <c r="NP18" s="35"/>
      <c r="NQ18" s="35"/>
      <c r="NR18" s="35"/>
      <c r="NS18" s="35"/>
      <c r="NT18" s="35"/>
      <c r="NU18" s="35"/>
      <c r="NV18" s="35"/>
      <c r="NW18" s="35"/>
      <c r="NX18" s="35"/>
      <c r="NY18" s="35"/>
      <c r="NZ18" s="35"/>
      <c r="OA18" s="35"/>
      <c r="OB18" s="35"/>
      <c r="OC18" s="35"/>
      <c r="OD18" s="35"/>
      <c r="OE18" s="35"/>
      <c r="OF18" s="35"/>
      <c r="OG18" s="35"/>
      <c r="OH18" s="35"/>
      <c r="OI18" s="35"/>
      <c r="OJ18" s="35"/>
      <c r="OK18" s="35"/>
      <c r="OL18" s="35"/>
      <c r="OM18" s="35"/>
      <c r="ON18" s="35"/>
      <c r="OO18" s="35"/>
      <c r="OP18" s="35"/>
      <c r="OQ18" s="35"/>
      <c r="OR18" s="35"/>
      <c r="OS18" s="35"/>
      <c r="OT18" s="35"/>
      <c r="OU18" s="35"/>
      <c r="OV18" s="35"/>
      <c r="OW18" s="35"/>
      <c r="OX18" s="35"/>
      <c r="OY18" s="35"/>
      <c r="OZ18" s="35"/>
      <c r="PA18" s="35"/>
      <c r="PB18" s="35"/>
      <c r="PC18" s="35"/>
      <c r="PD18" s="35"/>
      <c r="PE18" s="35"/>
      <c r="PF18" s="35"/>
      <c r="PG18" s="35"/>
      <c r="PH18" s="35"/>
      <c r="PI18" s="35"/>
      <c r="PJ18" s="35"/>
      <c r="PK18" s="35"/>
      <c r="PL18" s="35"/>
      <c r="PM18" s="35"/>
      <c r="PN18" s="35"/>
      <c r="PO18" s="35"/>
      <c r="PP18" s="35"/>
      <c r="PQ18" s="35"/>
      <c r="PR18" s="35"/>
      <c r="PS18" s="35"/>
      <c r="PT18" s="35"/>
      <c r="PU18" s="35"/>
      <c r="PV18" s="35"/>
      <c r="PW18" s="35"/>
      <c r="PX18" s="35"/>
      <c r="PY18" s="35"/>
      <c r="PZ18" s="35"/>
      <c r="QA18" s="35"/>
      <c r="QB18" s="35"/>
      <c r="QC18" s="35"/>
      <c r="QD18" s="35"/>
      <c r="QE18" s="35"/>
      <c r="QF18" s="35"/>
      <c r="QG18" s="35"/>
      <c r="QH18" s="35"/>
      <c r="QI18" s="35"/>
      <c r="QJ18" s="35"/>
      <c r="QK18" s="35"/>
      <c r="QL18" s="35"/>
      <c r="QM18" s="35"/>
      <c r="QN18" s="35"/>
      <c r="QO18" s="35"/>
      <c r="QP18" s="35"/>
      <c r="QQ18" s="35"/>
      <c r="QR18" s="35"/>
      <c r="QS18" s="35"/>
      <c r="QT18" s="35"/>
      <c r="QU18" s="35"/>
      <c r="QV18" s="35"/>
      <c r="QW18" s="35"/>
      <c r="QX18" s="35"/>
      <c r="QY18" s="35"/>
      <c r="QZ18" s="35"/>
      <c r="RA18" s="35"/>
      <c r="RB18" s="35"/>
      <c r="RC18" s="35"/>
      <c r="RD18" s="35"/>
      <c r="RE18" s="35"/>
      <c r="RF18" s="35"/>
      <c r="RG18" s="35"/>
      <c r="RH18" s="35"/>
      <c r="RI18" s="35"/>
      <c r="RJ18" s="35"/>
      <c r="RK18" s="35"/>
      <c r="RL18" s="35"/>
      <c r="RM18" s="35"/>
      <c r="RN18" s="35"/>
      <c r="RO18" s="35"/>
      <c r="RP18" s="35"/>
      <c r="RQ18" s="35"/>
      <c r="RR18" s="35"/>
      <c r="RS18" s="35"/>
      <c r="RT18" s="35"/>
      <c r="RU18" s="35"/>
      <c r="RV18" s="35"/>
      <c r="RW18" s="35"/>
      <c r="RX18" s="35"/>
      <c r="RY18" s="35"/>
      <c r="RZ18" s="35"/>
      <c r="SA18" s="35"/>
      <c r="SB18" s="35"/>
      <c r="SC18" s="35"/>
      <c r="SD18" s="35"/>
      <c r="SE18" s="35"/>
      <c r="SF18" s="35"/>
      <c r="SG18" s="35"/>
      <c r="SH18" s="35"/>
      <c r="SI18" s="35"/>
      <c r="SJ18" s="35"/>
      <c r="SK18" s="35"/>
      <c r="SL18" s="35"/>
      <c r="SM18" s="35"/>
      <c r="SN18" s="35"/>
      <c r="SO18" s="35"/>
      <c r="SP18" s="35"/>
      <c r="SQ18" s="35"/>
      <c r="SR18" s="35"/>
      <c r="SS18" s="35"/>
      <c r="ST18" s="35"/>
      <c r="SU18" s="35"/>
      <c r="SV18" s="35"/>
      <c r="SW18" s="35"/>
      <c r="SX18" s="35"/>
      <c r="SY18" s="35"/>
      <c r="SZ18" s="35"/>
      <c r="TA18" s="35"/>
      <c r="TB18" s="35"/>
      <c r="TC18" s="35"/>
      <c r="TD18" s="35"/>
      <c r="TE18" s="35"/>
      <c r="TF18" s="35"/>
      <c r="TG18" s="35"/>
      <c r="TH18" s="35"/>
      <c r="TI18" s="35"/>
      <c r="TJ18" s="35"/>
      <c r="TK18" s="35"/>
      <c r="TL18" s="35"/>
      <c r="TM18" s="35"/>
      <c r="TN18" s="35"/>
      <c r="TO18" s="35"/>
      <c r="TP18" s="35"/>
      <c r="TQ18" s="35"/>
      <c r="TR18" s="35"/>
      <c r="TS18" s="35"/>
      <c r="TT18" s="35"/>
      <c r="TU18" s="35"/>
      <c r="TV18" s="35"/>
      <c r="TW18" s="35"/>
      <c r="TX18" s="35"/>
      <c r="TY18" s="35"/>
      <c r="TZ18" s="35"/>
      <c r="UA18" s="35"/>
      <c r="UB18" s="35"/>
      <c r="UC18" s="35"/>
      <c r="UD18" s="35"/>
      <c r="UE18" s="35"/>
      <c r="UF18" s="35"/>
      <c r="UG18" s="35"/>
      <c r="UH18" s="35"/>
      <c r="UI18" s="35"/>
      <c r="UJ18" s="35"/>
      <c r="UK18" s="35"/>
      <c r="UL18" s="35"/>
      <c r="UM18" s="35"/>
      <c r="UN18" s="35"/>
      <c r="UO18" s="35"/>
      <c r="UP18" s="35"/>
      <c r="UQ18" s="35"/>
      <c r="UR18" s="35"/>
      <c r="US18" s="35"/>
      <c r="UT18" s="35"/>
      <c r="UU18" s="35"/>
      <c r="UV18" s="35"/>
      <c r="UW18" s="35"/>
      <c r="UX18" s="35"/>
      <c r="UY18" s="35"/>
      <c r="UZ18" s="35"/>
      <c r="VA18" s="35"/>
      <c r="VB18" s="35"/>
      <c r="VC18" s="35"/>
      <c r="VD18" s="35"/>
      <c r="VE18" s="35"/>
      <c r="VF18" s="35"/>
      <c r="VG18" s="35"/>
      <c r="VH18" s="35"/>
      <c r="VI18" s="35"/>
      <c r="VJ18" s="35"/>
      <c r="VK18" s="35"/>
      <c r="VL18" s="35"/>
      <c r="VM18" s="35"/>
      <c r="VN18" s="35"/>
      <c r="VO18" s="35"/>
      <c r="VP18" s="35"/>
      <c r="VQ18" s="35"/>
      <c r="VR18" s="35"/>
      <c r="VS18" s="35"/>
      <c r="VT18" s="35"/>
      <c r="VU18" s="35"/>
      <c r="VV18" s="35"/>
      <c r="VW18" s="35"/>
      <c r="VX18" s="35"/>
      <c r="VY18" s="35"/>
      <c r="VZ18" s="35"/>
      <c r="WA18" s="35"/>
      <c r="WB18" s="35"/>
      <c r="WC18" s="35"/>
      <c r="WD18" s="35"/>
      <c r="WE18" s="35"/>
      <c r="WF18" s="35"/>
      <c r="WG18" s="35"/>
      <c r="WH18" s="35"/>
      <c r="WI18" s="35"/>
      <c r="WJ18" s="35"/>
      <c r="WK18" s="35"/>
      <c r="WL18" s="35"/>
      <c r="WM18" s="35"/>
      <c r="WN18" s="35"/>
      <c r="WO18" s="35"/>
      <c r="WP18" s="35"/>
      <c r="WQ18" s="35"/>
      <c r="WR18" s="35"/>
      <c r="WS18" s="35"/>
      <c r="WT18" s="35"/>
      <c r="WU18" s="35"/>
      <c r="WV18" s="35"/>
      <c r="WW18" s="35"/>
      <c r="WX18" s="35"/>
      <c r="WY18" s="35"/>
      <c r="WZ18" s="35"/>
      <c r="XA18" s="35"/>
      <c r="XB18" s="35"/>
      <c r="XC18" s="35"/>
      <c r="XD18" s="35"/>
      <c r="XE18" s="35"/>
      <c r="XF18" s="35"/>
      <c r="XG18" s="35"/>
      <c r="XH18" s="35"/>
      <c r="XI18" s="35"/>
      <c r="XJ18" s="35"/>
      <c r="XK18" s="35"/>
      <c r="XL18" s="35"/>
      <c r="XM18" s="35"/>
      <c r="XN18" s="35"/>
      <c r="XO18" s="35"/>
      <c r="XP18" s="35"/>
      <c r="XQ18" s="35"/>
      <c r="XR18" s="35"/>
      <c r="XS18" s="35"/>
      <c r="XT18" s="35"/>
      <c r="XU18" s="35"/>
      <c r="XV18" s="35"/>
      <c r="XW18" s="35"/>
      <c r="XX18" s="35"/>
      <c r="XY18" s="35"/>
      <c r="XZ18" s="35"/>
      <c r="YA18" s="35"/>
      <c r="YB18" s="35"/>
      <c r="YC18" s="35"/>
      <c r="YD18" s="35"/>
      <c r="YE18" s="35"/>
      <c r="YF18" s="35"/>
      <c r="YG18" s="35"/>
      <c r="YH18" s="35"/>
      <c r="YI18" s="35"/>
      <c r="YJ18" s="35"/>
      <c r="YK18" s="35"/>
      <c r="YL18" s="35"/>
      <c r="YM18" s="35"/>
      <c r="YN18" s="35"/>
      <c r="YO18" s="35"/>
      <c r="YP18" s="35"/>
      <c r="YQ18" s="35"/>
      <c r="YR18" s="35"/>
      <c r="YS18" s="35"/>
      <c r="YT18" s="35"/>
      <c r="YU18" s="35"/>
      <c r="YV18" s="35"/>
      <c r="YW18" s="35"/>
      <c r="YX18" s="35"/>
      <c r="YY18" s="35"/>
      <c r="YZ18" s="35"/>
      <c r="ZA18" s="35"/>
      <c r="ZB18" s="35"/>
      <c r="ZC18" s="35"/>
      <c r="ZD18" s="35"/>
      <c r="ZE18" s="35"/>
      <c r="ZF18" s="35"/>
      <c r="ZG18" s="35"/>
      <c r="ZH18" s="35"/>
      <c r="ZI18" s="35"/>
      <c r="ZJ18" s="35"/>
      <c r="ZK18" s="35"/>
      <c r="ZL18" s="35"/>
      <c r="ZM18" s="35"/>
      <c r="ZN18" s="35"/>
      <c r="ZO18" s="35"/>
      <c r="ZP18" s="35"/>
      <c r="ZQ18" s="35"/>
      <c r="ZR18" s="35"/>
      <c r="ZS18" s="35"/>
      <c r="ZT18" s="35"/>
      <c r="ZU18" s="35"/>
      <c r="ZV18" s="35"/>
      <c r="ZW18" s="35"/>
      <c r="ZX18" s="35"/>
      <c r="ZY18" s="35"/>
      <c r="ZZ18" s="35"/>
      <c r="AAA18" s="35"/>
      <c r="AAB18" s="35"/>
      <c r="AAC18" s="35"/>
      <c r="AAD18" s="35"/>
      <c r="AAE18" s="35"/>
      <c r="AAF18" s="35"/>
      <c r="AAG18" s="35"/>
      <c r="AAH18" s="35"/>
      <c r="AAI18" s="35"/>
      <c r="AAJ18" s="35"/>
      <c r="AAK18" s="35"/>
      <c r="AAL18" s="35"/>
      <c r="AAM18" s="35"/>
      <c r="AAN18" s="35"/>
      <c r="AAO18" s="35"/>
      <c r="AAP18" s="35"/>
      <c r="AAQ18" s="35"/>
      <c r="AAR18" s="35"/>
      <c r="AAS18" s="35"/>
      <c r="AAT18" s="35"/>
      <c r="AAU18" s="35"/>
      <c r="AAV18" s="35"/>
      <c r="AAW18" s="35"/>
      <c r="AAX18" s="35"/>
      <c r="AAY18" s="35"/>
      <c r="AAZ18" s="35"/>
      <c r="ABA18" s="35"/>
      <c r="ABB18" s="35"/>
      <c r="ABC18" s="35"/>
      <c r="ABD18" s="35"/>
      <c r="ABE18" s="35"/>
      <c r="ABF18" s="35"/>
      <c r="ABG18" s="35"/>
      <c r="ABH18" s="35"/>
      <c r="ABI18" s="35"/>
      <c r="ABJ18" s="35"/>
      <c r="ABK18" s="35"/>
      <c r="ABL18" s="35"/>
      <c r="ABM18" s="35"/>
      <c r="ABN18" s="35"/>
      <c r="ABO18" s="35"/>
      <c r="ABP18" s="35"/>
      <c r="ABQ18" s="35"/>
      <c r="ABR18" s="35"/>
      <c r="ABS18" s="35"/>
      <c r="ABT18" s="35"/>
      <c r="ABU18" s="35"/>
      <c r="ABV18" s="35"/>
      <c r="ABW18" s="35"/>
      <c r="ABX18" s="35"/>
      <c r="ABY18" s="35"/>
      <c r="ABZ18" s="35"/>
      <c r="ACA18" s="35"/>
      <c r="ACB18" s="35"/>
      <c r="ACC18" s="35"/>
      <c r="ACD18" s="35"/>
      <c r="ACE18" s="35"/>
      <c r="ACF18" s="35"/>
      <c r="ACG18" s="35"/>
      <c r="ACH18" s="35"/>
      <c r="ACI18" s="35"/>
      <c r="ACJ18" s="35"/>
      <c r="ACK18" s="35"/>
      <c r="ACL18" s="35"/>
      <c r="ACM18" s="35"/>
      <c r="ACN18" s="35"/>
      <c r="ACO18" s="35"/>
      <c r="ACP18" s="35"/>
      <c r="ACQ18" s="35"/>
      <c r="ACR18" s="35"/>
      <c r="ACS18" s="35"/>
      <c r="ACT18" s="35"/>
      <c r="ACU18" s="35"/>
      <c r="ACV18" s="35"/>
      <c r="ACW18" s="35"/>
      <c r="ACX18" s="35"/>
      <c r="ACY18" s="35"/>
      <c r="ACZ18" s="35"/>
      <c r="ADA18" s="35"/>
      <c r="ADB18" s="35"/>
      <c r="ADC18" s="35"/>
      <c r="ADD18" s="35"/>
      <c r="ADE18" s="35"/>
      <c r="ADF18" s="35"/>
      <c r="ADG18" s="35"/>
      <c r="ADH18" s="35"/>
      <c r="ADI18" s="35"/>
      <c r="ADJ18" s="35"/>
      <c r="ADK18" s="35"/>
      <c r="ADL18" s="35"/>
      <c r="ADM18" s="35"/>
      <c r="ADN18" s="35"/>
      <c r="ADO18" s="35"/>
      <c r="ADP18" s="35"/>
      <c r="ADQ18" s="35"/>
      <c r="ADR18" s="35"/>
      <c r="ADS18" s="35"/>
      <c r="ADT18" s="35"/>
      <c r="ADU18" s="35"/>
      <c r="ADV18" s="35"/>
      <c r="ADW18" s="35"/>
      <c r="ADX18" s="35"/>
      <c r="ADY18" s="35"/>
      <c r="ADZ18" s="35"/>
      <c r="AEA18" s="35"/>
      <c r="AEB18" s="35"/>
      <c r="AEC18" s="35"/>
      <c r="AED18" s="35"/>
      <c r="AEE18" s="35"/>
      <c r="AEF18" s="35"/>
      <c r="AEG18" s="35"/>
      <c r="AEH18" s="35"/>
      <c r="AEI18" s="35"/>
      <c r="AEJ18" s="35"/>
      <c r="AEK18" s="35"/>
      <c r="AEL18" s="35"/>
      <c r="AEM18" s="35"/>
      <c r="AEN18" s="35"/>
      <c r="AEO18" s="35"/>
      <c r="AEP18" s="35"/>
      <c r="AEQ18" s="35"/>
      <c r="AER18" s="35"/>
      <c r="AES18" s="35"/>
      <c r="AET18" s="35"/>
      <c r="AEU18" s="35"/>
      <c r="AEV18" s="35"/>
      <c r="AEW18" s="35"/>
      <c r="AEX18" s="35"/>
      <c r="AEY18" s="35"/>
      <c r="AEZ18" s="35"/>
      <c r="AFA18" s="35"/>
      <c r="AFB18" s="35"/>
      <c r="AFC18" s="35"/>
      <c r="AFD18" s="35"/>
      <c r="AFE18" s="35"/>
      <c r="AFF18" s="35"/>
      <c r="AFG18" s="35"/>
      <c r="AFH18" s="35"/>
      <c r="AFI18" s="35"/>
      <c r="AFJ18" s="35"/>
      <c r="AFK18" s="35"/>
      <c r="AFL18" s="35"/>
      <c r="AFM18" s="35"/>
      <c r="AFN18" s="35"/>
      <c r="AFO18" s="35"/>
      <c r="AFP18" s="35"/>
      <c r="AFQ18" s="35"/>
      <c r="AFR18" s="35"/>
      <c r="AFS18" s="35"/>
      <c r="AFT18" s="35"/>
      <c r="AFU18" s="35"/>
      <c r="AFV18" s="35"/>
      <c r="AFW18" s="35"/>
      <c r="AFX18" s="35"/>
      <c r="AFY18" s="35"/>
      <c r="AFZ18" s="35"/>
      <c r="AGA18" s="35"/>
      <c r="AGB18" s="35"/>
      <c r="AGC18" s="35"/>
      <c r="AGD18" s="35"/>
      <c r="AGE18" s="35"/>
      <c r="AGF18" s="35"/>
      <c r="AGG18" s="35"/>
      <c r="AGH18" s="35"/>
      <c r="AGI18" s="35"/>
      <c r="AGJ18" s="35"/>
      <c r="AGK18" s="35"/>
      <c r="AGL18" s="35"/>
      <c r="AGM18" s="35"/>
      <c r="AGN18" s="35"/>
      <c r="AGO18" s="35"/>
      <c r="AGP18" s="35"/>
      <c r="AGQ18" s="35"/>
      <c r="AGR18" s="35"/>
      <c r="AGS18" s="35"/>
      <c r="AGT18" s="35"/>
      <c r="AGU18" s="35"/>
      <c r="AGV18" s="35"/>
      <c r="AGW18" s="35"/>
      <c r="AGX18" s="35"/>
      <c r="AGY18" s="35"/>
      <c r="AGZ18" s="35"/>
      <c r="AHA18" s="35"/>
      <c r="AHB18" s="35"/>
      <c r="AHC18" s="35"/>
      <c r="AHD18" s="35"/>
      <c r="AHE18" s="35"/>
      <c r="AHF18" s="35"/>
      <c r="AHG18" s="35"/>
      <c r="AHH18" s="35"/>
      <c r="AHI18" s="35"/>
      <c r="AHJ18" s="35"/>
      <c r="AHK18" s="35"/>
      <c r="AHL18" s="35"/>
      <c r="AHM18" s="35"/>
      <c r="AHN18" s="35"/>
      <c r="AHO18" s="35"/>
      <c r="AHP18" s="35"/>
      <c r="AHQ18" s="35"/>
      <c r="AHR18" s="35"/>
      <c r="AHS18" s="35"/>
      <c r="AHT18" s="35"/>
      <c r="AHU18" s="35"/>
      <c r="AHV18" s="35"/>
      <c r="AHW18" s="35"/>
      <c r="AHX18" s="35"/>
      <c r="AHY18" s="35"/>
      <c r="AHZ18" s="35"/>
      <c r="AIA18" s="35"/>
      <c r="AIB18" s="35"/>
      <c r="AIC18" s="35"/>
      <c r="AID18" s="35"/>
      <c r="AIE18" s="35"/>
      <c r="AIF18" s="35"/>
      <c r="AIG18" s="35"/>
      <c r="AIH18" s="35"/>
      <c r="AII18" s="35"/>
      <c r="AIJ18" s="35"/>
      <c r="AIK18" s="35"/>
      <c r="AIL18" s="35"/>
      <c r="AIM18" s="35"/>
      <c r="AIN18" s="35"/>
      <c r="AIO18" s="35"/>
      <c r="AIP18" s="35"/>
      <c r="AIQ18" s="35"/>
      <c r="AIR18" s="35"/>
      <c r="AIS18" s="35"/>
      <c r="AIT18" s="35"/>
      <c r="AIU18" s="35"/>
      <c r="AIV18" s="35"/>
      <c r="AIW18" s="35"/>
      <c r="AIX18" s="35"/>
      <c r="AIY18" s="35"/>
      <c r="AIZ18" s="35"/>
      <c r="AJA18" s="35"/>
      <c r="AJB18" s="35"/>
      <c r="AJC18" s="35"/>
      <c r="AJD18" s="35"/>
      <c r="AJE18" s="35"/>
      <c r="AJF18" s="35"/>
      <c r="AJG18" s="35"/>
      <c r="AJH18" s="35"/>
      <c r="AJI18" s="35"/>
      <c r="AJJ18" s="35"/>
      <c r="AJK18" s="35"/>
      <c r="AJL18" s="35"/>
      <c r="AJM18" s="35"/>
      <c r="AJN18" s="35"/>
      <c r="AJO18" s="35"/>
      <c r="AJP18" s="35"/>
      <c r="AJQ18" s="35"/>
      <c r="AJR18" s="35"/>
      <c r="AJS18" s="35"/>
      <c r="AJT18" s="35"/>
      <c r="AJU18" s="35"/>
      <c r="AJV18" s="35"/>
      <c r="AJW18" s="35"/>
      <c r="AJX18" s="35"/>
      <c r="AJY18" s="35"/>
      <c r="AJZ18" s="35"/>
      <c r="AKA18" s="35"/>
      <c r="AKB18" s="35"/>
      <c r="AKC18" s="35"/>
      <c r="AKD18" s="35"/>
      <c r="AKE18" s="35"/>
      <c r="AKF18" s="35"/>
      <c r="AKG18" s="35"/>
      <c r="AKH18" s="35"/>
      <c r="AKI18" s="35"/>
      <c r="AKJ18" s="35"/>
      <c r="AKK18" s="35"/>
      <c r="AKL18" s="35"/>
      <c r="AKM18" s="35"/>
      <c r="AKN18" s="35"/>
      <c r="AKO18" s="35"/>
      <c r="AKP18" s="35"/>
      <c r="AKQ18" s="35"/>
      <c r="AKR18" s="35"/>
      <c r="AKS18" s="35"/>
      <c r="AKT18" s="35"/>
      <c r="AKU18" s="35"/>
      <c r="AKV18" s="35"/>
      <c r="AKW18" s="35"/>
      <c r="AKX18" s="35"/>
      <c r="AKY18" s="35"/>
      <c r="AKZ18" s="35"/>
      <c r="ALA18" s="35"/>
      <c r="ALB18" s="35"/>
      <c r="ALC18" s="35"/>
      <c r="ALD18" s="35"/>
      <c r="ALE18" s="35"/>
      <c r="ALF18" s="35"/>
      <c r="ALG18" s="35"/>
      <c r="ALH18" s="35"/>
      <c r="ALI18" s="35"/>
      <c r="ALJ18" s="35"/>
      <c r="ALK18" s="35"/>
      <c r="ALL18" s="35"/>
      <c r="ALM18" s="35"/>
      <c r="ALN18" s="35"/>
      <c r="ALO18" s="35"/>
      <c r="ALP18" s="35"/>
      <c r="ALQ18" s="35"/>
      <c r="ALR18" s="35"/>
      <c r="ALS18" s="35"/>
      <c r="ALT18" s="35"/>
      <c r="ALU18" s="35"/>
      <c r="ALV18" s="35"/>
      <c r="ALW18" s="35"/>
      <c r="ALX18" s="35"/>
      <c r="ALY18" s="35"/>
      <c r="ALZ18" s="35"/>
      <c r="AMA18" s="35"/>
      <c r="AMB18" s="35"/>
      <c r="AMC18" s="35"/>
      <c r="AMD18" s="35"/>
      <c r="AME18" s="35"/>
      <c r="AMF18" s="35"/>
      <c r="AMG18" s="35"/>
      <c r="AMH18" s="35"/>
      <c r="AMI18" s="35"/>
      <c r="AMJ18" s="35"/>
      <c r="AMK18" s="35"/>
      <c r="AML18" s="35"/>
      <c r="AMM18" s="35"/>
      <c r="AMN18" s="35"/>
      <c r="AMO18" s="35"/>
      <c r="AMP18" s="35"/>
      <c r="AMQ18" s="35"/>
      <c r="AMR18" s="35"/>
      <c r="AMS18" s="35"/>
      <c r="AMT18" s="35"/>
      <c r="AMU18" s="35"/>
      <c r="AMV18" s="35"/>
      <c r="AMW18" s="35"/>
      <c r="AMX18" s="35"/>
      <c r="AMY18" s="35"/>
      <c r="AMZ18" s="35"/>
      <c r="ANA18" s="35"/>
    </row>
    <row r="19" customFormat="false" ht="12.8" hidden="true" customHeight="true" outlineLevel="1" collapsed="false">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c r="BM19" s="40"/>
      <c r="BN19" s="40"/>
      <c r="BO19" s="40"/>
      <c r="BP19" s="40"/>
      <c r="BQ19" s="40"/>
      <c r="BR19" s="40"/>
      <c r="BS19" s="40"/>
      <c r="BT19" s="40"/>
      <c r="BU19" s="40"/>
      <c r="BV19" s="40"/>
      <c r="BW19" s="40" t="s">
        <v>364</v>
      </c>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5"/>
      <c r="GC19" s="35"/>
      <c r="GD19" s="35"/>
      <c r="GE19" s="35"/>
      <c r="GF19" s="35"/>
      <c r="GG19" s="35"/>
      <c r="GH19" s="35"/>
      <c r="GI19" s="35"/>
      <c r="GJ19" s="35"/>
      <c r="GK19" s="35"/>
      <c r="GL19" s="35"/>
      <c r="GM19" s="35"/>
      <c r="GN19" s="35"/>
      <c r="GO19" s="35"/>
      <c r="GP19" s="35"/>
      <c r="GQ19" s="35"/>
      <c r="GR19" s="35"/>
      <c r="GS19" s="35"/>
      <c r="GT19" s="35"/>
      <c r="GU19" s="35"/>
      <c r="GV19" s="35"/>
      <c r="GW19" s="35"/>
      <c r="GX19" s="35"/>
      <c r="GY19" s="35"/>
      <c r="GZ19" s="35"/>
      <c r="HA19" s="35"/>
      <c r="HB19" s="35"/>
      <c r="HC19" s="35"/>
      <c r="HD19" s="35"/>
      <c r="HE19" s="35"/>
      <c r="HF19" s="35"/>
      <c r="HG19" s="35"/>
      <c r="HH19" s="35"/>
      <c r="HI19" s="35"/>
      <c r="HJ19" s="35"/>
      <c r="HK19" s="35"/>
      <c r="HL19" s="35"/>
      <c r="HM19" s="35"/>
      <c r="HN19" s="35"/>
      <c r="HO19" s="35"/>
      <c r="HP19" s="35"/>
      <c r="HQ19" s="35"/>
      <c r="HR19" s="35"/>
      <c r="HS19" s="35"/>
      <c r="HT19" s="35"/>
      <c r="HU19" s="35"/>
      <c r="HV19" s="35"/>
      <c r="HW19" s="35"/>
      <c r="HX19" s="35"/>
      <c r="HY19" s="35"/>
      <c r="HZ19" s="35"/>
      <c r="IA19" s="35"/>
      <c r="IB19" s="35"/>
      <c r="IC19" s="35"/>
      <c r="ID19" s="35"/>
      <c r="IE19" s="35"/>
      <c r="IF19" s="35"/>
      <c r="IG19" s="35"/>
      <c r="IH19" s="35"/>
      <c r="II19" s="35"/>
      <c r="IJ19" s="35"/>
      <c r="IK19" s="35"/>
      <c r="IL19" s="35"/>
      <c r="IM19" s="35"/>
      <c r="IN19" s="35"/>
      <c r="IO19" s="35"/>
      <c r="IP19" s="35"/>
      <c r="IQ19" s="35"/>
      <c r="IR19" s="35"/>
      <c r="IS19" s="35"/>
      <c r="IT19" s="35"/>
      <c r="IU19" s="35"/>
      <c r="IV19" s="35"/>
      <c r="IW19" s="35"/>
      <c r="IX19" s="35"/>
      <c r="IY19" s="35"/>
      <c r="IZ19" s="35"/>
      <c r="JA19" s="35"/>
      <c r="JB19" s="35"/>
      <c r="JC19" s="35"/>
      <c r="JD19" s="35"/>
      <c r="JE19" s="35"/>
      <c r="JF19" s="35"/>
      <c r="JG19" s="35"/>
      <c r="JH19" s="35"/>
      <c r="JI19" s="35"/>
      <c r="JJ19" s="35"/>
      <c r="JK19" s="35"/>
      <c r="JL19" s="35"/>
      <c r="JM19" s="35"/>
      <c r="JN19" s="35"/>
      <c r="JO19" s="35"/>
      <c r="JP19" s="35"/>
      <c r="JQ19" s="35"/>
      <c r="JR19" s="35"/>
      <c r="JS19" s="35"/>
      <c r="JT19" s="35"/>
      <c r="JU19" s="35"/>
      <c r="JV19" s="35"/>
      <c r="JW19" s="35"/>
      <c r="JX19" s="35"/>
      <c r="JY19" s="35"/>
      <c r="JZ19" s="35"/>
      <c r="KA19" s="35"/>
      <c r="KB19" s="35"/>
      <c r="KC19" s="35"/>
      <c r="KD19" s="35"/>
      <c r="KE19" s="35"/>
      <c r="KF19" s="35"/>
      <c r="KG19" s="35"/>
      <c r="KH19" s="35"/>
      <c r="KI19" s="35"/>
      <c r="KJ19" s="35"/>
      <c r="KK19" s="35"/>
      <c r="KL19" s="35"/>
      <c r="KM19" s="35"/>
      <c r="KN19" s="35"/>
      <c r="KO19" s="35"/>
      <c r="KP19" s="35"/>
      <c r="KQ19" s="35"/>
      <c r="KR19" s="35"/>
      <c r="KS19" s="35"/>
      <c r="KT19" s="35"/>
      <c r="KU19" s="35"/>
      <c r="KV19" s="35"/>
      <c r="KW19" s="35"/>
      <c r="KX19" s="35"/>
      <c r="KY19" s="35"/>
      <c r="KZ19" s="35"/>
      <c r="LA19" s="35"/>
      <c r="LB19" s="35"/>
      <c r="LC19" s="35"/>
      <c r="LD19" s="35"/>
      <c r="LE19" s="35"/>
      <c r="LF19" s="35"/>
      <c r="LG19" s="35"/>
      <c r="LH19" s="35"/>
      <c r="LI19" s="35"/>
      <c r="LJ19" s="35"/>
      <c r="LK19" s="35"/>
      <c r="LL19" s="35"/>
      <c r="LM19" s="35"/>
      <c r="LN19" s="35"/>
      <c r="LO19" s="35"/>
      <c r="LP19" s="35"/>
      <c r="LQ19" s="35"/>
      <c r="LR19" s="35"/>
      <c r="LS19" s="35"/>
      <c r="LT19" s="35"/>
      <c r="LU19" s="35"/>
      <c r="LV19" s="35"/>
      <c r="LW19" s="35"/>
      <c r="LX19" s="35"/>
      <c r="LY19" s="35"/>
      <c r="LZ19" s="35"/>
      <c r="MA19" s="35"/>
      <c r="MB19" s="35"/>
      <c r="MC19" s="35"/>
      <c r="MD19" s="35"/>
      <c r="ME19" s="35"/>
      <c r="MF19" s="35"/>
      <c r="MG19" s="35"/>
      <c r="MH19" s="35"/>
      <c r="MI19" s="35"/>
      <c r="MJ19" s="35"/>
      <c r="MK19" s="35"/>
      <c r="ML19" s="35"/>
      <c r="MM19" s="35"/>
      <c r="MN19" s="35"/>
      <c r="MO19" s="35"/>
      <c r="MP19" s="35"/>
      <c r="MQ19" s="35"/>
      <c r="MR19" s="35"/>
      <c r="MS19" s="35"/>
      <c r="MT19" s="35"/>
      <c r="MU19" s="35"/>
      <c r="MV19" s="35"/>
      <c r="MW19" s="35"/>
      <c r="MX19" s="35"/>
      <c r="MY19" s="35"/>
      <c r="MZ19" s="35"/>
      <c r="NA19" s="35"/>
      <c r="NB19" s="35"/>
      <c r="NC19" s="35"/>
      <c r="ND19" s="35"/>
      <c r="NE19" s="35"/>
      <c r="NF19" s="35"/>
      <c r="NG19" s="35"/>
      <c r="NH19" s="35"/>
      <c r="NI19" s="35"/>
      <c r="NJ19" s="35"/>
      <c r="NK19" s="35"/>
      <c r="NL19" s="35"/>
      <c r="NM19" s="35"/>
      <c r="NN19" s="35"/>
      <c r="NO19" s="35"/>
      <c r="NP19" s="35"/>
      <c r="NQ19" s="35"/>
      <c r="NR19" s="35"/>
      <c r="NS19" s="35"/>
      <c r="NT19" s="35"/>
      <c r="NU19" s="35"/>
      <c r="NV19" s="35"/>
      <c r="NW19" s="35"/>
      <c r="NX19" s="35"/>
      <c r="NY19" s="35"/>
      <c r="NZ19" s="35"/>
      <c r="OA19" s="35"/>
      <c r="OB19" s="35"/>
      <c r="OC19" s="35"/>
      <c r="OD19" s="35"/>
      <c r="OE19" s="35"/>
      <c r="OF19" s="35"/>
      <c r="OG19" s="35"/>
      <c r="OH19" s="35"/>
      <c r="OI19" s="35"/>
      <c r="OJ19" s="35"/>
      <c r="OK19" s="35"/>
      <c r="OL19" s="35"/>
      <c r="OM19" s="35"/>
      <c r="ON19" s="35"/>
      <c r="OO19" s="35"/>
      <c r="OP19" s="35"/>
      <c r="OQ19" s="35"/>
      <c r="OR19" s="35"/>
      <c r="OS19" s="35"/>
      <c r="OT19" s="35"/>
      <c r="OU19" s="35"/>
      <c r="OV19" s="35"/>
      <c r="OW19" s="35"/>
      <c r="OX19" s="35"/>
      <c r="OY19" s="35"/>
      <c r="OZ19" s="35"/>
      <c r="PA19" s="35"/>
      <c r="PB19" s="35"/>
      <c r="PC19" s="35"/>
      <c r="PD19" s="35"/>
      <c r="PE19" s="35"/>
      <c r="PF19" s="35"/>
      <c r="PG19" s="35"/>
      <c r="PH19" s="35"/>
      <c r="PI19" s="35"/>
      <c r="PJ19" s="35"/>
      <c r="PK19" s="35"/>
      <c r="PL19" s="35"/>
      <c r="PM19" s="35"/>
      <c r="PN19" s="35"/>
      <c r="PO19" s="35"/>
      <c r="PP19" s="35"/>
      <c r="PQ19" s="35"/>
      <c r="PR19" s="35"/>
      <c r="PS19" s="35"/>
      <c r="PT19" s="35"/>
      <c r="PU19" s="35"/>
      <c r="PV19" s="35"/>
      <c r="PW19" s="35"/>
      <c r="PX19" s="35"/>
      <c r="PY19" s="35"/>
      <c r="PZ19" s="35"/>
      <c r="QA19" s="35"/>
      <c r="QB19" s="35"/>
      <c r="QC19" s="35"/>
      <c r="QD19" s="35"/>
      <c r="QE19" s="35"/>
      <c r="QF19" s="35"/>
      <c r="QG19" s="35"/>
      <c r="QH19" s="35"/>
      <c r="QI19" s="35"/>
      <c r="QJ19" s="35"/>
      <c r="QK19" s="35"/>
      <c r="QL19" s="35"/>
      <c r="QM19" s="35"/>
      <c r="QN19" s="35"/>
      <c r="QO19" s="35"/>
      <c r="QP19" s="35"/>
      <c r="QQ19" s="35"/>
      <c r="QR19" s="35"/>
      <c r="QS19" s="35"/>
      <c r="QT19" s="35"/>
      <c r="QU19" s="35"/>
      <c r="QV19" s="35"/>
      <c r="QW19" s="35"/>
      <c r="QX19" s="35"/>
      <c r="QY19" s="35"/>
      <c r="QZ19" s="35"/>
      <c r="RA19" s="35"/>
      <c r="RB19" s="35"/>
      <c r="RC19" s="35"/>
      <c r="RD19" s="35"/>
      <c r="RE19" s="35"/>
      <c r="RF19" s="35"/>
      <c r="RG19" s="35"/>
      <c r="RH19" s="35"/>
      <c r="RI19" s="35"/>
      <c r="RJ19" s="35"/>
      <c r="RK19" s="35"/>
      <c r="RL19" s="35"/>
      <c r="RM19" s="35"/>
      <c r="RN19" s="35"/>
      <c r="RO19" s="35"/>
      <c r="RP19" s="35"/>
      <c r="RQ19" s="35"/>
      <c r="RR19" s="35"/>
      <c r="RS19" s="35"/>
      <c r="RT19" s="35"/>
      <c r="RU19" s="35"/>
      <c r="RV19" s="35"/>
      <c r="RW19" s="35"/>
      <c r="RX19" s="35"/>
      <c r="RY19" s="35"/>
      <c r="RZ19" s="35"/>
      <c r="SA19" s="35"/>
      <c r="SB19" s="35"/>
      <c r="SC19" s="35"/>
      <c r="SD19" s="35"/>
      <c r="SE19" s="35"/>
      <c r="SF19" s="35"/>
      <c r="SG19" s="35"/>
      <c r="SH19" s="35"/>
      <c r="SI19" s="35"/>
      <c r="SJ19" s="35"/>
      <c r="SK19" s="35"/>
      <c r="SL19" s="35"/>
      <c r="SM19" s="35"/>
      <c r="SN19" s="35"/>
      <c r="SO19" s="35"/>
      <c r="SP19" s="35"/>
      <c r="SQ19" s="35"/>
      <c r="SR19" s="35"/>
      <c r="SS19" s="35"/>
      <c r="ST19" s="35"/>
      <c r="SU19" s="35"/>
      <c r="SV19" s="35"/>
      <c r="SW19" s="35"/>
      <c r="SX19" s="35"/>
      <c r="SY19" s="35"/>
      <c r="SZ19" s="35"/>
      <c r="TA19" s="35"/>
      <c r="TB19" s="35"/>
      <c r="TC19" s="35"/>
      <c r="TD19" s="35"/>
      <c r="TE19" s="35"/>
      <c r="TF19" s="35"/>
      <c r="TG19" s="35"/>
      <c r="TH19" s="35"/>
      <c r="TI19" s="35"/>
      <c r="TJ19" s="35"/>
      <c r="TK19" s="35"/>
      <c r="TL19" s="35"/>
      <c r="TM19" s="35"/>
      <c r="TN19" s="35"/>
      <c r="TO19" s="35"/>
      <c r="TP19" s="35"/>
      <c r="TQ19" s="35"/>
      <c r="TR19" s="35"/>
      <c r="TS19" s="35"/>
      <c r="TT19" s="35"/>
      <c r="TU19" s="35"/>
      <c r="TV19" s="35"/>
      <c r="TW19" s="35"/>
      <c r="TX19" s="35"/>
      <c r="TY19" s="35"/>
      <c r="TZ19" s="35"/>
      <c r="UA19" s="35"/>
      <c r="UB19" s="35"/>
      <c r="UC19" s="35"/>
      <c r="UD19" s="35"/>
      <c r="UE19" s="35"/>
      <c r="UF19" s="35"/>
      <c r="UG19" s="35"/>
      <c r="UH19" s="35"/>
      <c r="UI19" s="35"/>
      <c r="UJ19" s="35"/>
      <c r="UK19" s="35"/>
      <c r="UL19" s="35"/>
      <c r="UM19" s="35"/>
      <c r="UN19" s="35"/>
      <c r="UO19" s="35"/>
      <c r="UP19" s="35"/>
      <c r="UQ19" s="35"/>
      <c r="UR19" s="35"/>
      <c r="US19" s="35"/>
      <c r="UT19" s="35"/>
      <c r="UU19" s="35"/>
      <c r="UV19" s="35"/>
      <c r="UW19" s="35"/>
      <c r="UX19" s="35"/>
      <c r="UY19" s="35"/>
      <c r="UZ19" s="35"/>
      <c r="VA19" s="35"/>
      <c r="VB19" s="35"/>
      <c r="VC19" s="35"/>
      <c r="VD19" s="35"/>
      <c r="VE19" s="35"/>
      <c r="VF19" s="35"/>
      <c r="VG19" s="35"/>
      <c r="VH19" s="35"/>
      <c r="VI19" s="35"/>
      <c r="VJ19" s="35"/>
      <c r="VK19" s="35"/>
      <c r="VL19" s="35"/>
      <c r="VM19" s="35"/>
      <c r="VN19" s="35"/>
      <c r="VO19" s="35"/>
      <c r="VP19" s="35"/>
      <c r="VQ19" s="35"/>
      <c r="VR19" s="35"/>
      <c r="VS19" s="35"/>
      <c r="VT19" s="35"/>
      <c r="VU19" s="35"/>
      <c r="VV19" s="35"/>
      <c r="VW19" s="35"/>
      <c r="VX19" s="35"/>
      <c r="VY19" s="35"/>
      <c r="VZ19" s="35"/>
      <c r="WA19" s="35"/>
      <c r="WB19" s="35"/>
      <c r="WC19" s="35"/>
      <c r="WD19" s="35"/>
      <c r="WE19" s="35"/>
      <c r="WF19" s="35"/>
      <c r="WG19" s="35"/>
      <c r="WH19" s="35"/>
      <c r="WI19" s="35"/>
      <c r="WJ19" s="35"/>
      <c r="WK19" s="35"/>
      <c r="WL19" s="35"/>
      <c r="WM19" s="35"/>
      <c r="WN19" s="35"/>
      <c r="WO19" s="35"/>
      <c r="WP19" s="35"/>
      <c r="WQ19" s="35"/>
      <c r="WR19" s="35"/>
      <c r="WS19" s="35"/>
      <c r="WT19" s="35"/>
      <c r="WU19" s="35"/>
      <c r="WV19" s="35"/>
      <c r="WW19" s="35"/>
      <c r="WX19" s="35"/>
      <c r="WY19" s="35"/>
      <c r="WZ19" s="35"/>
      <c r="XA19" s="35"/>
      <c r="XB19" s="35"/>
      <c r="XC19" s="35"/>
      <c r="XD19" s="35"/>
      <c r="XE19" s="35"/>
      <c r="XF19" s="35"/>
      <c r="XG19" s="35"/>
      <c r="XH19" s="35"/>
      <c r="XI19" s="35"/>
      <c r="XJ19" s="35"/>
      <c r="XK19" s="35"/>
      <c r="XL19" s="35"/>
      <c r="XM19" s="35"/>
      <c r="XN19" s="35"/>
      <c r="XO19" s="35"/>
      <c r="XP19" s="35"/>
      <c r="XQ19" s="35"/>
      <c r="XR19" s="35"/>
      <c r="XS19" s="35"/>
      <c r="XT19" s="35"/>
      <c r="XU19" s="35"/>
      <c r="XV19" s="35"/>
      <c r="XW19" s="35"/>
      <c r="XX19" s="35"/>
      <c r="XY19" s="35"/>
      <c r="XZ19" s="35"/>
      <c r="YA19" s="35"/>
      <c r="YB19" s="35"/>
      <c r="YC19" s="35"/>
      <c r="YD19" s="35"/>
      <c r="YE19" s="35"/>
      <c r="YF19" s="35"/>
      <c r="YG19" s="35"/>
      <c r="YH19" s="35"/>
      <c r="YI19" s="35"/>
      <c r="YJ19" s="35"/>
      <c r="YK19" s="35"/>
      <c r="YL19" s="35"/>
      <c r="YM19" s="35"/>
      <c r="YN19" s="35"/>
      <c r="YO19" s="35"/>
      <c r="YP19" s="35"/>
      <c r="YQ19" s="35"/>
      <c r="YR19" s="35"/>
      <c r="YS19" s="35"/>
      <c r="YT19" s="35"/>
      <c r="YU19" s="35"/>
      <c r="YV19" s="35"/>
      <c r="YW19" s="35"/>
      <c r="YX19" s="35"/>
      <c r="YY19" s="35"/>
      <c r="YZ19" s="35"/>
      <c r="ZA19" s="35"/>
      <c r="ZB19" s="35"/>
      <c r="ZC19" s="35"/>
      <c r="ZD19" s="35"/>
      <c r="ZE19" s="35"/>
      <c r="ZF19" s="35"/>
      <c r="ZG19" s="35"/>
      <c r="ZH19" s="35"/>
      <c r="ZI19" s="35"/>
      <c r="ZJ19" s="35"/>
      <c r="ZK19" s="35"/>
      <c r="ZL19" s="35"/>
      <c r="ZM19" s="35"/>
      <c r="ZN19" s="35"/>
      <c r="ZO19" s="35"/>
      <c r="ZP19" s="35"/>
      <c r="ZQ19" s="35"/>
      <c r="ZR19" s="35"/>
      <c r="ZS19" s="35"/>
      <c r="ZT19" s="35"/>
      <c r="ZU19" s="35"/>
      <c r="ZV19" s="35"/>
      <c r="ZW19" s="35"/>
      <c r="ZX19" s="35"/>
      <c r="ZY19" s="35"/>
      <c r="ZZ19" s="35"/>
      <c r="AAA19" s="35"/>
      <c r="AAB19" s="35"/>
      <c r="AAC19" s="35"/>
      <c r="AAD19" s="35"/>
      <c r="AAE19" s="35"/>
      <c r="AAF19" s="35"/>
      <c r="AAG19" s="35"/>
      <c r="AAH19" s="35"/>
      <c r="AAI19" s="35"/>
      <c r="AAJ19" s="35"/>
      <c r="AAK19" s="35"/>
      <c r="AAL19" s="35"/>
      <c r="AAM19" s="35"/>
      <c r="AAN19" s="35"/>
      <c r="AAO19" s="35"/>
      <c r="AAP19" s="35"/>
      <c r="AAQ19" s="35"/>
      <c r="AAR19" s="35"/>
      <c r="AAS19" s="35"/>
      <c r="AAT19" s="35"/>
      <c r="AAU19" s="35"/>
      <c r="AAV19" s="35"/>
      <c r="AAW19" s="35"/>
      <c r="AAX19" s="35"/>
      <c r="AAY19" s="35"/>
      <c r="AAZ19" s="35"/>
      <c r="ABA19" s="35"/>
      <c r="ABB19" s="35"/>
      <c r="ABC19" s="35"/>
      <c r="ABD19" s="35"/>
      <c r="ABE19" s="35"/>
      <c r="ABF19" s="35"/>
      <c r="ABG19" s="35"/>
      <c r="ABH19" s="35"/>
      <c r="ABI19" s="35"/>
      <c r="ABJ19" s="35"/>
      <c r="ABK19" s="35"/>
      <c r="ABL19" s="35"/>
      <c r="ABM19" s="35"/>
      <c r="ABN19" s="35"/>
      <c r="ABO19" s="35"/>
      <c r="ABP19" s="35"/>
      <c r="ABQ19" s="35"/>
      <c r="ABR19" s="35"/>
      <c r="ABS19" s="35"/>
      <c r="ABT19" s="35"/>
      <c r="ABU19" s="35"/>
      <c r="ABV19" s="35"/>
      <c r="ABW19" s="35"/>
      <c r="ABX19" s="35"/>
      <c r="ABY19" s="35"/>
      <c r="ABZ19" s="35"/>
      <c r="ACA19" s="35"/>
      <c r="ACB19" s="35"/>
      <c r="ACC19" s="35"/>
      <c r="ACD19" s="35"/>
      <c r="ACE19" s="35"/>
      <c r="ACF19" s="35"/>
      <c r="ACG19" s="35"/>
      <c r="ACH19" s="35"/>
      <c r="ACI19" s="35"/>
      <c r="ACJ19" s="35"/>
      <c r="ACK19" s="35"/>
      <c r="ACL19" s="35"/>
      <c r="ACM19" s="35"/>
      <c r="ACN19" s="35"/>
      <c r="ACO19" s="35"/>
      <c r="ACP19" s="35"/>
      <c r="ACQ19" s="35"/>
      <c r="ACR19" s="35"/>
      <c r="ACS19" s="35"/>
      <c r="ACT19" s="35"/>
      <c r="ACU19" s="35"/>
      <c r="ACV19" s="35"/>
      <c r="ACW19" s="35"/>
      <c r="ACX19" s="35"/>
      <c r="ACY19" s="35"/>
      <c r="ACZ19" s="35"/>
      <c r="ADA19" s="35"/>
      <c r="ADB19" s="35"/>
      <c r="ADC19" s="35"/>
      <c r="ADD19" s="35"/>
      <c r="ADE19" s="35"/>
      <c r="ADF19" s="35"/>
      <c r="ADG19" s="35"/>
      <c r="ADH19" s="35"/>
      <c r="ADI19" s="35"/>
      <c r="ADJ19" s="35"/>
      <c r="ADK19" s="35"/>
      <c r="ADL19" s="35"/>
      <c r="ADM19" s="35"/>
      <c r="ADN19" s="35"/>
      <c r="ADO19" s="35"/>
      <c r="ADP19" s="35"/>
      <c r="ADQ19" s="35"/>
      <c r="ADR19" s="35"/>
      <c r="ADS19" s="35"/>
      <c r="ADT19" s="35"/>
      <c r="ADU19" s="35"/>
      <c r="ADV19" s="35"/>
      <c r="ADW19" s="35"/>
      <c r="ADX19" s="35"/>
      <c r="ADY19" s="35"/>
      <c r="ADZ19" s="35"/>
      <c r="AEA19" s="35"/>
      <c r="AEB19" s="35"/>
      <c r="AEC19" s="35"/>
      <c r="AED19" s="35"/>
      <c r="AEE19" s="35"/>
      <c r="AEF19" s="35"/>
      <c r="AEG19" s="35"/>
      <c r="AEH19" s="35"/>
      <c r="AEI19" s="35"/>
      <c r="AEJ19" s="35"/>
      <c r="AEK19" s="35"/>
      <c r="AEL19" s="35"/>
      <c r="AEM19" s="35"/>
      <c r="AEN19" s="35"/>
      <c r="AEO19" s="35"/>
      <c r="AEP19" s="35"/>
      <c r="AEQ19" s="35"/>
      <c r="AER19" s="35"/>
      <c r="AES19" s="35"/>
      <c r="AET19" s="35"/>
      <c r="AEU19" s="35"/>
      <c r="AEV19" s="35"/>
      <c r="AEW19" s="35"/>
      <c r="AEX19" s="35"/>
      <c r="AEY19" s="35"/>
      <c r="AEZ19" s="35"/>
      <c r="AFA19" s="35"/>
      <c r="AFB19" s="35"/>
      <c r="AFC19" s="35"/>
      <c r="AFD19" s="35"/>
      <c r="AFE19" s="35"/>
      <c r="AFF19" s="35"/>
      <c r="AFG19" s="35"/>
      <c r="AFH19" s="35"/>
      <c r="AFI19" s="35"/>
      <c r="AFJ19" s="35"/>
      <c r="AFK19" s="35"/>
      <c r="AFL19" s="35"/>
      <c r="AFM19" s="35"/>
      <c r="AFN19" s="35"/>
      <c r="AFO19" s="35"/>
      <c r="AFP19" s="35"/>
      <c r="AFQ19" s="35"/>
      <c r="AFR19" s="35"/>
      <c r="AFS19" s="35"/>
      <c r="AFT19" s="35"/>
      <c r="AFU19" s="35"/>
      <c r="AFV19" s="35"/>
      <c r="AFW19" s="35"/>
      <c r="AFX19" s="35"/>
      <c r="AFY19" s="35"/>
      <c r="AFZ19" s="35"/>
      <c r="AGA19" s="35"/>
      <c r="AGB19" s="35"/>
      <c r="AGC19" s="35"/>
      <c r="AGD19" s="35"/>
      <c r="AGE19" s="35"/>
      <c r="AGF19" s="35"/>
      <c r="AGG19" s="35"/>
      <c r="AGH19" s="35"/>
      <c r="AGI19" s="35"/>
      <c r="AGJ19" s="35"/>
      <c r="AGK19" s="35"/>
      <c r="AGL19" s="35"/>
      <c r="AGM19" s="35"/>
      <c r="AGN19" s="35"/>
      <c r="AGO19" s="35"/>
      <c r="AGP19" s="35"/>
      <c r="AGQ19" s="35"/>
      <c r="AGR19" s="35"/>
      <c r="AGS19" s="35"/>
      <c r="AGT19" s="35"/>
      <c r="AGU19" s="35"/>
      <c r="AGV19" s="35"/>
      <c r="AGW19" s="35"/>
      <c r="AGX19" s="35"/>
      <c r="AGY19" s="35"/>
      <c r="AGZ19" s="35"/>
      <c r="AHA19" s="35"/>
      <c r="AHB19" s="35"/>
      <c r="AHC19" s="35"/>
      <c r="AHD19" s="35"/>
      <c r="AHE19" s="35"/>
      <c r="AHF19" s="35"/>
      <c r="AHG19" s="35"/>
      <c r="AHH19" s="35"/>
      <c r="AHI19" s="35"/>
      <c r="AHJ19" s="35"/>
      <c r="AHK19" s="35"/>
      <c r="AHL19" s="35"/>
      <c r="AHM19" s="35"/>
      <c r="AHN19" s="35"/>
      <c r="AHO19" s="35"/>
      <c r="AHP19" s="35"/>
      <c r="AHQ19" s="35"/>
      <c r="AHR19" s="35"/>
      <c r="AHS19" s="35"/>
      <c r="AHT19" s="35"/>
      <c r="AHU19" s="35"/>
      <c r="AHV19" s="35"/>
      <c r="AHW19" s="35"/>
      <c r="AHX19" s="35"/>
      <c r="AHY19" s="35"/>
      <c r="AHZ19" s="35"/>
      <c r="AIA19" s="35"/>
      <c r="AIB19" s="35"/>
      <c r="AIC19" s="35"/>
      <c r="AID19" s="35"/>
      <c r="AIE19" s="35"/>
      <c r="AIF19" s="35"/>
      <c r="AIG19" s="35"/>
      <c r="AIH19" s="35"/>
      <c r="AII19" s="35"/>
      <c r="AIJ19" s="35"/>
      <c r="AIK19" s="35"/>
      <c r="AIL19" s="35"/>
      <c r="AIM19" s="35"/>
      <c r="AIN19" s="35"/>
      <c r="AIO19" s="35"/>
      <c r="AIP19" s="35"/>
      <c r="AIQ19" s="35"/>
      <c r="AIR19" s="35"/>
      <c r="AIS19" s="35"/>
      <c r="AIT19" s="35"/>
      <c r="AIU19" s="35"/>
      <c r="AIV19" s="35"/>
      <c r="AIW19" s="35"/>
      <c r="AIX19" s="35"/>
      <c r="AIY19" s="35"/>
      <c r="AIZ19" s="35"/>
      <c r="AJA19" s="35"/>
      <c r="AJB19" s="35"/>
      <c r="AJC19" s="35"/>
      <c r="AJD19" s="35"/>
      <c r="AJE19" s="35"/>
      <c r="AJF19" s="35"/>
      <c r="AJG19" s="35"/>
      <c r="AJH19" s="35"/>
      <c r="AJI19" s="35"/>
      <c r="AJJ19" s="35"/>
      <c r="AJK19" s="35"/>
      <c r="AJL19" s="35"/>
      <c r="AJM19" s="35"/>
      <c r="AJN19" s="35"/>
      <c r="AJO19" s="35"/>
      <c r="AJP19" s="35"/>
      <c r="AJQ19" s="35"/>
      <c r="AJR19" s="35"/>
      <c r="AJS19" s="35"/>
      <c r="AJT19" s="35"/>
      <c r="AJU19" s="35"/>
      <c r="AJV19" s="35"/>
      <c r="AJW19" s="35"/>
      <c r="AJX19" s="35"/>
      <c r="AJY19" s="35"/>
      <c r="AJZ19" s="35"/>
      <c r="AKA19" s="35"/>
      <c r="AKB19" s="35"/>
      <c r="AKC19" s="35"/>
      <c r="AKD19" s="35"/>
      <c r="AKE19" s="35"/>
      <c r="AKF19" s="35"/>
      <c r="AKG19" s="35"/>
      <c r="AKH19" s="35"/>
      <c r="AKI19" s="35"/>
      <c r="AKJ19" s="35"/>
      <c r="AKK19" s="35"/>
      <c r="AKL19" s="35"/>
      <c r="AKM19" s="35"/>
      <c r="AKN19" s="35"/>
      <c r="AKO19" s="35"/>
      <c r="AKP19" s="35"/>
      <c r="AKQ19" s="35"/>
      <c r="AKR19" s="35"/>
      <c r="AKS19" s="35"/>
      <c r="AKT19" s="35"/>
      <c r="AKU19" s="35"/>
      <c r="AKV19" s="35"/>
      <c r="AKW19" s="35"/>
      <c r="AKX19" s="35"/>
      <c r="AKY19" s="35"/>
      <c r="AKZ19" s="35"/>
      <c r="ALA19" s="35"/>
      <c r="ALB19" s="35"/>
      <c r="ALC19" s="35"/>
      <c r="ALD19" s="35"/>
      <c r="ALE19" s="35"/>
      <c r="ALF19" s="35"/>
      <c r="ALG19" s="35"/>
      <c r="ALH19" s="35"/>
      <c r="ALI19" s="35"/>
      <c r="ALJ19" s="35"/>
      <c r="ALK19" s="35"/>
      <c r="ALL19" s="35"/>
      <c r="ALM19" s="35"/>
      <c r="ALN19" s="35"/>
      <c r="ALO19" s="35"/>
      <c r="ALP19" s="35"/>
      <c r="ALQ19" s="35"/>
      <c r="ALR19" s="35"/>
      <c r="ALS19" s="35"/>
      <c r="ALT19" s="35"/>
      <c r="ALU19" s="35"/>
      <c r="ALV19" s="35"/>
      <c r="ALW19" s="35"/>
      <c r="ALX19" s="35"/>
      <c r="ALY19" s="35"/>
      <c r="ALZ19" s="35"/>
      <c r="AMA19" s="35"/>
      <c r="AMB19" s="35"/>
      <c r="AMC19" s="35"/>
      <c r="AMD19" s="35"/>
      <c r="AME19" s="35"/>
      <c r="AMF19" s="35"/>
      <c r="AMG19" s="35"/>
      <c r="AMH19" s="35"/>
      <c r="AMI19" s="35"/>
      <c r="AMJ19" s="35"/>
      <c r="AMK19" s="35"/>
      <c r="AML19" s="35"/>
      <c r="AMM19" s="35"/>
      <c r="AMN19" s="35"/>
      <c r="AMO19" s="35"/>
      <c r="AMP19" s="35"/>
      <c r="AMQ19" s="35"/>
      <c r="AMR19" s="35"/>
      <c r="AMS19" s="35"/>
      <c r="AMT19" s="35"/>
      <c r="AMU19" s="35"/>
      <c r="AMV19" s="35"/>
      <c r="AMW19" s="35"/>
      <c r="AMX19" s="35"/>
      <c r="AMY19" s="35"/>
      <c r="AMZ19" s="35"/>
      <c r="ANA19" s="35"/>
    </row>
    <row r="20" customFormat="false" ht="12.8" hidden="true" customHeight="true" outlineLevel="1" collapsed="false">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c r="BK20" s="40"/>
      <c r="BL20" s="40"/>
      <c r="BM20" s="40"/>
      <c r="BN20" s="40"/>
      <c r="BO20" s="40"/>
      <c r="BP20" s="40"/>
      <c r="BQ20" s="40"/>
      <c r="BR20" s="40"/>
      <c r="BS20" s="40"/>
      <c r="BT20" s="40"/>
      <c r="BU20" s="40"/>
      <c r="BV20" s="40"/>
      <c r="BW20" s="40" t="s">
        <v>364</v>
      </c>
      <c r="BX20" s="35"/>
      <c r="BY20" s="35"/>
      <c r="BZ20" s="35"/>
      <c r="CA20" s="35"/>
      <c r="CB20" s="35"/>
      <c r="CC20" s="35"/>
      <c r="CD20" s="35"/>
      <c r="CE20" s="35"/>
      <c r="CF20" s="35"/>
      <c r="CG20" s="35"/>
      <c r="CH20" s="35"/>
      <c r="CI20" s="35"/>
      <c r="CJ20" s="35"/>
      <c r="CK20" s="35"/>
      <c r="CL20" s="35"/>
      <c r="CM20" s="35"/>
      <c r="CN20" s="35"/>
      <c r="CO20" s="35"/>
      <c r="CP20" s="35"/>
      <c r="CQ20" s="35"/>
      <c r="CR20" s="35"/>
      <c r="CS20" s="35"/>
      <c r="CT20" s="35"/>
      <c r="CU20" s="35"/>
      <c r="CV20" s="35"/>
      <c r="CW20" s="35"/>
      <c r="CX20" s="35"/>
      <c r="CY20" s="35"/>
      <c r="CZ20" s="35"/>
      <c r="DA20" s="35"/>
      <c r="DB20" s="35"/>
      <c r="DC20" s="35"/>
      <c r="DD20" s="35"/>
      <c r="DE20" s="35"/>
      <c r="DF20" s="35"/>
      <c r="DG20" s="35"/>
      <c r="DH20" s="35"/>
      <c r="DI20" s="35"/>
      <c r="DJ20" s="35"/>
      <c r="DK20" s="35"/>
      <c r="DL20" s="35"/>
      <c r="DM20" s="35"/>
      <c r="DN20" s="35"/>
      <c r="DO20" s="35"/>
      <c r="DP20" s="35"/>
      <c r="DQ20" s="35"/>
      <c r="DR20" s="35"/>
      <c r="DS20" s="35"/>
      <c r="DT20" s="35"/>
      <c r="DU20" s="35"/>
      <c r="DV20" s="35"/>
      <c r="DW20" s="35"/>
      <c r="DX20" s="35"/>
      <c r="DY20" s="35"/>
      <c r="DZ20" s="35"/>
      <c r="EA20" s="35"/>
      <c r="EB20" s="35"/>
      <c r="EC20" s="35"/>
      <c r="ED20" s="35"/>
      <c r="EE20" s="35"/>
      <c r="EF20" s="35"/>
      <c r="EG20" s="35"/>
      <c r="EH20" s="35"/>
      <c r="EI20" s="35"/>
      <c r="EJ20" s="35"/>
      <c r="EK20" s="35"/>
      <c r="EL20" s="35"/>
      <c r="EM20" s="35"/>
      <c r="EN20" s="35"/>
      <c r="EO20" s="35"/>
      <c r="EP20" s="35"/>
      <c r="EQ20" s="35"/>
      <c r="ER20" s="35"/>
      <c r="ES20" s="35"/>
      <c r="ET20" s="35"/>
      <c r="EU20" s="35"/>
      <c r="EV20" s="35"/>
      <c r="EW20" s="35"/>
      <c r="EX20" s="35"/>
      <c r="EY20" s="35"/>
      <c r="EZ20" s="35"/>
      <c r="FA20" s="35"/>
      <c r="FB20" s="35"/>
      <c r="FC20" s="35"/>
      <c r="FD20" s="35"/>
      <c r="FE20" s="35"/>
      <c r="FF20" s="35"/>
      <c r="FG20" s="35"/>
      <c r="FH20" s="35"/>
      <c r="FI20" s="35"/>
      <c r="FJ20" s="35"/>
      <c r="FK20" s="35"/>
      <c r="FL20" s="35"/>
      <c r="FM20" s="35"/>
      <c r="FN20" s="35"/>
      <c r="FO20" s="35"/>
      <c r="FP20" s="35"/>
      <c r="FQ20" s="35"/>
      <c r="FR20" s="35"/>
      <c r="FS20" s="35"/>
      <c r="FT20" s="35"/>
      <c r="FU20" s="35"/>
      <c r="FV20" s="35"/>
      <c r="FW20" s="35"/>
      <c r="FX20" s="35"/>
      <c r="FY20" s="35"/>
      <c r="FZ20" s="35"/>
      <c r="GA20" s="35"/>
      <c r="GB20" s="35"/>
      <c r="GC20" s="35"/>
      <c r="GD20" s="35"/>
      <c r="GE20" s="35"/>
      <c r="GF20" s="35"/>
      <c r="GG20" s="35"/>
      <c r="GH20" s="35"/>
      <c r="GI20" s="35"/>
      <c r="GJ20" s="35"/>
      <c r="GK20" s="35"/>
      <c r="GL20" s="35"/>
      <c r="GM20" s="35"/>
      <c r="GN20" s="35"/>
      <c r="GO20" s="35"/>
      <c r="GP20" s="35"/>
      <c r="GQ20" s="35"/>
      <c r="GR20" s="35"/>
      <c r="GS20" s="35"/>
      <c r="GT20" s="35"/>
      <c r="GU20" s="35"/>
      <c r="GV20" s="35"/>
      <c r="GW20" s="35"/>
      <c r="GX20" s="35"/>
      <c r="GY20" s="35"/>
      <c r="GZ20" s="35"/>
      <c r="HA20" s="35"/>
      <c r="HB20" s="35"/>
      <c r="HC20" s="35"/>
      <c r="HD20" s="35"/>
      <c r="HE20" s="35"/>
      <c r="HF20" s="35"/>
      <c r="HG20" s="35"/>
      <c r="HH20" s="35"/>
      <c r="HI20" s="35"/>
      <c r="HJ20" s="35"/>
      <c r="HK20" s="35"/>
      <c r="HL20" s="35"/>
      <c r="HM20" s="35"/>
      <c r="HN20" s="35"/>
      <c r="HO20" s="35"/>
      <c r="HP20" s="35"/>
      <c r="HQ20" s="35"/>
      <c r="HR20" s="35"/>
      <c r="HS20" s="35"/>
      <c r="HT20" s="35"/>
      <c r="HU20" s="35"/>
      <c r="HV20" s="35"/>
      <c r="HW20" s="35"/>
      <c r="HX20" s="35"/>
      <c r="HY20" s="35"/>
      <c r="HZ20" s="35"/>
      <c r="IA20" s="35"/>
      <c r="IB20" s="35"/>
      <c r="IC20" s="35"/>
      <c r="ID20" s="35"/>
      <c r="IE20" s="35"/>
      <c r="IF20" s="35"/>
      <c r="IG20" s="35"/>
      <c r="IH20" s="35"/>
      <c r="II20" s="35"/>
      <c r="IJ20" s="35"/>
      <c r="IK20" s="35"/>
      <c r="IL20" s="35"/>
      <c r="IM20" s="35"/>
      <c r="IN20" s="35"/>
      <c r="IO20" s="35"/>
      <c r="IP20" s="35"/>
      <c r="IQ20" s="35"/>
      <c r="IR20" s="35"/>
      <c r="IS20" s="35"/>
      <c r="IT20" s="35"/>
      <c r="IU20" s="35"/>
      <c r="IV20" s="35"/>
      <c r="IW20" s="35"/>
      <c r="IX20" s="35"/>
      <c r="IY20" s="35"/>
      <c r="IZ20" s="35"/>
      <c r="JA20" s="35"/>
      <c r="JB20" s="35"/>
      <c r="JC20" s="35"/>
      <c r="JD20" s="35"/>
      <c r="JE20" s="35"/>
      <c r="JF20" s="35"/>
      <c r="JG20" s="35"/>
      <c r="JH20" s="35"/>
      <c r="JI20" s="35"/>
      <c r="JJ20" s="35"/>
      <c r="JK20" s="35"/>
      <c r="JL20" s="35"/>
      <c r="JM20" s="35"/>
      <c r="JN20" s="35"/>
      <c r="JO20" s="35"/>
      <c r="JP20" s="35"/>
      <c r="JQ20" s="35"/>
      <c r="JR20" s="35"/>
      <c r="JS20" s="35"/>
      <c r="JT20" s="35"/>
      <c r="JU20" s="35"/>
      <c r="JV20" s="35"/>
      <c r="JW20" s="35"/>
      <c r="JX20" s="35"/>
      <c r="JY20" s="35"/>
      <c r="JZ20" s="35"/>
      <c r="KA20" s="35"/>
      <c r="KB20" s="35"/>
      <c r="KC20" s="35"/>
      <c r="KD20" s="35"/>
      <c r="KE20" s="35"/>
      <c r="KF20" s="35"/>
      <c r="KG20" s="35"/>
      <c r="KH20" s="35"/>
      <c r="KI20" s="35"/>
      <c r="KJ20" s="35"/>
      <c r="KK20" s="35"/>
      <c r="KL20" s="35"/>
      <c r="KM20" s="35"/>
      <c r="KN20" s="35"/>
      <c r="KO20" s="35"/>
      <c r="KP20" s="35"/>
      <c r="KQ20" s="35"/>
      <c r="KR20" s="35"/>
      <c r="KS20" s="35"/>
      <c r="KT20" s="35"/>
      <c r="KU20" s="35"/>
      <c r="KV20" s="35"/>
      <c r="KW20" s="35"/>
      <c r="KX20" s="35"/>
      <c r="KY20" s="35"/>
      <c r="KZ20" s="35"/>
      <c r="LA20" s="35"/>
      <c r="LB20" s="35"/>
      <c r="LC20" s="35"/>
      <c r="LD20" s="35"/>
      <c r="LE20" s="35"/>
      <c r="LF20" s="35"/>
      <c r="LG20" s="35"/>
      <c r="LH20" s="35"/>
      <c r="LI20" s="35"/>
      <c r="LJ20" s="35"/>
      <c r="LK20" s="35"/>
      <c r="LL20" s="35"/>
      <c r="LM20" s="35"/>
      <c r="LN20" s="35"/>
      <c r="LO20" s="35"/>
      <c r="LP20" s="35"/>
      <c r="LQ20" s="35"/>
      <c r="LR20" s="35"/>
      <c r="LS20" s="35"/>
      <c r="LT20" s="35"/>
      <c r="LU20" s="35"/>
      <c r="LV20" s="35"/>
      <c r="LW20" s="35"/>
      <c r="LX20" s="35"/>
      <c r="LY20" s="35"/>
      <c r="LZ20" s="35"/>
      <c r="MA20" s="35"/>
      <c r="MB20" s="35"/>
      <c r="MC20" s="35"/>
      <c r="MD20" s="35"/>
      <c r="ME20" s="35"/>
      <c r="MF20" s="35"/>
      <c r="MG20" s="35"/>
      <c r="MH20" s="35"/>
      <c r="MI20" s="35"/>
      <c r="MJ20" s="35"/>
      <c r="MK20" s="35"/>
      <c r="ML20" s="35"/>
      <c r="MM20" s="35"/>
      <c r="MN20" s="35"/>
      <c r="MO20" s="35"/>
      <c r="MP20" s="35"/>
      <c r="MQ20" s="35"/>
      <c r="MR20" s="35"/>
      <c r="MS20" s="35"/>
      <c r="MT20" s="35"/>
      <c r="MU20" s="35"/>
      <c r="MV20" s="35"/>
      <c r="MW20" s="35"/>
      <c r="MX20" s="35"/>
      <c r="MY20" s="35"/>
      <c r="MZ20" s="35"/>
      <c r="NA20" s="35"/>
      <c r="NB20" s="35"/>
      <c r="NC20" s="35"/>
      <c r="ND20" s="35"/>
      <c r="NE20" s="35"/>
      <c r="NF20" s="35"/>
      <c r="NG20" s="35"/>
      <c r="NH20" s="35"/>
      <c r="NI20" s="35"/>
      <c r="NJ20" s="35"/>
      <c r="NK20" s="35"/>
      <c r="NL20" s="35"/>
      <c r="NM20" s="35"/>
      <c r="NN20" s="35"/>
      <c r="NO20" s="35"/>
      <c r="NP20" s="35"/>
      <c r="NQ20" s="35"/>
      <c r="NR20" s="35"/>
      <c r="NS20" s="35"/>
      <c r="NT20" s="35"/>
      <c r="NU20" s="35"/>
      <c r="NV20" s="35"/>
      <c r="NW20" s="35"/>
      <c r="NX20" s="35"/>
      <c r="NY20" s="35"/>
      <c r="NZ20" s="35"/>
      <c r="OA20" s="35"/>
      <c r="OB20" s="35"/>
      <c r="OC20" s="35"/>
      <c r="OD20" s="35"/>
      <c r="OE20" s="35"/>
      <c r="OF20" s="35"/>
      <c r="OG20" s="35"/>
      <c r="OH20" s="35"/>
      <c r="OI20" s="35"/>
      <c r="OJ20" s="35"/>
      <c r="OK20" s="35"/>
      <c r="OL20" s="35"/>
      <c r="OM20" s="35"/>
      <c r="ON20" s="35"/>
      <c r="OO20" s="35"/>
      <c r="OP20" s="35"/>
      <c r="OQ20" s="35"/>
      <c r="OR20" s="35"/>
      <c r="OS20" s="35"/>
      <c r="OT20" s="35"/>
      <c r="OU20" s="35"/>
      <c r="OV20" s="35"/>
      <c r="OW20" s="35"/>
      <c r="OX20" s="35"/>
      <c r="OY20" s="35"/>
      <c r="OZ20" s="35"/>
      <c r="PA20" s="35"/>
      <c r="PB20" s="35"/>
      <c r="PC20" s="35"/>
      <c r="PD20" s="35"/>
      <c r="PE20" s="35"/>
      <c r="PF20" s="35"/>
      <c r="PG20" s="35"/>
      <c r="PH20" s="35"/>
      <c r="PI20" s="35"/>
      <c r="PJ20" s="35"/>
      <c r="PK20" s="35"/>
      <c r="PL20" s="35"/>
      <c r="PM20" s="35"/>
      <c r="PN20" s="35"/>
      <c r="PO20" s="35"/>
      <c r="PP20" s="35"/>
      <c r="PQ20" s="35"/>
      <c r="PR20" s="35"/>
      <c r="PS20" s="35"/>
      <c r="PT20" s="35"/>
      <c r="PU20" s="35"/>
      <c r="PV20" s="35"/>
      <c r="PW20" s="35"/>
      <c r="PX20" s="35"/>
      <c r="PY20" s="35"/>
      <c r="PZ20" s="35"/>
      <c r="QA20" s="35"/>
      <c r="QB20" s="35"/>
      <c r="QC20" s="35"/>
      <c r="QD20" s="35"/>
      <c r="QE20" s="35"/>
      <c r="QF20" s="35"/>
      <c r="QG20" s="35"/>
      <c r="QH20" s="35"/>
      <c r="QI20" s="35"/>
      <c r="QJ20" s="35"/>
      <c r="QK20" s="35"/>
      <c r="QL20" s="35"/>
      <c r="QM20" s="35"/>
      <c r="QN20" s="35"/>
      <c r="QO20" s="35"/>
      <c r="QP20" s="35"/>
      <c r="QQ20" s="35"/>
      <c r="QR20" s="35"/>
      <c r="QS20" s="35"/>
      <c r="QT20" s="35"/>
      <c r="QU20" s="35"/>
      <c r="QV20" s="35"/>
      <c r="QW20" s="35"/>
      <c r="QX20" s="35"/>
      <c r="QY20" s="35"/>
      <c r="QZ20" s="35"/>
      <c r="RA20" s="35"/>
      <c r="RB20" s="35"/>
      <c r="RC20" s="35"/>
      <c r="RD20" s="35"/>
      <c r="RE20" s="35"/>
      <c r="RF20" s="35"/>
      <c r="RG20" s="35"/>
      <c r="RH20" s="35"/>
      <c r="RI20" s="35"/>
      <c r="RJ20" s="35"/>
      <c r="RK20" s="35"/>
      <c r="RL20" s="35"/>
      <c r="RM20" s="35"/>
      <c r="RN20" s="35"/>
      <c r="RO20" s="35"/>
      <c r="RP20" s="35"/>
      <c r="RQ20" s="35"/>
      <c r="RR20" s="35"/>
      <c r="RS20" s="35"/>
      <c r="RT20" s="35"/>
      <c r="RU20" s="35"/>
      <c r="RV20" s="35"/>
      <c r="RW20" s="35"/>
      <c r="RX20" s="35"/>
      <c r="RY20" s="35"/>
      <c r="RZ20" s="35"/>
      <c r="SA20" s="35"/>
      <c r="SB20" s="35"/>
      <c r="SC20" s="35"/>
      <c r="SD20" s="35"/>
      <c r="SE20" s="35"/>
      <c r="SF20" s="35"/>
      <c r="SG20" s="35"/>
      <c r="SH20" s="35"/>
      <c r="SI20" s="35"/>
      <c r="SJ20" s="35"/>
      <c r="SK20" s="35"/>
      <c r="SL20" s="35"/>
      <c r="SM20" s="35"/>
      <c r="SN20" s="35"/>
      <c r="SO20" s="35"/>
      <c r="SP20" s="35"/>
      <c r="SQ20" s="35"/>
      <c r="SR20" s="35"/>
      <c r="SS20" s="35"/>
      <c r="ST20" s="35"/>
      <c r="SU20" s="35"/>
      <c r="SV20" s="35"/>
      <c r="SW20" s="35"/>
      <c r="SX20" s="35"/>
      <c r="SY20" s="35"/>
      <c r="SZ20" s="35"/>
      <c r="TA20" s="35"/>
      <c r="TB20" s="35"/>
      <c r="TC20" s="35"/>
      <c r="TD20" s="35"/>
      <c r="TE20" s="35"/>
      <c r="TF20" s="35"/>
      <c r="TG20" s="35"/>
      <c r="TH20" s="35"/>
      <c r="TI20" s="35"/>
      <c r="TJ20" s="35"/>
      <c r="TK20" s="35"/>
      <c r="TL20" s="35"/>
      <c r="TM20" s="35"/>
      <c r="TN20" s="35"/>
      <c r="TO20" s="35"/>
      <c r="TP20" s="35"/>
      <c r="TQ20" s="35"/>
      <c r="TR20" s="35"/>
      <c r="TS20" s="35"/>
      <c r="TT20" s="35"/>
      <c r="TU20" s="35"/>
      <c r="TV20" s="35"/>
      <c r="TW20" s="35"/>
      <c r="TX20" s="35"/>
      <c r="TY20" s="35"/>
      <c r="TZ20" s="35"/>
      <c r="UA20" s="35"/>
      <c r="UB20" s="35"/>
      <c r="UC20" s="35"/>
      <c r="UD20" s="35"/>
      <c r="UE20" s="35"/>
      <c r="UF20" s="35"/>
      <c r="UG20" s="35"/>
      <c r="UH20" s="35"/>
      <c r="UI20" s="35"/>
      <c r="UJ20" s="35"/>
      <c r="UK20" s="35"/>
      <c r="UL20" s="35"/>
      <c r="UM20" s="35"/>
      <c r="UN20" s="35"/>
      <c r="UO20" s="35"/>
      <c r="UP20" s="35"/>
      <c r="UQ20" s="35"/>
      <c r="UR20" s="35"/>
      <c r="US20" s="35"/>
      <c r="UT20" s="35"/>
      <c r="UU20" s="35"/>
      <c r="UV20" s="35"/>
      <c r="UW20" s="35"/>
      <c r="UX20" s="35"/>
      <c r="UY20" s="35"/>
      <c r="UZ20" s="35"/>
      <c r="VA20" s="35"/>
      <c r="VB20" s="35"/>
      <c r="VC20" s="35"/>
      <c r="VD20" s="35"/>
      <c r="VE20" s="35"/>
      <c r="VF20" s="35"/>
      <c r="VG20" s="35"/>
      <c r="VH20" s="35"/>
      <c r="VI20" s="35"/>
      <c r="VJ20" s="35"/>
      <c r="VK20" s="35"/>
      <c r="VL20" s="35"/>
      <c r="VM20" s="35"/>
      <c r="VN20" s="35"/>
      <c r="VO20" s="35"/>
      <c r="VP20" s="35"/>
      <c r="VQ20" s="35"/>
      <c r="VR20" s="35"/>
      <c r="VS20" s="35"/>
      <c r="VT20" s="35"/>
      <c r="VU20" s="35"/>
      <c r="VV20" s="35"/>
      <c r="VW20" s="35"/>
      <c r="VX20" s="35"/>
      <c r="VY20" s="35"/>
      <c r="VZ20" s="35"/>
      <c r="WA20" s="35"/>
      <c r="WB20" s="35"/>
      <c r="WC20" s="35"/>
      <c r="WD20" s="35"/>
      <c r="WE20" s="35"/>
      <c r="WF20" s="35"/>
      <c r="WG20" s="35"/>
      <c r="WH20" s="35"/>
      <c r="WI20" s="35"/>
      <c r="WJ20" s="35"/>
      <c r="WK20" s="35"/>
      <c r="WL20" s="35"/>
      <c r="WM20" s="35"/>
      <c r="WN20" s="35"/>
      <c r="WO20" s="35"/>
      <c r="WP20" s="35"/>
      <c r="WQ20" s="35"/>
      <c r="WR20" s="35"/>
      <c r="WS20" s="35"/>
      <c r="WT20" s="35"/>
      <c r="WU20" s="35"/>
      <c r="WV20" s="35"/>
      <c r="WW20" s="35"/>
      <c r="WX20" s="35"/>
      <c r="WY20" s="35"/>
      <c r="WZ20" s="35"/>
      <c r="XA20" s="35"/>
      <c r="XB20" s="35"/>
      <c r="XC20" s="35"/>
      <c r="XD20" s="35"/>
      <c r="XE20" s="35"/>
      <c r="XF20" s="35"/>
      <c r="XG20" s="35"/>
      <c r="XH20" s="35"/>
      <c r="XI20" s="35"/>
      <c r="XJ20" s="35"/>
      <c r="XK20" s="35"/>
      <c r="XL20" s="35"/>
      <c r="XM20" s="35"/>
      <c r="XN20" s="35"/>
      <c r="XO20" s="35"/>
      <c r="XP20" s="35"/>
      <c r="XQ20" s="35"/>
      <c r="XR20" s="35"/>
      <c r="XS20" s="35"/>
      <c r="XT20" s="35"/>
      <c r="XU20" s="35"/>
      <c r="XV20" s="35"/>
      <c r="XW20" s="35"/>
      <c r="XX20" s="35"/>
      <c r="XY20" s="35"/>
      <c r="XZ20" s="35"/>
      <c r="YA20" s="35"/>
      <c r="YB20" s="35"/>
      <c r="YC20" s="35"/>
      <c r="YD20" s="35"/>
      <c r="YE20" s="35"/>
      <c r="YF20" s="35"/>
      <c r="YG20" s="35"/>
      <c r="YH20" s="35"/>
      <c r="YI20" s="35"/>
      <c r="YJ20" s="35"/>
      <c r="YK20" s="35"/>
      <c r="YL20" s="35"/>
      <c r="YM20" s="35"/>
      <c r="YN20" s="35"/>
      <c r="YO20" s="35"/>
      <c r="YP20" s="35"/>
      <c r="YQ20" s="35"/>
      <c r="YR20" s="35"/>
      <c r="YS20" s="35"/>
      <c r="YT20" s="35"/>
      <c r="YU20" s="35"/>
      <c r="YV20" s="35"/>
      <c r="YW20" s="35"/>
      <c r="YX20" s="35"/>
      <c r="YY20" s="35"/>
      <c r="YZ20" s="35"/>
      <c r="ZA20" s="35"/>
      <c r="ZB20" s="35"/>
      <c r="ZC20" s="35"/>
      <c r="ZD20" s="35"/>
      <c r="ZE20" s="35"/>
      <c r="ZF20" s="35"/>
      <c r="ZG20" s="35"/>
      <c r="ZH20" s="35"/>
      <c r="ZI20" s="35"/>
      <c r="ZJ20" s="35"/>
      <c r="ZK20" s="35"/>
      <c r="ZL20" s="35"/>
      <c r="ZM20" s="35"/>
      <c r="ZN20" s="35"/>
      <c r="ZO20" s="35"/>
      <c r="ZP20" s="35"/>
      <c r="ZQ20" s="35"/>
      <c r="ZR20" s="35"/>
      <c r="ZS20" s="35"/>
      <c r="ZT20" s="35"/>
      <c r="ZU20" s="35"/>
      <c r="ZV20" s="35"/>
      <c r="ZW20" s="35"/>
      <c r="ZX20" s="35"/>
      <c r="ZY20" s="35"/>
      <c r="ZZ20" s="35"/>
      <c r="AAA20" s="35"/>
      <c r="AAB20" s="35"/>
      <c r="AAC20" s="35"/>
      <c r="AAD20" s="35"/>
      <c r="AAE20" s="35"/>
      <c r="AAF20" s="35"/>
      <c r="AAG20" s="35"/>
      <c r="AAH20" s="35"/>
      <c r="AAI20" s="35"/>
      <c r="AAJ20" s="35"/>
      <c r="AAK20" s="35"/>
      <c r="AAL20" s="35"/>
      <c r="AAM20" s="35"/>
      <c r="AAN20" s="35"/>
      <c r="AAO20" s="35"/>
      <c r="AAP20" s="35"/>
      <c r="AAQ20" s="35"/>
      <c r="AAR20" s="35"/>
      <c r="AAS20" s="35"/>
      <c r="AAT20" s="35"/>
      <c r="AAU20" s="35"/>
      <c r="AAV20" s="35"/>
      <c r="AAW20" s="35"/>
      <c r="AAX20" s="35"/>
      <c r="AAY20" s="35"/>
      <c r="AAZ20" s="35"/>
      <c r="ABA20" s="35"/>
      <c r="ABB20" s="35"/>
      <c r="ABC20" s="35"/>
      <c r="ABD20" s="35"/>
      <c r="ABE20" s="35"/>
      <c r="ABF20" s="35"/>
      <c r="ABG20" s="35"/>
      <c r="ABH20" s="35"/>
      <c r="ABI20" s="35"/>
      <c r="ABJ20" s="35"/>
      <c r="ABK20" s="35"/>
      <c r="ABL20" s="35"/>
      <c r="ABM20" s="35"/>
      <c r="ABN20" s="35"/>
      <c r="ABO20" s="35"/>
      <c r="ABP20" s="35"/>
      <c r="ABQ20" s="35"/>
      <c r="ABR20" s="35"/>
      <c r="ABS20" s="35"/>
      <c r="ABT20" s="35"/>
      <c r="ABU20" s="35"/>
      <c r="ABV20" s="35"/>
      <c r="ABW20" s="35"/>
      <c r="ABX20" s="35"/>
      <c r="ABY20" s="35"/>
      <c r="ABZ20" s="35"/>
      <c r="ACA20" s="35"/>
      <c r="ACB20" s="35"/>
      <c r="ACC20" s="35"/>
      <c r="ACD20" s="35"/>
      <c r="ACE20" s="35"/>
      <c r="ACF20" s="35"/>
      <c r="ACG20" s="35"/>
      <c r="ACH20" s="35"/>
      <c r="ACI20" s="35"/>
      <c r="ACJ20" s="35"/>
      <c r="ACK20" s="35"/>
      <c r="ACL20" s="35"/>
      <c r="ACM20" s="35"/>
      <c r="ACN20" s="35"/>
      <c r="ACO20" s="35"/>
      <c r="ACP20" s="35"/>
      <c r="ACQ20" s="35"/>
      <c r="ACR20" s="35"/>
      <c r="ACS20" s="35"/>
      <c r="ACT20" s="35"/>
      <c r="ACU20" s="35"/>
      <c r="ACV20" s="35"/>
      <c r="ACW20" s="35"/>
      <c r="ACX20" s="35"/>
      <c r="ACY20" s="35"/>
      <c r="ACZ20" s="35"/>
      <c r="ADA20" s="35"/>
      <c r="ADB20" s="35"/>
      <c r="ADC20" s="35"/>
      <c r="ADD20" s="35"/>
      <c r="ADE20" s="35"/>
      <c r="ADF20" s="35"/>
      <c r="ADG20" s="35"/>
      <c r="ADH20" s="35"/>
      <c r="ADI20" s="35"/>
      <c r="ADJ20" s="35"/>
      <c r="ADK20" s="35"/>
      <c r="ADL20" s="35"/>
      <c r="ADM20" s="35"/>
      <c r="ADN20" s="35"/>
      <c r="ADO20" s="35"/>
      <c r="ADP20" s="35"/>
      <c r="ADQ20" s="35"/>
      <c r="ADR20" s="35"/>
      <c r="ADS20" s="35"/>
      <c r="ADT20" s="35"/>
      <c r="ADU20" s="35"/>
      <c r="ADV20" s="35"/>
      <c r="ADW20" s="35"/>
      <c r="ADX20" s="35"/>
      <c r="ADY20" s="35"/>
      <c r="ADZ20" s="35"/>
      <c r="AEA20" s="35"/>
      <c r="AEB20" s="35"/>
      <c r="AEC20" s="35"/>
      <c r="AED20" s="35"/>
      <c r="AEE20" s="35"/>
      <c r="AEF20" s="35"/>
      <c r="AEG20" s="35"/>
      <c r="AEH20" s="35"/>
      <c r="AEI20" s="35"/>
      <c r="AEJ20" s="35"/>
      <c r="AEK20" s="35"/>
      <c r="AEL20" s="35"/>
      <c r="AEM20" s="35"/>
      <c r="AEN20" s="35"/>
      <c r="AEO20" s="35"/>
      <c r="AEP20" s="35"/>
      <c r="AEQ20" s="35"/>
      <c r="AER20" s="35"/>
      <c r="AES20" s="35"/>
      <c r="AET20" s="35"/>
      <c r="AEU20" s="35"/>
      <c r="AEV20" s="35"/>
      <c r="AEW20" s="35"/>
      <c r="AEX20" s="35"/>
      <c r="AEY20" s="35"/>
      <c r="AEZ20" s="35"/>
      <c r="AFA20" s="35"/>
      <c r="AFB20" s="35"/>
      <c r="AFC20" s="35"/>
      <c r="AFD20" s="35"/>
      <c r="AFE20" s="35"/>
      <c r="AFF20" s="35"/>
      <c r="AFG20" s="35"/>
      <c r="AFH20" s="35"/>
      <c r="AFI20" s="35"/>
      <c r="AFJ20" s="35"/>
      <c r="AFK20" s="35"/>
      <c r="AFL20" s="35"/>
      <c r="AFM20" s="35"/>
      <c r="AFN20" s="35"/>
      <c r="AFO20" s="35"/>
      <c r="AFP20" s="35"/>
      <c r="AFQ20" s="35"/>
      <c r="AFR20" s="35"/>
      <c r="AFS20" s="35"/>
      <c r="AFT20" s="35"/>
      <c r="AFU20" s="35"/>
      <c r="AFV20" s="35"/>
      <c r="AFW20" s="35"/>
      <c r="AFX20" s="35"/>
      <c r="AFY20" s="35"/>
      <c r="AFZ20" s="35"/>
      <c r="AGA20" s="35"/>
      <c r="AGB20" s="35"/>
      <c r="AGC20" s="35"/>
      <c r="AGD20" s="35"/>
      <c r="AGE20" s="35"/>
      <c r="AGF20" s="35"/>
      <c r="AGG20" s="35"/>
      <c r="AGH20" s="35"/>
      <c r="AGI20" s="35"/>
      <c r="AGJ20" s="35"/>
      <c r="AGK20" s="35"/>
      <c r="AGL20" s="35"/>
      <c r="AGM20" s="35"/>
      <c r="AGN20" s="35"/>
      <c r="AGO20" s="35"/>
      <c r="AGP20" s="35"/>
      <c r="AGQ20" s="35"/>
      <c r="AGR20" s="35"/>
      <c r="AGS20" s="35"/>
      <c r="AGT20" s="35"/>
      <c r="AGU20" s="35"/>
      <c r="AGV20" s="35"/>
      <c r="AGW20" s="35"/>
      <c r="AGX20" s="35"/>
      <c r="AGY20" s="35"/>
      <c r="AGZ20" s="35"/>
      <c r="AHA20" s="35"/>
      <c r="AHB20" s="35"/>
      <c r="AHC20" s="35"/>
      <c r="AHD20" s="35"/>
      <c r="AHE20" s="35"/>
      <c r="AHF20" s="35"/>
      <c r="AHG20" s="35"/>
      <c r="AHH20" s="35"/>
      <c r="AHI20" s="35"/>
      <c r="AHJ20" s="35"/>
      <c r="AHK20" s="35"/>
      <c r="AHL20" s="35"/>
      <c r="AHM20" s="35"/>
      <c r="AHN20" s="35"/>
      <c r="AHO20" s="35"/>
      <c r="AHP20" s="35"/>
      <c r="AHQ20" s="35"/>
      <c r="AHR20" s="35"/>
      <c r="AHS20" s="35"/>
      <c r="AHT20" s="35"/>
      <c r="AHU20" s="35"/>
      <c r="AHV20" s="35"/>
      <c r="AHW20" s="35"/>
      <c r="AHX20" s="35"/>
      <c r="AHY20" s="35"/>
      <c r="AHZ20" s="35"/>
      <c r="AIA20" s="35"/>
      <c r="AIB20" s="35"/>
      <c r="AIC20" s="35"/>
      <c r="AID20" s="35"/>
      <c r="AIE20" s="35"/>
      <c r="AIF20" s="35"/>
      <c r="AIG20" s="35"/>
      <c r="AIH20" s="35"/>
      <c r="AII20" s="35"/>
      <c r="AIJ20" s="35"/>
      <c r="AIK20" s="35"/>
      <c r="AIL20" s="35"/>
      <c r="AIM20" s="35"/>
      <c r="AIN20" s="35"/>
      <c r="AIO20" s="35"/>
      <c r="AIP20" s="35"/>
      <c r="AIQ20" s="35"/>
      <c r="AIR20" s="35"/>
      <c r="AIS20" s="35"/>
      <c r="AIT20" s="35"/>
      <c r="AIU20" s="35"/>
      <c r="AIV20" s="35"/>
      <c r="AIW20" s="35"/>
      <c r="AIX20" s="35"/>
      <c r="AIY20" s="35"/>
      <c r="AIZ20" s="35"/>
      <c r="AJA20" s="35"/>
      <c r="AJB20" s="35"/>
      <c r="AJC20" s="35"/>
      <c r="AJD20" s="35"/>
      <c r="AJE20" s="35"/>
      <c r="AJF20" s="35"/>
      <c r="AJG20" s="35"/>
      <c r="AJH20" s="35"/>
      <c r="AJI20" s="35"/>
      <c r="AJJ20" s="35"/>
      <c r="AJK20" s="35"/>
      <c r="AJL20" s="35"/>
      <c r="AJM20" s="35"/>
      <c r="AJN20" s="35"/>
      <c r="AJO20" s="35"/>
      <c r="AJP20" s="35"/>
      <c r="AJQ20" s="35"/>
      <c r="AJR20" s="35"/>
      <c r="AJS20" s="35"/>
      <c r="AJT20" s="35"/>
      <c r="AJU20" s="35"/>
      <c r="AJV20" s="35"/>
      <c r="AJW20" s="35"/>
      <c r="AJX20" s="35"/>
      <c r="AJY20" s="35"/>
      <c r="AJZ20" s="35"/>
      <c r="AKA20" s="35"/>
      <c r="AKB20" s="35"/>
      <c r="AKC20" s="35"/>
      <c r="AKD20" s="35"/>
      <c r="AKE20" s="35"/>
      <c r="AKF20" s="35"/>
      <c r="AKG20" s="35"/>
      <c r="AKH20" s="35"/>
      <c r="AKI20" s="35"/>
      <c r="AKJ20" s="35"/>
      <c r="AKK20" s="35"/>
      <c r="AKL20" s="35"/>
      <c r="AKM20" s="35"/>
      <c r="AKN20" s="35"/>
      <c r="AKO20" s="35"/>
      <c r="AKP20" s="35"/>
      <c r="AKQ20" s="35"/>
      <c r="AKR20" s="35"/>
      <c r="AKS20" s="35"/>
      <c r="AKT20" s="35"/>
      <c r="AKU20" s="35"/>
      <c r="AKV20" s="35"/>
      <c r="AKW20" s="35"/>
      <c r="AKX20" s="35"/>
      <c r="AKY20" s="35"/>
      <c r="AKZ20" s="35"/>
      <c r="ALA20" s="35"/>
      <c r="ALB20" s="35"/>
      <c r="ALC20" s="35"/>
      <c r="ALD20" s="35"/>
      <c r="ALE20" s="35"/>
      <c r="ALF20" s="35"/>
      <c r="ALG20" s="35"/>
      <c r="ALH20" s="35"/>
      <c r="ALI20" s="35"/>
      <c r="ALJ20" s="35"/>
      <c r="ALK20" s="35"/>
      <c r="ALL20" s="35"/>
      <c r="ALM20" s="35"/>
      <c r="ALN20" s="35"/>
      <c r="ALO20" s="35"/>
      <c r="ALP20" s="35"/>
      <c r="ALQ20" s="35"/>
      <c r="ALR20" s="35"/>
      <c r="ALS20" s="35"/>
      <c r="ALT20" s="35"/>
      <c r="ALU20" s="35"/>
      <c r="ALV20" s="35"/>
      <c r="ALW20" s="35"/>
      <c r="ALX20" s="35"/>
      <c r="ALY20" s="35"/>
      <c r="ALZ20" s="35"/>
      <c r="AMA20" s="35"/>
      <c r="AMB20" s="35"/>
      <c r="AMC20" s="35"/>
      <c r="AMD20" s="35"/>
      <c r="AME20" s="35"/>
      <c r="AMF20" s="35"/>
      <c r="AMG20" s="35"/>
      <c r="AMH20" s="35"/>
      <c r="AMI20" s="35"/>
      <c r="AMJ20" s="35"/>
      <c r="AMK20" s="35"/>
      <c r="AML20" s="35"/>
      <c r="AMM20" s="35"/>
      <c r="AMN20" s="35"/>
      <c r="AMO20" s="35"/>
      <c r="AMP20" s="35"/>
      <c r="AMQ20" s="35"/>
      <c r="AMR20" s="35"/>
      <c r="AMS20" s="35"/>
      <c r="AMT20" s="35"/>
      <c r="AMU20" s="35"/>
      <c r="AMV20" s="35"/>
      <c r="AMW20" s="35"/>
      <c r="AMX20" s="35"/>
      <c r="AMY20" s="35"/>
      <c r="AMZ20" s="35"/>
      <c r="ANA20" s="35"/>
    </row>
    <row r="21" customFormat="false" ht="120.95" hidden="true" customHeight="true" outlineLevel="1" collapsed="false">
      <c r="A21" s="30" t="n">
        <f aca="true">TODAY()</f>
        <v>46321</v>
      </c>
      <c r="B21" s="31" t="s">
        <v>365</v>
      </c>
      <c r="C21" s="31" t="s">
        <v>366</v>
      </c>
      <c r="D21" s="32" t="s">
        <v>367</v>
      </c>
      <c r="E21" s="32" t="s">
        <v>368</v>
      </c>
      <c r="F21" s="33" t="s">
        <v>369</v>
      </c>
      <c r="G21" s="33" t="s">
        <v>370</v>
      </c>
      <c r="H21" s="33" t="s">
        <v>371</v>
      </c>
      <c r="I21" s="33" t="s">
        <v>371</v>
      </c>
      <c r="J21" s="33" t="s">
        <v>371</v>
      </c>
      <c r="K21" s="33" t="s">
        <v>371</v>
      </c>
      <c r="L21" s="33" t="s">
        <v>371</v>
      </c>
      <c r="M21" s="33" t="s">
        <v>372</v>
      </c>
      <c r="N21" s="33" t="s">
        <v>373</v>
      </c>
      <c r="O21" s="34" t="s">
        <v>374</v>
      </c>
      <c r="P21" s="33" t="s">
        <v>375</v>
      </c>
      <c r="Q21" s="33" t="s">
        <v>376</v>
      </c>
      <c r="R21" s="33" t="s">
        <v>377</v>
      </c>
      <c r="S21" s="33" t="s">
        <v>378</v>
      </c>
      <c r="T21" s="31"/>
      <c r="U21" s="31"/>
      <c r="V21" s="31"/>
      <c r="W21" s="31"/>
      <c r="X21" s="31" t="s">
        <v>379</v>
      </c>
      <c r="Y21" s="31"/>
      <c r="Z21" s="31" t="s">
        <v>380</v>
      </c>
      <c r="AA21" s="31"/>
      <c r="AB21" s="34" t="s">
        <v>381</v>
      </c>
      <c r="AC21" s="34" t="s">
        <v>382</v>
      </c>
      <c r="AD21" s="31" t="s">
        <v>383</v>
      </c>
      <c r="AE21" s="31" t="s">
        <v>384</v>
      </c>
      <c r="AF21" s="33" t="s">
        <v>385</v>
      </c>
      <c r="AG21" s="31" t="s">
        <v>386</v>
      </c>
      <c r="AH21" s="33" t="s">
        <v>387</v>
      </c>
      <c r="AI21" s="33" t="s">
        <v>388</v>
      </c>
      <c r="AJ21" s="33" t="s">
        <v>389</v>
      </c>
      <c r="AK21" s="33" t="s">
        <v>390</v>
      </c>
      <c r="AL21" s="31" t="s">
        <v>391</v>
      </c>
      <c r="AM21" s="31" t="s">
        <v>391</v>
      </c>
      <c r="AN21" s="31" t="s">
        <v>391</v>
      </c>
      <c r="AO21" s="31" t="s">
        <v>391</v>
      </c>
      <c r="AP21" s="31" t="s">
        <v>391</v>
      </c>
      <c r="AQ21" s="31" t="s">
        <v>392</v>
      </c>
      <c r="AR21" s="31" t="s">
        <v>393</v>
      </c>
      <c r="AS21" s="31" t="s">
        <v>394</v>
      </c>
      <c r="AT21" s="31" t="s">
        <v>395</v>
      </c>
      <c r="AU21" s="31" t="s">
        <v>396</v>
      </c>
      <c r="AV21" s="31" t="s">
        <v>397</v>
      </c>
      <c r="AW21" s="31" t="s">
        <v>398</v>
      </c>
      <c r="AX21" s="31" t="s">
        <v>399</v>
      </c>
      <c r="AY21" s="31" t="s">
        <v>400</v>
      </c>
      <c r="AZ21" s="31" t="s">
        <v>401</v>
      </c>
      <c r="BA21" s="31" t="s">
        <v>402</v>
      </c>
      <c r="BB21" s="31" t="s">
        <v>403</v>
      </c>
      <c r="BC21" s="31" t="s">
        <v>404</v>
      </c>
      <c r="BD21" s="31" t="s">
        <v>405</v>
      </c>
      <c r="BE21" s="31" t="s">
        <v>406</v>
      </c>
      <c r="BF21" s="31" t="s">
        <v>407</v>
      </c>
      <c r="BG21" s="31" t="s">
        <v>408</v>
      </c>
      <c r="BH21" s="31" t="s">
        <v>409</v>
      </c>
      <c r="BI21" s="31" t="s">
        <v>410</v>
      </c>
      <c r="BJ21" s="31" t="s">
        <v>411</v>
      </c>
      <c r="BK21" s="31"/>
      <c r="BL21" s="31"/>
      <c r="BM21" s="31"/>
      <c r="BN21" s="31"/>
      <c r="BO21" s="31"/>
      <c r="BP21" s="31"/>
      <c r="BQ21" s="31"/>
      <c r="BR21" s="31"/>
      <c r="BS21" s="31"/>
      <c r="BT21" s="31"/>
      <c r="BU21" s="31"/>
      <c r="BV21" s="31"/>
      <c r="BW21" s="31" t="s">
        <v>412</v>
      </c>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5"/>
      <c r="GC21" s="35"/>
      <c r="GD21" s="35"/>
      <c r="GE21" s="35"/>
      <c r="GF21" s="35"/>
      <c r="GG21" s="35"/>
      <c r="GH21" s="35"/>
      <c r="GI21" s="35"/>
      <c r="GJ21" s="35"/>
      <c r="GK21" s="35"/>
      <c r="GL21" s="35"/>
      <c r="GM21" s="35"/>
      <c r="GN21" s="35"/>
      <c r="GO21" s="35"/>
      <c r="GP21" s="35"/>
      <c r="GQ21" s="35"/>
      <c r="GR21" s="35"/>
      <c r="GS21" s="35"/>
      <c r="GT21" s="35"/>
      <c r="GU21" s="35"/>
      <c r="GV21" s="35"/>
      <c r="GW21" s="35"/>
      <c r="GX21" s="35"/>
      <c r="GY21" s="35"/>
      <c r="GZ21" s="35"/>
      <c r="HA21" s="35"/>
      <c r="HB21" s="35"/>
      <c r="HC21" s="35"/>
      <c r="HD21" s="35"/>
      <c r="HE21" s="35"/>
      <c r="HF21" s="35"/>
      <c r="HG21" s="35"/>
      <c r="HH21" s="35"/>
      <c r="HI21" s="35"/>
      <c r="HJ21" s="35"/>
      <c r="HK21" s="35"/>
      <c r="HL21" s="35"/>
      <c r="HM21" s="35"/>
      <c r="HN21" s="35"/>
      <c r="HO21" s="35"/>
      <c r="HP21" s="35"/>
      <c r="HQ21" s="35"/>
      <c r="HR21" s="35"/>
      <c r="HS21" s="35"/>
      <c r="HT21" s="35"/>
      <c r="HU21" s="35"/>
      <c r="HV21" s="35"/>
      <c r="HW21" s="35"/>
      <c r="HX21" s="35"/>
      <c r="HY21" s="35"/>
      <c r="HZ21" s="35"/>
      <c r="IA21" s="35"/>
      <c r="IB21" s="35"/>
      <c r="IC21" s="35"/>
      <c r="ID21" s="35"/>
      <c r="IE21" s="35"/>
      <c r="IF21" s="35"/>
      <c r="IG21" s="35"/>
      <c r="IH21" s="35"/>
      <c r="II21" s="35"/>
      <c r="IJ21" s="35"/>
      <c r="IK21" s="35"/>
      <c r="IL21" s="35"/>
      <c r="IM21" s="35"/>
      <c r="IN21" s="35"/>
      <c r="IO21" s="35"/>
      <c r="IP21" s="35"/>
      <c r="IQ21" s="35"/>
      <c r="IR21" s="35"/>
      <c r="IS21" s="35"/>
      <c r="IT21" s="35"/>
      <c r="IU21" s="35"/>
      <c r="IV21" s="35"/>
      <c r="IW21" s="35"/>
      <c r="IX21" s="35"/>
      <c r="IY21" s="35"/>
      <c r="IZ21" s="35"/>
      <c r="JA21" s="35"/>
      <c r="JB21" s="35"/>
      <c r="JC21" s="35"/>
      <c r="JD21" s="35"/>
      <c r="JE21" s="35"/>
      <c r="JF21" s="35"/>
      <c r="JG21" s="35"/>
      <c r="JH21" s="35"/>
      <c r="JI21" s="35"/>
      <c r="JJ21" s="35"/>
      <c r="JK21" s="35"/>
      <c r="JL21" s="35"/>
      <c r="JM21" s="35"/>
      <c r="JN21" s="35"/>
      <c r="JO21" s="35"/>
      <c r="JP21" s="35"/>
      <c r="JQ21" s="35"/>
      <c r="JR21" s="35"/>
      <c r="JS21" s="35"/>
      <c r="JT21" s="35"/>
      <c r="JU21" s="35"/>
      <c r="JV21" s="35"/>
      <c r="JW21" s="35"/>
      <c r="JX21" s="35"/>
      <c r="JY21" s="35"/>
      <c r="JZ21" s="35"/>
      <c r="KA21" s="35"/>
      <c r="KB21" s="35"/>
      <c r="KC21" s="35"/>
      <c r="KD21" s="35"/>
      <c r="KE21" s="35"/>
      <c r="KF21" s="35"/>
      <c r="KG21" s="35"/>
      <c r="KH21" s="35"/>
      <c r="KI21" s="35"/>
      <c r="KJ21" s="35"/>
      <c r="KK21" s="35"/>
      <c r="KL21" s="35"/>
      <c r="KM21" s="35"/>
      <c r="KN21" s="35"/>
      <c r="KO21" s="35"/>
      <c r="KP21" s="35"/>
      <c r="KQ21" s="35"/>
      <c r="KR21" s="35"/>
      <c r="KS21" s="35"/>
      <c r="KT21" s="35"/>
      <c r="KU21" s="35"/>
      <c r="KV21" s="35"/>
      <c r="KW21" s="35"/>
      <c r="KX21" s="35"/>
      <c r="KY21" s="35"/>
      <c r="KZ21" s="35"/>
      <c r="LA21" s="35"/>
      <c r="LB21" s="35"/>
      <c r="LC21" s="35"/>
      <c r="LD21" s="35"/>
      <c r="LE21" s="35"/>
      <c r="LF21" s="35"/>
      <c r="LG21" s="35"/>
      <c r="LH21" s="35"/>
      <c r="LI21" s="35"/>
      <c r="LJ21" s="35"/>
      <c r="LK21" s="35"/>
      <c r="LL21" s="35"/>
      <c r="LM21" s="35"/>
      <c r="LN21" s="35"/>
      <c r="LO21" s="35"/>
      <c r="LP21" s="35"/>
      <c r="LQ21" s="35"/>
      <c r="LR21" s="35"/>
      <c r="LS21" s="35"/>
      <c r="LT21" s="35"/>
      <c r="LU21" s="35"/>
      <c r="LV21" s="35"/>
      <c r="LW21" s="35"/>
      <c r="LX21" s="35"/>
      <c r="LY21" s="35"/>
      <c r="LZ21" s="35"/>
      <c r="MA21" s="35"/>
      <c r="MB21" s="35"/>
      <c r="MC21" s="35"/>
      <c r="MD21" s="35"/>
      <c r="ME21" s="35"/>
      <c r="MF21" s="35"/>
      <c r="MG21" s="35"/>
      <c r="MH21" s="35"/>
      <c r="MI21" s="35"/>
      <c r="MJ21" s="35"/>
      <c r="MK21" s="35"/>
      <c r="ML21" s="35"/>
      <c r="MM21" s="35"/>
      <c r="MN21" s="35"/>
      <c r="MO21" s="35"/>
      <c r="MP21" s="35"/>
      <c r="MQ21" s="35"/>
      <c r="MR21" s="35"/>
      <c r="MS21" s="35"/>
      <c r="MT21" s="35"/>
      <c r="MU21" s="35"/>
      <c r="MV21" s="35"/>
      <c r="MW21" s="35"/>
      <c r="MX21" s="35"/>
      <c r="MY21" s="35"/>
      <c r="MZ21" s="35"/>
      <c r="NA21" s="35"/>
      <c r="NB21" s="35"/>
      <c r="NC21" s="35"/>
      <c r="ND21" s="35"/>
      <c r="NE21" s="35"/>
      <c r="NF21" s="35"/>
      <c r="NG21" s="35"/>
      <c r="NH21" s="35"/>
      <c r="NI21" s="35"/>
      <c r="NJ21" s="35"/>
      <c r="NK21" s="35"/>
      <c r="NL21" s="35"/>
      <c r="NM21" s="35"/>
      <c r="NN21" s="35"/>
      <c r="NO21" s="35"/>
      <c r="NP21" s="35"/>
      <c r="NQ21" s="35"/>
      <c r="NR21" s="35"/>
      <c r="NS21" s="35"/>
      <c r="NT21" s="35"/>
      <c r="NU21" s="35"/>
      <c r="NV21" s="35"/>
      <c r="NW21" s="35"/>
      <c r="NX21" s="35"/>
      <c r="NY21" s="35"/>
      <c r="NZ21" s="35"/>
      <c r="OA21" s="35"/>
      <c r="OB21" s="35"/>
      <c r="OC21" s="35"/>
      <c r="OD21" s="35"/>
      <c r="OE21" s="35"/>
      <c r="OF21" s="35"/>
      <c r="OG21" s="35"/>
      <c r="OH21" s="35"/>
      <c r="OI21" s="35"/>
      <c r="OJ21" s="35"/>
      <c r="OK21" s="35"/>
      <c r="OL21" s="35"/>
      <c r="OM21" s="35"/>
      <c r="ON21" s="35"/>
      <c r="OO21" s="35"/>
      <c r="OP21" s="35"/>
      <c r="OQ21" s="35"/>
      <c r="OR21" s="35"/>
      <c r="OS21" s="35"/>
      <c r="OT21" s="35"/>
      <c r="OU21" s="35"/>
      <c r="OV21" s="35"/>
      <c r="OW21" s="35"/>
      <c r="OX21" s="35"/>
      <c r="OY21" s="35"/>
      <c r="OZ21" s="35"/>
      <c r="PA21" s="35"/>
      <c r="PB21" s="35"/>
      <c r="PC21" s="35"/>
      <c r="PD21" s="35"/>
      <c r="PE21" s="35"/>
      <c r="PF21" s="35"/>
      <c r="PG21" s="35"/>
      <c r="PH21" s="35"/>
      <c r="PI21" s="35"/>
      <c r="PJ21" s="35"/>
      <c r="PK21" s="35"/>
      <c r="PL21" s="35"/>
      <c r="PM21" s="35"/>
      <c r="PN21" s="35"/>
      <c r="PO21" s="35"/>
      <c r="PP21" s="35"/>
      <c r="PQ21" s="35"/>
      <c r="PR21" s="35"/>
      <c r="PS21" s="35"/>
      <c r="PT21" s="35"/>
      <c r="PU21" s="35"/>
      <c r="PV21" s="35"/>
      <c r="PW21" s="35"/>
      <c r="PX21" s="35"/>
      <c r="PY21" s="35"/>
      <c r="PZ21" s="35"/>
      <c r="QA21" s="35"/>
      <c r="QB21" s="35"/>
      <c r="QC21" s="35"/>
      <c r="QD21" s="35"/>
      <c r="QE21" s="35"/>
      <c r="QF21" s="35"/>
      <c r="QG21" s="35"/>
      <c r="QH21" s="35"/>
      <c r="QI21" s="35"/>
      <c r="QJ21" s="35"/>
      <c r="QK21" s="35"/>
      <c r="QL21" s="35"/>
      <c r="QM21" s="35"/>
      <c r="QN21" s="35"/>
      <c r="QO21" s="35"/>
      <c r="QP21" s="35"/>
      <c r="QQ21" s="35"/>
      <c r="QR21" s="35"/>
      <c r="QS21" s="35"/>
      <c r="QT21" s="35"/>
      <c r="QU21" s="35"/>
      <c r="QV21" s="35"/>
      <c r="QW21" s="35"/>
      <c r="QX21" s="35"/>
      <c r="QY21" s="35"/>
      <c r="QZ21" s="35"/>
      <c r="RA21" s="35"/>
      <c r="RB21" s="35"/>
      <c r="RC21" s="35"/>
      <c r="RD21" s="35"/>
      <c r="RE21" s="35"/>
      <c r="RF21" s="35"/>
      <c r="RG21" s="35"/>
      <c r="RH21" s="35"/>
      <c r="RI21" s="35"/>
      <c r="RJ21" s="35"/>
      <c r="RK21" s="35"/>
      <c r="RL21" s="35"/>
      <c r="RM21" s="35"/>
      <c r="RN21" s="35"/>
      <c r="RO21" s="35"/>
      <c r="RP21" s="35"/>
      <c r="RQ21" s="35"/>
      <c r="RR21" s="35"/>
      <c r="RS21" s="35"/>
      <c r="RT21" s="35"/>
      <c r="RU21" s="35"/>
      <c r="RV21" s="35"/>
      <c r="RW21" s="35"/>
      <c r="RX21" s="35"/>
      <c r="RY21" s="35"/>
      <c r="RZ21" s="35"/>
      <c r="SA21" s="35"/>
      <c r="SB21" s="35"/>
      <c r="SC21" s="35"/>
      <c r="SD21" s="35"/>
      <c r="SE21" s="35"/>
      <c r="SF21" s="35"/>
      <c r="SG21" s="35"/>
      <c r="SH21" s="35"/>
      <c r="SI21" s="35"/>
      <c r="SJ21" s="35"/>
      <c r="SK21" s="35"/>
      <c r="SL21" s="35"/>
      <c r="SM21" s="35"/>
      <c r="SN21" s="35"/>
      <c r="SO21" s="35"/>
      <c r="SP21" s="35"/>
      <c r="SQ21" s="35"/>
      <c r="SR21" s="35"/>
      <c r="SS21" s="35"/>
      <c r="ST21" s="35"/>
      <c r="SU21" s="35"/>
      <c r="SV21" s="35"/>
      <c r="SW21" s="35"/>
      <c r="SX21" s="35"/>
      <c r="SY21" s="35"/>
      <c r="SZ21" s="35"/>
      <c r="TA21" s="35"/>
      <c r="TB21" s="35"/>
      <c r="TC21" s="35"/>
      <c r="TD21" s="35"/>
      <c r="TE21" s="35"/>
      <c r="TF21" s="35"/>
      <c r="TG21" s="35"/>
      <c r="TH21" s="35"/>
      <c r="TI21" s="35"/>
      <c r="TJ21" s="35"/>
      <c r="TK21" s="35"/>
      <c r="TL21" s="35"/>
      <c r="TM21" s="35"/>
      <c r="TN21" s="35"/>
      <c r="TO21" s="35"/>
      <c r="TP21" s="35"/>
      <c r="TQ21" s="35"/>
      <c r="TR21" s="35"/>
      <c r="TS21" s="35"/>
      <c r="TT21" s="35"/>
      <c r="TU21" s="35"/>
      <c r="TV21" s="35"/>
      <c r="TW21" s="35"/>
      <c r="TX21" s="35"/>
      <c r="TY21" s="35"/>
      <c r="TZ21" s="35"/>
      <c r="UA21" s="35"/>
      <c r="UB21" s="35"/>
      <c r="UC21" s="35"/>
      <c r="UD21" s="35"/>
      <c r="UE21" s="35"/>
      <c r="UF21" s="35"/>
      <c r="UG21" s="35"/>
      <c r="UH21" s="35"/>
      <c r="UI21" s="35"/>
      <c r="UJ21" s="35"/>
      <c r="UK21" s="35"/>
      <c r="UL21" s="35"/>
      <c r="UM21" s="35"/>
      <c r="UN21" s="35"/>
      <c r="UO21" s="35"/>
      <c r="UP21" s="35"/>
      <c r="UQ21" s="35"/>
      <c r="UR21" s="35"/>
      <c r="US21" s="35"/>
      <c r="UT21" s="35"/>
      <c r="UU21" s="35"/>
      <c r="UV21" s="35"/>
      <c r="UW21" s="35"/>
      <c r="UX21" s="35"/>
      <c r="UY21" s="35"/>
      <c r="UZ21" s="35"/>
      <c r="VA21" s="35"/>
      <c r="VB21" s="35"/>
      <c r="VC21" s="35"/>
      <c r="VD21" s="35"/>
      <c r="VE21" s="35"/>
      <c r="VF21" s="35"/>
      <c r="VG21" s="35"/>
      <c r="VH21" s="35"/>
      <c r="VI21" s="35"/>
      <c r="VJ21" s="35"/>
      <c r="VK21" s="35"/>
      <c r="VL21" s="35"/>
      <c r="VM21" s="35"/>
      <c r="VN21" s="35"/>
      <c r="VO21" s="35"/>
      <c r="VP21" s="35"/>
      <c r="VQ21" s="35"/>
      <c r="VR21" s="35"/>
      <c r="VS21" s="35"/>
      <c r="VT21" s="35"/>
      <c r="VU21" s="35"/>
      <c r="VV21" s="35"/>
      <c r="VW21" s="35"/>
      <c r="VX21" s="35"/>
      <c r="VY21" s="35"/>
      <c r="VZ21" s="35"/>
      <c r="WA21" s="35"/>
      <c r="WB21" s="35"/>
      <c r="WC21" s="35"/>
      <c r="WD21" s="35"/>
      <c r="WE21" s="35"/>
      <c r="WF21" s="35"/>
      <c r="WG21" s="35"/>
      <c r="WH21" s="35"/>
      <c r="WI21" s="35"/>
      <c r="WJ21" s="35"/>
      <c r="WK21" s="35"/>
      <c r="WL21" s="35"/>
      <c r="WM21" s="35"/>
      <c r="WN21" s="35"/>
      <c r="WO21" s="35"/>
      <c r="WP21" s="35"/>
      <c r="WQ21" s="35"/>
      <c r="WR21" s="35"/>
      <c r="WS21" s="35"/>
      <c r="WT21" s="35"/>
      <c r="WU21" s="35"/>
      <c r="WV21" s="35"/>
      <c r="WW21" s="35"/>
      <c r="WX21" s="35"/>
      <c r="WY21" s="35"/>
      <c r="WZ21" s="35"/>
      <c r="XA21" s="35"/>
      <c r="XB21" s="35"/>
      <c r="XC21" s="35"/>
      <c r="XD21" s="35"/>
      <c r="XE21" s="35"/>
      <c r="XF21" s="35"/>
      <c r="XG21" s="35"/>
      <c r="XH21" s="35"/>
      <c r="XI21" s="35"/>
      <c r="XJ21" s="35"/>
      <c r="XK21" s="35"/>
      <c r="XL21" s="35"/>
      <c r="XM21" s="35"/>
      <c r="XN21" s="35"/>
      <c r="XO21" s="35"/>
      <c r="XP21" s="35"/>
      <c r="XQ21" s="35"/>
      <c r="XR21" s="35"/>
      <c r="XS21" s="35"/>
      <c r="XT21" s="35"/>
      <c r="XU21" s="35"/>
      <c r="XV21" s="35"/>
      <c r="XW21" s="35"/>
      <c r="XX21" s="35"/>
      <c r="XY21" s="35"/>
      <c r="XZ21" s="35"/>
      <c r="YA21" s="35"/>
      <c r="YB21" s="35"/>
      <c r="YC21" s="35"/>
      <c r="YD21" s="35"/>
      <c r="YE21" s="35"/>
      <c r="YF21" s="35"/>
      <c r="YG21" s="35"/>
      <c r="YH21" s="35"/>
      <c r="YI21" s="35"/>
      <c r="YJ21" s="35"/>
      <c r="YK21" s="35"/>
      <c r="YL21" s="35"/>
      <c r="YM21" s="35"/>
      <c r="YN21" s="35"/>
      <c r="YO21" s="35"/>
      <c r="YP21" s="35"/>
      <c r="YQ21" s="35"/>
      <c r="YR21" s="35"/>
      <c r="YS21" s="35"/>
      <c r="YT21" s="35"/>
      <c r="YU21" s="35"/>
      <c r="YV21" s="35"/>
      <c r="YW21" s="35"/>
      <c r="YX21" s="35"/>
      <c r="YY21" s="35"/>
      <c r="YZ21" s="35"/>
      <c r="ZA21" s="35"/>
      <c r="ZB21" s="35"/>
      <c r="ZC21" s="35"/>
      <c r="ZD21" s="35"/>
      <c r="ZE21" s="35"/>
      <c r="ZF21" s="35"/>
      <c r="ZG21" s="35"/>
      <c r="ZH21" s="35"/>
      <c r="ZI21" s="35"/>
      <c r="ZJ21" s="35"/>
      <c r="ZK21" s="35"/>
      <c r="ZL21" s="35"/>
      <c r="ZM21" s="35"/>
      <c r="ZN21" s="35"/>
      <c r="ZO21" s="35"/>
      <c r="ZP21" s="35"/>
      <c r="ZQ21" s="35"/>
      <c r="ZR21" s="35"/>
      <c r="ZS21" s="35"/>
      <c r="ZT21" s="35"/>
      <c r="ZU21" s="35"/>
      <c r="ZV21" s="35"/>
      <c r="ZW21" s="35"/>
      <c r="ZX21" s="35"/>
      <c r="ZY21" s="35"/>
      <c r="ZZ21" s="35"/>
      <c r="AAA21" s="35"/>
      <c r="AAB21" s="35"/>
      <c r="AAC21" s="35"/>
      <c r="AAD21" s="35"/>
      <c r="AAE21" s="35"/>
      <c r="AAF21" s="35"/>
      <c r="AAG21" s="35"/>
      <c r="AAH21" s="35"/>
      <c r="AAI21" s="35"/>
      <c r="AAJ21" s="35"/>
      <c r="AAK21" s="35"/>
      <c r="AAL21" s="35"/>
      <c r="AAM21" s="35"/>
      <c r="AAN21" s="35"/>
      <c r="AAO21" s="35"/>
      <c r="AAP21" s="35"/>
      <c r="AAQ21" s="35"/>
      <c r="AAR21" s="35"/>
      <c r="AAS21" s="35"/>
      <c r="AAT21" s="35"/>
      <c r="AAU21" s="35"/>
      <c r="AAV21" s="35"/>
      <c r="AAW21" s="35"/>
      <c r="AAX21" s="35"/>
      <c r="AAY21" s="35"/>
      <c r="AAZ21" s="35"/>
      <c r="ABA21" s="35"/>
      <c r="ABB21" s="35"/>
      <c r="ABC21" s="35"/>
      <c r="ABD21" s="35"/>
      <c r="ABE21" s="35"/>
      <c r="ABF21" s="35"/>
      <c r="ABG21" s="35"/>
      <c r="ABH21" s="35"/>
      <c r="ABI21" s="35"/>
      <c r="ABJ21" s="35"/>
      <c r="ABK21" s="35"/>
      <c r="ABL21" s="35"/>
      <c r="ABM21" s="35"/>
      <c r="ABN21" s="35"/>
      <c r="ABO21" s="35"/>
      <c r="ABP21" s="35"/>
      <c r="ABQ21" s="35"/>
      <c r="ABR21" s="35"/>
      <c r="ABS21" s="35"/>
      <c r="ABT21" s="35"/>
      <c r="ABU21" s="35"/>
      <c r="ABV21" s="35"/>
      <c r="ABW21" s="35"/>
      <c r="ABX21" s="35"/>
      <c r="ABY21" s="35"/>
      <c r="ABZ21" s="35"/>
      <c r="ACA21" s="35"/>
      <c r="ACB21" s="35"/>
      <c r="ACC21" s="35"/>
      <c r="ACD21" s="35"/>
      <c r="ACE21" s="35"/>
      <c r="ACF21" s="35"/>
      <c r="ACG21" s="35"/>
      <c r="ACH21" s="35"/>
      <c r="ACI21" s="35"/>
      <c r="ACJ21" s="35"/>
      <c r="ACK21" s="35"/>
      <c r="ACL21" s="35"/>
      <c r="ACM21" s="35"/>
      <c r="ACN21" s="35"/>
      <c r="ACO21" s="35"/>
      <c r="ACP21" s="35"/>
      <c r="ACQ21" s="35"/>
      <c r="ACR21" s="35"/>
      <c r="ACS21" s="35"/>
      <c r="ACT21" s="35"/>
      <c r="ACU21" s="35"/>
      <c r="ACV21" s="35"/>
      <c r="ACW21" s="35"/>
      <c r="ACX21" s="35"/>
      <c r="ACY21" s="35"/>
      <c r="ACZ21" s="35"/>
      <c r="ADA21" s="35"/>
      <c r="ADB21" s="35"/>
      <c r="ADC21" s="35"/>
      <c r="ADD21" s="35"/>
      <c r="ADE21" s="35"/>
      <c r="ADF21" s="35"/>
      <c r="ADG21" s="35"/>
      <c r="ADH21" s="35"/>
      <c r="ADI21" s="35"/>
      <c r="ADJ21" s="35"/>
      <c r="ADK21" s="35"/>
      <c r="ADL21" s="35"/>
      <c r="ADM21" s="35"/>
      <c r="ADN21" s="35"/>
      <c r="ADO21" s="35"/>
      <c r="ADP21" s="35"/>
      <c r="ADQ21" s="35"/>
      <c r="ADR21" s="35"/>
      <c r="ADS21" s="35"/>
      <c r="ADT21" s="35"/>
      <c r="ADU21" s="35"/>
      <c r="ADV21" s="35"/>
      <c r="ADW21" s="35"/>
      <c r="ADX21" s="35"/>
      <c r="ADY21" s="35"/>
      <c r="ADZ21" s="35"/>
      <c r="AEA21" s="35"/>
      <c r="AEB21" s="35"/>
      <c r="AEC21" s="35"/>
      <c r="AED21" s="35"/>
      <c r="AEE21" s="35"/>
      <c r="AEF21" s="35"/>
      <c r="AEG21" s="35"/>
      <c r="AEH21" s="35"/>
      <c r="AEI21" s="35"/>
      <c r="AEJ21" s="35"/>
      <c r="AEK21" s="35"/>
      <c r="AEL21" s="35"/>
      <c r="AEM21" s="35"/>
      <c r="AEN21" s="35"/>
      <c r="AEO21" s="35"/>
      <c r="AEP21" s="35"/>
      <c r="AEQ21" s="35"/>
      <c r="AER21" s="35"/>
      <c r="AES21" s="35"/>
      <c r="AET21" s="35"/>
      <c r="AEU21" s="35"/>
      <c r="AEV21" s="35"/>
      <c r="AEW21" s="35"/>
      <c r="AEX21" s="35"/>
      <c r="AEY21" s="35"/>
      <c r="AEZ21" s="35"/>
      <c r="AFA21" s="35"/>
      <c r="AFB21" s="35"/>
      <c r="AFC21" s="35"/>
      <c r="AFD21" s="35"/>
      <c r="AFE21" s="35"/>
      <c r="AFF21" s="35"/>
      <c r="AFG21" s="35"/>
      <c r="AFH21" s="35"/>
      <c r="AFI21" s="35"/>
      <c r="AFJ21" s="35"/>
      <c r="AFK21" s="35"/>
      <c r="AFL21" s="35"/>
      <c r="AFM21" s="35"/>
      <c r="AFN21" s="35"/>
      <c r="AFO21" s="35"/>
      <c r="AFP21" s="35"/>
      <c r="AFQ21" s="35"/>
      <c r="AFR21" s="35"/>
      <c r="AFS21" s="35"/>
      <c r="AFT21" s="35"/>
      <c r="AFU21" s="35"/>
      <c r="AFV21" s="35"/>
      <c r="AFW21" s="35"/>
      <c r="AFX21" s="35"/>
      <c r="AFY21" s="35"/>
      <c r="AFZ21" s="35"/>
      <c r="AGA21" s="35"/>
      <c r="AGB21" s="35"/>
      <c r="AGC21" s="35"/>
      <c r="AGD21" s="35"/>
      <c r="AGE21" s="35"/>
      <c r="AGF21" s="35"/>
      <c r="AGG21" s="35"/>
      <c r="AGH21" s="35"/>
      <c r="AGI21" s="35"/>
      <c r="AGJ21" s="35"/>
      <c r="AGK21" s="35"/>
      <c r="AGL21" s="35"/>
      <c r="AGM21" s="35"/>
      <c r="AGN21" s="35"/>
      <c r="AGO21" s="35"/>
      <c r="AGP21" s="35"/>
      <c r="AGQ21" s="35"/>
      <c r="AGR21" s="35"/>
      <c r="AGS21" s="35"/>
      <c r="AGT21" s="35"/>
      <c r="AGU21" s="35"/>
      <c r="AGV21" s="35"/>
      <c r="AGW21" s="35"/>
      <c r="AGX21" s="35"/>
      <c r="AGY21" s="35"/>
      <c r="AGZ21" s="35"/>
      <c r="AHA21" s="35"/>
      <c r="AHB21" s="35"/>
      <c r="AHC21" s="35"/>
      <c r="AHD21" s="35"/>
      <c r="AHE21" s="35"/>
      <c r="AHF21" s="35"/>
      <c r="AHG21" s="35"/>
      <c r="AHH21" s="35"/>
      <c r="AHI21" s="35"/>
      <c r="AHJ21" s="35"/>
      <c r="AHK21" s="35"/>
      <c r="AHL21" s="35"/>
      <c r="AHM21" s="35"/>
      <c r="AHN21" s="35"/>
      <c r="AHO21" s="35"/>
      <c r="AHP21" s="35"/>
      <c r="AHQ21" s="35"/>
      <c r="AHR21" s="35"/>
      <c r="AHS21" s="35"/>
      <c r="AHT21" s="35"/>
      <c r="AHU21" s="35"/>
      <c r="AHV21" s="35"/>
      <c r="AHW21" s="35"/>
      <c r="AHX21" s="35"/>
      <c r="AHY21" s="35"/>
      <c r="AHZ21" s="35"/>
      <c r="AIA21" s="35"/>
      <c r="AIB21" s="35"/>
      <c r="AIC21" s="35"/>
      <c r="AID21" s="35"/>
      <c r="AIE21" s="35"/>
      <c r="AIF21" s="35"/>
      <c r="AIG21" s="35"/>
      <c r="AIH21" s="35"/>
      <c r="AII21" s="35"/>
      <c r="AIJ21" s="35"/>
      <c r="AIK21" s="35"/>
      <c r="AIL21" s="35"/>
      <c r="AIM21" s="35"/>
      <c r="AIN21" s="35"/>
      <c r="AIO21" s="35"/>
      <c r="AIP21" s="35"/>
      <c r="AIQ21" s="35"/>
      <c r="AIR21" s="35"/>
      <c r="AIS21" s="35"/>
      <c r="AIT21" s="35"/>
      <c r="AIU21" s="35"/>
      <c r="AIV21" s="35"/>
      <c r="AIW21" s="35"/>
      <c r="AIX21" s="35"/>
      <c r="AIY21" s="35"/>
      <c r="AIZ21" s="35"/>
      <c r="AJA21" s="35"/>
      <c r="AJB21" s="35"/>
      <c r="AJC21" s="35"/>
      <c r="AJD21" s="35"/>
      <c r="AJE21" s="35"/>
      <c r="AJF21" s="35"/>
      <c r="AJG21" s="35"/>
      <c r="AJH21" s="35"/>
      <c r="AJI21" s="35"/>
      <c r="AJJ21" s="35"/>
      <c r="AJK21" s="35"/>
      <c r="AJL21" s="35"/>
      <c r="AJM21" s="35"/>
      <c r="AJN21" s="35"/>
      <c r="AJO21" s="35"/>
      <c r="AJP21" s="35"/>
      <c r="AJQ21" s="35"/>
      <c r="AJR21" s="35"/>
      <c r="AJS21" s="35"/>
      <c r="AJT21" s="35"/>
      <c r="AJU21" s="35"/>
      <c r="AJV21" s="35"/>
      <c r="AJW21" s="35"/>
      <c r="AJX21" s="35"/>
      <c r="AJY21" s="35"/>
      <c r="AJZ21" s="35"/>
      <c r="AKA21" s="35"/>
      <c r="AKB21" s="35"/>
      <c r="AKC21" s="35"/>
      <c r="AKD21" s="35"/>
      <c r="AKE21" s="35"/>
      <c r="AKF21" s="35"/>
      <c r="AKG21" s="35"/>
      <c r="AKH21" s="35"/>
      <c r="AKI21" s="35"/>
      <c r="AKJ21" s="35"/>
      <c r="AKK21" s="35"/>
      <c r="AKL21" s="35"/>
      <c r="AKM21" s="35"/>
      <c r="AKN21" s="35"/>
      <c r="AKO21" s="35"/>
      <c r="AKP21" s="35"/>
      <c r="AKQ21" s="35"/>
      <c r="AKR21" s="35"/>
      <c r="AKS21" s="35"/>
      <c r="AKT21" s="35"/>
      <c r="AKU21" s="35"/>
      <c r="AKV21" s="35"/>
      <c r="AKW21" s="35"/>
      <c r="AKX21" s="35"/>
      <c r="AKY21" s="35"/>
      <c r="AKZ21" s="35"/>
      <c r="ALA21" s="35"/>
      <c r="ALB21" s="35"/>
      <c r="ALC21" s="35"/>
      <c r="ALD21" s="35"/>
      <c r="ALE21" s="35"/>
      <c r="ALF21" s="35"/>
      <c r="ALG21" s="35"/>
      <c r="ALH21" s="35"/>
      <c r="ALI21" s="35"/>
      <c r="ALJ21" s="35"/>
      <c r="ALK21" s="35"/>
      <c r="ALL21" s="35"/>
      <c r="ALM21" s="35"/>
      <c r="ALN21" s="35"/>
      <c r="ALO21" s="35"/>
      <c r="ALP21" s="35"/>
      <c r="ALQ21" s="35"/>
      <c r="ALR21" s="35"/>
      <c r="ALS21" s="35"/>
      <c r="ALT21" s="35"/>
      <c r="ALU21" s="35"/>
      <c r="ALV21" s="35"/>
      <c r="ALW21" s="35"/>
      <c r="ALX21" s="35"/>
      <c r="ALY21" s="35"/>
      <c r="ALZ21" s="35"/>
      <c r="AMA21" s="35"/>
      <c r="AMB21" s="35"/>
      <c r="AMC21" s="35"/>
      <c r="AMD21" s="35"/>
      <c r="AME21" s="35"/>
      <c r="AMF21" s="35"/>
      <c r="AMG21" s="35"/>
      <c r="AMH21" s="35"/>
      <c r="AMI21" s="35"/>
      <c r="AMJ21" s="35"/>
      <c r="AMK21" s="35"/>
      <c r="AML21" s="35"/>
      <c r="AMM21" s="35"/>
      <c r="AMN21" s="35"/>
      <c r="AMO21" s="35"/>
      <c r="AMP21" s="35"/>
      <c r="AMQ21" s="35"/>
      <c r="AMR21" s="35"/>
      <c r="AMS21" s="35"/>
      <c r="AMT21" s="35"/>
      <c r="AMU21" s="35"/>
      <c r="AMV21" s="35"/>
      <c r="AMW21" s="35"/>
      <c r="AMX21" s="35"/>
      <c r="AMY21" s="35"/>
      <c r="AMZ21" s="35"/>
      <c r="ANA21" s="35"/>
    </row>
    <row r="22" customFormat="false" ht="14.15" hidden="true" customHeight="true" outlineLevel="1" collapsed="false">
      <c r="A22" s="31"/>
      <c r="B22" s="31"/>
      <c r="C22" s="31"/>
      <c r="D22" s="32"/>
      <c r="E22" s="32"/>
      <c r="F22" s="33" t="n">
        <v>1</v>
      </c>
      <c r="G22" s="33"/>
      <c r="H22" s="33"/>
      <c r="I22" s="33"/>
      <c r="J22" s="33"/>
      <c r="K22" s="33"/>
      <c r="L22" s="33"/>
      <c r="M22" s="33"/>
      <c r="N22" s="33"/>
      <c r="O22" s="34"/>
      <c r="P22" s="33"/>
      <c r="Q22" s="33"/>
      <c r="R22" s="33"/>
      <c r="S22" s="33"/>
      <c r="T22" s="33"/>
      <c r="U22" s="33"/>
      <c r="V22" s="33"/>
      <c r="W22" s="33"/>
      <c r="X22" s="31"/>
      <c r="Y22" s="31"/>
      <c r="Z22" s="33"/>
      <c r="AA22" s="33"/>
      <c r="AB22" s="34"/>
      <c r="AC22" s="34"/>
      <c r="AD22" s="34"/>
      <c r="AE22" s="31"/>
      <c r="AF22" s="33"/>
      <c r="AG22" s="41" t="s">
        <v>413</v>
      </c>
      <c r="AH22" s="33"/>
      <c r="AI22" s="33"/>
      <c r="AJ22" s="33"/>
      <c r="AK22" s="33"/>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42" t="n">
        <f aca="false">IF(AND($A$21&gt;BK23,$A$21&lt;(DATE(YEAR(BK23),MONTH(BK23),DAY(EOMONTH(DATE(YEAR(BK23),MONTH(BK23),1),0))))),1,0)</f>
        <v>0</v>
      </c>
      <c r="BL22" s="42" t="n">
        <f aca="false">IF(AND($A$21&gt;BL23,$A$21&lt;(DATE(YEAR(BL23),MONTH(BL23),DAY(EOMONTH(DATE(YEAR(BL23),MONTH(BL23),1),0))))),1,0)</f>
        <v>0</v>
      </c>
      <c r="BM22" s="42" t="n">
        <f aca="false">IF(AND($A$21&gt;BM23,$A$21&lt;(DATE(YEAR(BM23),MONTH(BM23),DAY(EOMONTH(DATE(YEAR(BM23),MONTH(BM23),1),0))))),1,0)</f>
        <v>0</v>
      </c>
      <c r="BN22" s="42" t="n">
        <f aca="false">IF(AND($A$21&gt;BN23,$A$21&lt;(DATE(YEAR(BN23),MONTH(BN23),DAY(EOMONTH(DATE(YEAR(BN23),MONTH(BN23),1),0))))),1,0)</f>
        <v>0</v>
      </c>
      <c r="BO22" s="42" t="n">
        <f aca="false">IF(AND($A$21&gt;BO23,$A$21&lt;(DATE(YEAR(BO23),MONTH(BO23),DAY(EOMONTH(DATE(YEAR(BO23),MONTH(BO23),1),0))))),1,0)</f>
        <v>0</v>
      </c>
      <c r="BP22" s="42" t="n">
        <f aca="false">IF(AND($A$21&gt;BP23,$A$21&lt;(DATE(YEAR(BP23),MONTH(BP23),DAY(EOMONTH(DATE(YEAR(BP23),MONTH(BP23),1),0))))),1,0)</f>
        <v>0</v>
      </c>
      <c r="BQ22" s="42" t="n">
        <f aca="false">IF(AND($A$21&gt;BQ23,$A$21&lt;(DATE(YEAR(BQ23),MONTH(BQ23),DAY(EOMONTH(DATE(YEAR(BQ23),MONTH(BQ23),1),0))))),1,0)</f>
        <v>0</v>
      </c>
      <c r="BR22" s="42" t="n">
        <f aca="false">IF(AND($A$21&gt;BR23,$A$21&lt;(DATE(YEAR(BR23),MONTH(BR23),DAY(EOMONTH(DATE(YEAR(BR23),MONTH(BR23),1),0))))),1,0)</f>
        <v>0</v>
      </c>
      <c r="BS22" s="42" t="n">
        <f aca="false">IF(AND($A$21&gt;BS23,$A$21&lt;(DATE(YEAR(BS23),MONTH(BS23),DAY(EOMONTH(DATE(YEAR(BS23),MONTH(BS23),1),0))))),1,0)</f>
        <v>0</v>
      </c>
      <c r="BT22" s="42" t="n">
        <f aca="false">IF(AND($A$21&gt;BT23,$A$21&lt;(DATE(YEAR(BT23),MONTH(BT23),DAY(EOMONTH(DATE(YEAR(BT23),MONTH(BT23),1),0))))),1,0)</f>
        <v>0</v>
      </c>
      <c r="BU22" s="42" t="n">
        <f aca="false">IF(AND($A$21&gt;BU23,$A$21&lt;(DATE(YEAR(BU23),MONTH(BU23),DAY(EOMONTH(DATE(YEAR(BU23),MONTH(BU23),1),0))))),1,0)</f>
        <v>0</v>
      </c>
      <c r="BV22" s="42" t="n">
        <f aca="false">IF(AND($A$21&gt;BV23,$A$21&lt;(DATE(YEAR(BV23),MONTH(BV23),DAY(EOMONTH(DATE(YEAR(BV23),MONTH(BV23),1),0))))),1,0)</f>
        <v>0</v>
      </c>
      <c r="BW22" s="31"/>
      <c r="BX22" s="35"/>
      <c r="BY22" s="35"/>
      <c r="BZ22" s="35"/>
      <c r="CA22" s="35"/>
      <c r="CB22" s="35"/>
      <c r="CC22" s="35"/>
      <c r="CD22" s="35"/>
      <c r="CE22" s="35"/>
      <c r="CF22" s="35"/>
      <c r="CG22" s="35"/>
      <c r="CH22" s="35"/>
      <c r="CI22" s="35"/>
      <c r="CJ22" s="35"/>
      <c r="CK22" s="35"/>
      <c r="CL22" s="35"/>
      <c r="CM22" s="35"/>
      <c r="CN22" s="35"/>
      <c r="CO22" s="35"/>
      <c r="CP22" s="35"/>
      <c r="CQ22" s="35"/>
      <c r="CR22" s="35"/>
      <c r="CS22" s="35"/>
      <c r="CT22" s="35"/>
      <c r="CU22" s="35"/>
      <c r="CV22" s="35"/>
      <c r="CW22" s="35"/>
      <c r="CX22" s="35"/>
      <c r="CY22" s="35"/>
      <c r="CZ22" s="35"/>
      <c r="DA22" s="35"/>
      <c r="DB22" s="35"/>
      <c r="DC22" s="35"/>
      <c r="DD22" s="35"/>
      <c r="DE22" s="35"/>
      <c r="DF22" s="35"/>
      <c r="DG22" s="35"/>
      <c r="DH22" s="35"/>
      <c r="DI22" s="35"/>
      <c r="DJ22" s="35"/>
      <c r="DK22" s="35"/>
      <c r="DL22" s="35"/>
      <c r="DM22" s="35"/>
      <c r="DN22" s="35"/>
      <c r="DO22" s="35"/>
      <c r="DP22" s="35"/>
      <c r="DQ22" s="35"/>
      <c r="DR22" s="35"/>
      <c r="DS22" s="35"/>
      <c r="DT22" s="35"/>
      <c r="DU22" s="35"/>
      <c r="DV22" s="35"/>
      <c r="DW22" s="35"/>
      <c r="DX22" s="35"/>
      <c r="DY22" s="35"/>
      <c r="DZ22" s="35"/>
      <c r="EA22" s="35"/>
      <c r="EB22" s="35"/>
      <c r="EC22" s="35"/>
      <c r="ED22" s="35"/>
      <c r="EE22" s="35"/>
      <c r="EF22" s="35"/>
      <c r="EG22" s="35"/>
      <c r="EH22" s="35"/>
      <c r="EI22" s="35"/>
      <c r="EJ22" s="35"/>
      <c r="EK22" s="35"/>
      <c r="EL22" s="35"/>
      <c r="EM22" s="35"/>
      <c r="EN22" s="35"/>
      <c r="EO22" s="35"/>
      <c r="EP22" s="35"/>
      <c r="EQ22" s="35"/>
      <c r="ER22" s="35"/>
      <c r="ES22" s="35"/>
      <c r="ET22" s="35"/>
      <c r="EU22" s="35"/>
      <c r="EV22" s="35"/>
      <c r="EW22" s="35"/>
      <c r="EX22" s="35"/>
      <c r="EY22" s="35"/>
      <c r="EZ22" s="35"/>
      <c r="FA22" s="35"/>
      <c r="FB22" s="35"/>
      <c r="FC22" s="35"/>
      <c r="FD22" s="35"/>
      <c r="FE22" s="35"/>
      <c r="FF22" s="35"/>
      <c r="FG22" s="35"/>
      <c r="FH22" s="35"/>
      <c r="FI22" s="35"/>
      <c r="FJ22" s="35"/>
      <c r="FK22" s="35"/>
      <c r="FL22" s="35"/>
      <c r="FM22" s="35"/>
      <c r="FN22" s="35"/>
      <c r="FO22" s="35"/>
      <c r="FP22" s="35"/>
      <c r="FQ22" s="35"/>
      <c r="FR22" s="35"/>
      <c r="FS22" s="35"/>
      <c r="FT22" s="35"/>
      <c r="FU22" s="35"/>
      <c r="FV22" s="35"/>
      <c r="FW22" s="35"/>
      <c r="FX22" s="35"/>
      <c r="FY22" s="35"/>
      <c r="FZ22" s="35"/>
      <c r="GA22" s="35"/>
      <c r="GB22" s="35"/>
      <c r="GC22" s="35"/>
      <c r="GD22" s="35"/>
      <c r="GE22" s="35"/>
      <c r="GF22" s="35"/>
      <c r="GG22" s="35"/>
      <c r="GH22" s="35"/>
      <c r="GI22" s="35"/>
      <c r="GJ22" s="35"/>
      <c r="GK22" s="35"/>
      <c r="GL22" s="35"/>
      <c r="GM22" s="35"/>
      <c r="GN22" s="35"/>
      <c r="GO22" s="35"/>
      <c r="GP22" s="35"/>
      <c r="GQ22" s="35"/>
      <c r="GR22" s="35"/>
      <c r="GS22" s="35"/>
      <c r="GT22" s="35"/>
      <c r="GU22" s="35"/>
      <c r="GV22" s="35"/>
      <c r="GW22" s="35"/>
      <c r="GX22" s="35"/>
      <c r="GY22" s="35"/>
      <c r="GZ22" s="35"/>
      <c r="HA22" s="35"/>
      <c r="HB22" s="35"/>
      <c r="HC22" s="35"/>
      <c r="HD22" s="35"/>
      <c r="HE22" s="35"/>
      <c r="HF22" s="35"/>
      <c r="HG22" s="35"/>
      <c r="HH22" s="35"/>
      <c r="HI22" s="35"/>
      <c r="HJ22" s="35"/>
      <c r="HK22" s="35"/>
      <c r="HL22" s="35"/>
      <c r="HM22" s="35"/>
      <c r="HN22" s="35"/>
      <c r="HO22" s="35"/>
      <c r="HP22" s="35"/>
      <c r="HQ22" s="35"/>
      <c r="HR22" s="35"/>
      <c r="HS22" s="35"/>
      <c r="HT22" s="35"/>
      <c r="HU22" s="35"/>
      <c r="HV22" s="35"/>
      <c r="HW22" s="35"/>
      <c r="HX22" s="35"/>
      <c r="HY22" s="35"/>
      <c r="HZ22" s="35"/>
      <c r="IA22" s="35"/>
      <c r="IB22" s="35"/>
      <c r="IC22" s="35"/>
      <c r="ID22" s="35"/>
      <c r="IE22" s="35"/>
      <c r="IF22" s="35"/>
      <c r="IG22" s="35"/>
      <c r="IH22" s="35"/>
      <c r="II22" s="35"/>
      <c r="IJ22" s="35"/>
      <c r="IK22" s="35"/>
      <c r="IL22" s="35"/>
      <c r="IM22" s="35"/>
      <c r="IN22" s="35"/>
      <c r="IO22" s="35"/>
      <c r="IP22" s="35"/>
      <c r="IQ22" s="35"/>
      <c r="IR22" s="35"/>
      <c r="IS22" s="35"/>
      <c r="IT22" s="35"/>
      <c r="IU22" s="35"/>
      <c r="IV22" s="35"/>
      <c r="IW22" s="35"/>
      <c r="IX22" s="35"/>
      <c r="IY22" s="35"/>
      <c r="IZ22" s="35"/>
      <c r="JA22" s="35"/>
      <c r="JB22" s="35"/>
      <c r="JC22" s="35"/>
      <c r="JD22" s="35"/>
      <c r="JE22" s="35"/>
      <c r="JF22" s="35"/>
      <c r="JG22" s="35"/>
      <c r="JH22" s="35"/>
      <c r="JI22" s="35"/>
      <c r="JJ22" s="35"/>
      <c r="JK22" s="35"/>
      <c r="JL22" s="35"/>
      <c r="JM22" s="35"/>
      <c r="JN22" s="35"/>
      <c r="JO22" s="35"/>
      <c r="JP22" s="35"/>
      <c r="JQ22" s="35"/>
      <c r="JR22" s="35"/>
      <c r="JS22" s="35"/>
      <c r="JT22" s="35"/>
      <c r="JU22" s="35"/>
      <c r="JV22" s="35"/>
      <c r="JW22" s="35"/>
      <c r="JX22" s="35"/>
      <c r="JY22" s="35"/>
      <c r="JZ22" s="35"/>
      <c r="KA22" s="35"/>
      <c r="KB22" s="35"/>
      <c r="KC22" s="35"/>
      <c r="KD22" s="35"/>
      <c r="KE22" s="35"/>
      <c r="KF22" s="35"/>
      <c r="KG22" s="35"/>
      <c r="KH22" s="35"/>
      <c r="KI22" s="35"/>
      <c r="KJ22" s="35"/>
      <c r="KK22" s="35"/>
      <c r="KL22" s="35"/>
      <c r="KM22" s="35"/>
      <c r="KN22" s="35"/>
      <c r="KO22" s="35"/>
      <c r="KP22" s="35"/>
      <c r="KQ22" s="35"/>
      <c r="KR22" s="35"/>
      <c r="KS22" s="35"/>
      <c r="KT22" s="35"/>
      <c r="KU22" s="35"/>
      <c r="KV22" s="35"/>
      <c r="KW22" s="35"/>
      <c r="KX22" s="35"/>
      <c r="KY22" s="35"/>
      <c r="KZ22" s="35"/>
      <c r="LA22" s="35"/>
      <c r="LB22" s="35"/>
      <c r="LC22" s="35"/>
      <c r="LD22" s="35"/>
      <c r="LE22" s="35"/>
      <c r="LF22" s="35"/>
      <c r="LG22" s="35"/>
      <c r="LH22" s="35"/>
      <c r="LI22" s="35"/>
      <c r="LJ22" s="35"/>
      <c r="LK22" s="35"/>
      <c r="LL22" s="35"/>
      <c r="LM22" s="35"/>
      <c r="LN22" s="35"/>
      <c r="LO22" s="35"/>
      <c r="LP22" s="35"/>
      <c r="LQ22" s="35"/>
      <c r="LR22" s="35"/>
      <c r="LS22" s="35"/>
      <c r="LT22" s="35"/>
      <c r="LU22" s="35"/>
      <c r="LV22" s="35"/>
      <c r="LW22" s="35"/>
      <c r="LX22" s="35"/>
      <c r="LY22" s="35"/>
      <c r="LZ22" s="35"/>
      <c r="MA22" s="35"/>
      <c r="MB22" s="35"/>
      <c r="MC22" s="35"/>
      <c r="MD22" s="35"/>
      <c r="ME22" s="35"/>
      <c r="MF22" s="35"/>
      <c r="MG22" s="35"/>
      <c r="MH22" s="35"/>
      <c r="MI22" s="35"/>
      <c r="MJ22" s="35"/>
      <c r="MK22" s="35"/>
      <c r="ML22" s="35"/>
      <c r="MM22" s="35"/>
      <c r="MN22" s="35"/>
      <c r="MO22" s="35"/>
      <c r="MP22" s="35"/>
      <c r="MQ22" s="35"/>
      <c r="MR22" s="35"/>
      <c r="MS22" s="35"/>
      <c r="MT22" s="35"/>
      <c r="MU22" s="35"/>
      <c r="MV22" s="35"/>
      <c r="MW22" s="35"/>
      <c r="MX22" s="35"/>
      <c r="MY22" s="35"/>
      <c r="MZ22" s="35"/>
      <c r="NA22" s="35"/>
      <c r="NB22" s="35"/>
      <c r="NC22" s="35"/>
      <c r="ND22" s="35"/>
      <c r="NE22" s="35"/>
      <c r="NF22" s="35"/>
      <c r="NG22" s="35"/>
      <c r="NH22" s="35"/>
      <c r="NI22" s="35"/>
      <c r="NJ22" s="35"/>
      <c r="NK22" s="35"/>
      <c r="NL22" s="35"/>
      <c r="NM22" s="35"/>
      <c r="NN22" s="35"/>
      <c r="NO22" s="35"/>
      <c r="NP22" s="35"/>
      <c r="NQ22" s="35"/>
      <c r="NR22" s="35"/>
      <c r="NS22" s="35"/>
      <c r="NT22" s="35"/>
      <c r="NU22" s="35"/>
      <c r="NV22" s="35"/>
      <c r="NW22" s="35"/>
      <c r="NX22" s="35"/>
      <c r="NY22" s="35"/>
      <c r="NZ22" s="35"/>
      <c r="OA22" s="35"/>
      <c r="OB22" s="35"/>
      <c r="OC22" s="35"/>
      <c r="OD22" s="35"/>
      <c r="OE22" s="35"/>
      <c r="OF22" s="35"/>
      <c r="OG22" s="35"/>
      <c r="OH22" s="35"/>
      <c r="OI22" s="35"/>
      <c r="OJ22" s="35"/>
      <c r="OK22" s="35"/>
      <c r="OL22" s="35"/>
      <c r="OM22" s="35"/>
      <c r="ON22" s="35"/>
      <c r="OO22" s="35"/>
      <c r="OP22" s="35"/>
      <c r="OQ22" s="35"/>
      <c r="OR22" s="35"/>
      <c r="OS22" s="35"/>
      <c r="OT22" s="35"/>
      <c r="OU22" s="35"/>
      <c r="OV22" s="35"/>
      <c r="OW22" s="35"/>
      <c r="OX22" s="35"/>
      <c r="OY22" s="35"/>
      <c r="OZ22" s="35"/>
      <c r="PA22" s="35"/>
      <c r="PB22" s="35"/>
      <c r="PC22" s="35"/>
      <c r="PD22" s="35"/>
      <c r="PE22" s="35"/>
      <c r="PF22" s="35"/>
      <c r="PG22" s="35"/>
      <c r="PH22" s="35"/>
      <c r="PI22" s="35"/>
      <c r="PJ22" s="35"/>
      <c r="PK22" s="35"/>
      <c r="PL22" s="35"/>
      <c r="PM22" s="35"/>
      <c r="PN22" s="35"/>
      <c r="PO22" s="35"/>
      <c r="PP22" s="35"/>
      <c r="PQ22" s="35"/>
      <c r="PR22" s="35"/>
      <c r="PS22" s="35"/>
      <c r="PT22" s="35"/>
      <c r="PU22" s="35"/>
      <c r="PV22" s="35"/>
      <c r="PW22" s="35"/>
      <c r="PX22" s="35"/>
      <c r="PY22" s="35"/>
      <c r="PZ22" s="35"/>
      <c r="QA22" s="35"/>
      <c r="QB22" s="35"/>
      <c r="QC22" s="35"/>
      <c r="QD22" s="35"/>
      <c r="QE22" s="35"/>
      <c r="QF22" s="35"/>
      <c r="QG22" s="35"/>
      <c r="QH22" s="35"/>
      <c r="QI22" s="35"/>
      <c r="QJ22" s="35"/>
      <c r="QK22" s="35"/>
      <c r="QL22" s="35"/>
      <c r="QM22" s="35"/>
      <c r="QN22" s="35"/>
      <c r="QO22" s="35"/>
      <c r="QP22" s="35"/>
      <c r="QQ22" s="35"/>
      <c r="QR22" s="35"/>
      <c r="QS22" s="35"/>
      <c r="QT22" s="35"/>
      <c r="QU22" s="35"/>
      <c r="QV22" s="35"/>
      <c r="QW22" s="35"/>
      <c r="QX22" s="35"/>
      <c r="QY22" s="35"/>
      <c r="QZ22" s="35"/>
      <c r="RA22" s="35"/>
      <c r="RB22" s="35"/>
      <c r="RC22" s="35"/>
      <c r="RD22" s="35"/>
      <c r="RE22" s="35"/>
      <c r="RF22" s="35"/>
      <c r="RG22" s="35"/>
      <c r="RH22" s="35"/>
      <c r="RI22" s="35"/>
      <c r="RJ22" s="35"/>
      <c r="RK22" s="35"/>
      <c r="RL22" s="35"/>
      <c r="RM22" s="35"/>
      <c r="RN22" s="35"/>
      <c r="RO22" s="35"/>
      <c r="RP22" s="35"/>
      <c r="RQ22" s="35"/>
      <c r="RR22" s="35"/>
      <c r="RS22" s="35"/>
      <c r="RT22" s="35"/>
      <c r="RU22" s="35"/>
      <c r="RV22" s="35"/>
      <c r="RW22" s="35"/>
      <c r="RX22" s="35"/>
      <c r="RY22" s="35"/>
      <c r="RZ22" s="35"/>
      <c r="SA22" s="35"/>
      <c r="SB22" s="35"/>
      <c r="SC22" s="35"/>
      <c r="SD22" s="35"/>
      <c r="SE22" s="35"/>
      <c r="SF22" s="35"/>
      <c r="SG22" s="35"/>
      <c r="SH22" s="35"/>
      <c r="SI22" s="35"/>
      <c r="SJ22" s="35"/>
      <c r="SK22" s="35"/>
      <c r="SL22" s="35"/>
      <c r="SM22" s="35"/>
      <c r="SN22" s="35"/>
      <c r="SO22" s="35"/>
      <c r="SP22" s="35"/>
      <c r="SQ22" s="35"/>
      <c r="SR22" s="35"/>
      <c r="SS22" s="35"/>
      <c r="ST22" s="35"/>
      <c r="SU22" s="35"/>
      <c r="SV22" s="35"/>
      <c r="SW22" s="35"/>
      <c r="SX22" s="35"/>
      <c r="SY22" s="35"/>
      <c r="SZ22" s="35"/>
      <c r="TA22" s="35"/>
      <c r="TB22" s="35"/>
      <c r="TC22" s="35"/>
      <c r="TD22" s="35"/>
      <c r="TE22" s="35"/>
      <c r="TF22" s="35"/>
      <c r="TG22" s="35"/>
      <c r="TH22" s="35"/>
      <c r="TI22" s="35"/>
      <c r="TJ22" s="35"/>
      <c r="TK22" s="35"/>
      <c r="TL22" s="35"/>
      <c r="TM22" s="35"/>
      <c r="TN22" s="35"/>
      <c r="TO22" s="35"/>
      <c r="TP22" s="35"/>
      <c r="TQ22" s="35"/>
      <c r="TR22" s="35"/>
      <c r="TS22" s="35"/>
      <c r="TT22" s="35"/>
      <c r="TU22" s="35"/>
      <c r="TV22" s="35"/>
      <c r="TW22" s="35"/>
      <c r="TX22" s="35"/>
      <c r="TY22" s="35"/>
      <c r="TZ22" s="35"/>
      <c r="UA22" s="35"/>
      <c r="UB22" s="35"/>
      <c r="UC22" s="35"/>
      <c r="UD22" s="35"/>
      <c r="UE22" s="35"/>
      <c r="UF22" s="35"/>
      <c r="UG22" s="35"/>
      <c r="UH22" s="35"/>
      <c r="UI22" s="35"/>
      <c r="UJ22" s="35"/>
      <c r="UK22" s="35"/>
      <c r="UL22" s="35"/>
      <c r="UM22" s="35"/>
      <c r="UN22" s="35"/>
      <c r="UO22" s="35"/>
      <c r="UP22" s="35"/>
      <c r="UQ22" s="35"/>
      <c r="UR22" s="35"/>
      <c r="US22" s="35"/>
      <c r="UT22" s="35"/>
      <c r="UU22" s="35"/>
      <c r="UV22" s="35"/>
      <c r="UW22" s="35"/>
      <c r="UX22" s="35"/>
      <c r="UY22" s="35"/>
      <c r="UZ22" s="35"/>
      <c r="VA22" s="35"/>
      <c r="VB22" s="35"/>
      <c r="VC22" s="35"/>
      <c r="VD22" s="35"/>
      <c r="VE22" s="35"/>
      <c r="VF22" s="35"/>
      <c r="VG22" s="35"/>
      <c r="VH22" s="35"/>
      <c r="VI22" s="35"/>
      <c r="VJ22" s="35"/>
      <c r="VK22" s="35"/>
      <c r="VL22" s="35"/>
      <c r="VM22" s="35"/>
      <c r="VN22" s="35"/>
      <c r="VO22" s="35"/>
      <c r="VP22" s="35"/>
      <c r="VQ22" s="35"/>
      <c r="VR22" s="35"/>
      <c r="VS22" s="35"/>
      <c r="VT22" s="35"/>
      <c r="VU22" s="35"/>
      <c r="VV22" s="35"/>
      <c r="VW22" s="35"/>
      <c r="VX22" s="35"/>
      <c r="VY22" s="35"/>
      <c r="VZ22" s="35"/>
      <c r="WA22" s="35"/>
      <c r="WB22" s="35"/>
      <c r="WC22" s="35"/>
      <c r="WD22" s="35"/>
      <c r="WE22" s="35"/>
      <c r="WF22" s="35"/>
      <c r="WG22" s="35"/>
      <c r="WH22" s="35"/>
      <c r="WI22" s="35"/>
      <c r="WJ22" s="35"/>
      <c r="WK22" s="35"/>
      <c r="WL22" s="35"/>
      <c r="WM22" s="35"/>
      <c r="WN22" s="35"/>
      <c r="WO22" s="35"/>
      <c r="WP22" s="35"/>
      <c r="WQ22" s="35"/>
      <c r="WR22" s="35"/>
      <c r="WS22" s="35"/>
      <c r="WT22" s="35"/>
      <c r="WU22" s="35"/>
      <c r="WV22" s="35"/>
      <c r="WW22" s="35"/>
      <c r="WX22" s="35"/>
      <c r="WY22" s="35"/>
      <c r="WZ22" s="35"/>
      <c r="XA22" s="35"/>
      <c r="XB22" s="35"/>
      <c r="XC22" s="35"/>
      <c r="XD22" s="35"/>
      <c r="XE22" s="35"/>
      <c r="XF22" s="35"/>
      <c r="XG22" s="35"/>
      <c r="XH22" s="35"/>
      <c r="XI22" s="35"/>
      <c r="XJ22" s="35"/>
      <c r="XK22" s="35"/>
      <c r="XL22" s="35"/>
      <c r="XM22" s="35"/>
      <c r="XN22" s="35"/>
      <c r="XO22" s="35"/>
      <c r="XP22" s="35"/>
      <c r="XQ22" s="35"/>
      <c r="XR22" s="35"/>
      <c r="XS22" s="35"/>
      <c r="XT22" s="35"/>
      <c r="XU22" s="35"/>
      <c r="XV22" s="35"/>
      <c r="XW22" s="35"/>
      <c r="XX22" s="35"/>
      <c r="XY22" s="35"/>
      <c r="XZ22" s="35"/>
      <c r="YA22" s="35"/>
      <c r="YB22" s="35"/>
      <c r="YC22" s="35"/>
      <c r="YD22" s="35"/>
      <c r="YE22" s="35"/>
      <c r="YF22" s="35"/>
      <c r="YG22" s="35"/>
      <c r="YH22" s="35"/>
      <c r="YI22" s="35"/>
      <c r="YJ22" s="35"/>
      <c r="YK22" s="35"/>
      <c r="YL22" s="35"/>
      <c r="YM22" s="35"/>
      <c r="YN22" s="35"/>
      <c r="YO22" s="35"/>
      <c r="YP22" s="35"/>
      <c r="YQ22" s="35"/>
      <c r="YR22" s="35"/>
      <c r="YS22" s="35"/>
      <c r="YT22" s="35"/>
      <c r="YU22" s="35"/>
      <c r="YV22" s="35"/>
      <c r="YW22" s="35"/>
      <c r="YX22" s="35"/>
      <c r="YY22" s="35"/>
      <c r="YZ22" s="35"/>
      <c r="ZA22" s="35"/>
      <c r="ZB22" s="35"/>
      <c r="ZC22" s="35"/>
      <c r="ZD22" s="35"/>
      <c r="ZE22" s="35"/>
      <c r="ZF22" s="35"/>
      <c r="ZG22" s="35"/>
      <c r="ZH22" s="35"/>
      <c r="ZI22" s="35"/>
      <c r="ZJ22" s="35"/>
      <c r="ZK22" s="35"/>
      <c r="ZL22" s="35"/>
      <c r="ZM22" s="35"/>
      <c r="ZN22" s="35"/>
      <c r="ZO22" s="35"/>
      <c r="ZP22" s="35"/>
      <c r="ZQ22" s="35"/>
      <c r="ZR22" s="35"/>
      <c r="ZS22" s="35"/>
      <c r="ZT22" s="35"/>
      <c r="ZU22" s="35"/>
      <c r="ZV22" s="35"/>
      <c r="ZW22" s="35"/>
      <c r="ZX22" s="35"/>
      <c r="ZY22" s="35"/>
      <c r="ZZ22" s="35"/>
      <c r="AAA22" s="35"/>
      <c r="AAB22" s="35"/>
      <c r="AAC22" s="35"/>
      <c r="AAD22" s="35"/>
      <c r="AAE22" s="35"/>
      <c r="AAF22" s="35"/>
      <c r="AAG22" s="35"/>
      <c r="AAH22" s="35"/>
      <c r="AAI22" s="35"/>
      <c r="AAJ22" s="35"/>
      <c r="AAK22" s="35"/>
      <c r="AAL22" s="35"/>
      <c r="AAM22" s="35"/>
      <c r="AAN22" s="35"/>
      <c r="AAO22" s="35"/>
      <c r="AAP22" s="35"/>
      <c r="AAQ22" s="35"/>
      <c r="AAR22" s="35"/>
      <c r="AAS22" s="35"/>
      <c r="AAT22" s="35"/>
      <c r="AAU22" s="35"/>
      <c r="AAV22" s="35"/>
      <c r="AAW22" s="35"/>
      <c r="AAX22" s="35"/>
      <c r="AAY22" s="35"/>
      <c r="AAZ22" s="35"/>
      <c r="ABA22" s="35"/>
      <c r="ABB22" s="35"/>
      <c r="ABC22" s="35"/>
      <c r="ABD22" s="35"/>
      <c r="ABE22" s="35"/>
      <c r="ABF22" s="35"/>
      <c r="ABG22" s="35"/>
      <c r="ABH22" s="35"/>
      <c r="ABI22" s="35"/>
      <c r="ABJ22" s="35"/>
      <c r="ABK22" s="35"/>
      <c r="ABL22" s="35"/>
      <c r="ABM22" s="35"/>
      <c r="ABN22" s="35"/>
      <c r="ABO22" s="35"/>
      <c r="ABP22" s="35"/>
      <c r="ABQ22" s="35"/>
      <c r="ABR22" s="35"/>
      <c r="ABS22" s="35"/>
      <c r="ABT22" s="35"/>
      <c r="ABU22" s="35"/>
      <c r="ABV22" s="35"/>
      <c r="ABW22" s="35"/>
      <c r="ABX22" s="35"/>
      <c r="ABY22" s="35"/>
      <c r="ABZ22" s="35"/>
      <c r="ACA22" s="35"/>
      <c r="ACB22" s="35"/>
      <c r="ACC22" s="35"/>
      <c r="ACD22" s="35"/>
      <c r="ACE22" s="35"/>
      <c r="ACF22" s="35"/>
      <c r="ACG22" s="35"/>
      <c r="ACH22" s="35"/>
      <c r="ACI22" s="35"/>
      <c r="ACJ22" s="35"/>
      <c r="ACK22" s="35"/>
      <c r="ACL22" s="35"/>
      <c r="ACM22" s="35"/>
      <c r="ACN22" s="35"/>
      <c r="ACO22" s="35"/>
      <c r="ACP22" s="35"/>
      <c r="ACQ22" s="35"/>
      <c r="ACR22" s="35"/>
      <c r="ACS22" s="35"/>
      <c r="ACT22" s="35"/>
      <c r="ACU22" s="35"/>
      <c r="ACV22" s="35"/>
      <c r="ACW22" s="35"/>
      <c r="ACX22" s="35"/>
      <c r="ACY22" s="35"/>
      <c r="ACZ22" s="35"/>
      <c r="ADA22" s="35"/>
      <c r="ADB22" s="35"/>
      <c r="ADC22" s="35"/>
      <c r="ADD22" s="35"/>
      <c r="ADE22" s="35"/>
      <c r="ADF22" s="35"/>
      <c r="ADG22" s="35"/>
      <c r="ADH22" s="35"/>
      <c r="ADI22" s="35"/>
      <c r="ADJ22" s="35"/>
      <c r="ADK22" s="35"/>
      <c r="ADL22" s="35"/>
      <c r="ADM22" s="35"/>
      <c r="ADN22" s="35"/>
      <c r="ADO22" s="35"/>
      <c r="ADP22" s="35"/>
      <c r="ADQ22" s="35"/>
      <c r="ADR22" s="35"/>
      <c r="ADS22" s="35"/>
      <c r="ADT22" s="35"/>
      <c r="ADU22" s="35"/>
      <c r="ADV22" s="35"/>
      <c r="ADW22" s="35"/>
      <c r="ADX22" s="35"/>
      <c r="ADY22" s="35"/>
      <c r="ADZ22" s="35"/>
      <c r="AEA22" s="35"/>
      <c r="AEB22" s="35"/>
      <c r="AEC22" s="35"/>
      <c r="AED22" s="35"/>
      <c r="AEE22" s="35"/>
      <c r="AEF22" s="35"/>
      <c r="AEG22" s="35"/>
      <c r="AEH22" s="35"/>
      <c r="AEI22" s="35"/>
      <c r="AEJ22" s="35"/>
      <c r="AEK22" s="35"/>
      <c r="AEL22" s="35"/>
      <c r="AEM22" s="35"/>
      <c r="AEN22" s="35"/>
      <c r="AEO22" s="35"/>
      <c r="AEP22" s="35"/>
      <c r="AEQ22" s="35"/>
      <c r="AER22" s="35"/>
      <c r="AES22" s="35"/>
      <c r="AET22" s="35"/>
      <c r="AEU22" s="35"/>
      <c r="AEV22" s="35"/>
      <c r="AEW22" s="35"/>
      <c r="AEX22" s="35"/>
      <c r="AEY22" s="35"/>
      <c r="AEZ22" s="35"/>
      <c r="AFA22" s="35"/>
      <c r="AFB22" s="35"/>
      <c r="AFC22" s="35"/>
      <c r="AFD22" s="35"/>
      <c r="AFE22" s="35"/>
      <c r="AFF22" s="35"/>
      <c r="AFG22" s="35"/>
      <c r="AFH22" s="35"/>
      <c r="AFI22" s="35"/>
      <c r="AFJ22" s="35"/>
      <c r="AFK22" s="35"/>
      <c r="AFL22" s="35"/>
      <c r="AFM22" s="35"/>
      <c r="AFN22" s="35"/>
      <c r="AFO22" s="35"/>
      <c r="AFP22" s="35"/>
      <c r="AFQ22" s="35"/>
      <c r="AFR22" s="35"/>
      <c r="AFS22" s="35"/>
      <c r="AFT22" s="35"/>
      <c r="AFU22" s="35"/>
      <c r="AFV22" s="35"/>
      <c r="AFW22" s="35"/>
      <c r="AFX22" s="35"/>
      <c r="AFY22" s="35"/>
      <c r="AFZ22" s="35"/>
      <c r="AGA22" s="35"/>
      <c r="AGB22" s="35"/>
      <c r="AGC22" s="35"/>
      <c r="AGD22" s="35"/>
      <c r="AGE22" s="35"/>
      <c r="AGF22" s="35"/>
      <c r="AGG22" s="35"/>
      <c r="AGH22" s="35"/>
      <c r="AGI22" s="35"/>
      <c r="AGJ22" s="35"/>
      <c r="AGK22" s="35"/>
      <c r="AGL22" s="35"/>
      <c r="AGM22" s="35"/>
      <c r="AGN22" s="35"/>
      <c r="AGO22" s="35"/>
      <c r="AGP22" s="35"/>
      <c r="AGQ22" s="35"/>
      <c r="AGR22" s="35"/>
      <c r="AGS22" s="35"/>
      <c r="AGT22" s="35"/>
      <c r="AGU22" s="35"/>
      <c r="AGV22" s="35"/>
      <c r="AGW22" s="35"/>
      <c r="AGX22" s="35"/>
      <c r="AGY22" s="35"/>
      <c r="AGZ22" s="35"/>
      <c r="AHA22" s="35"/>
      <c r="AHB22" s="35"/>
      <c r="AHC22" s="35"/>
      <c r="AHD22" s="35"/>
      <c r="AHE22" s="35"/>
      <c r="AHF22" s="35"/>
      <c r="AHG22" s="35"/>
      <c r="AHH22" s="35"/>
      <c r="AHI22" s="35"/>
      <c r="AHJ22" s="35"/>
      <c r="AHK22" s="35"/>
      <c r="AHL22" s="35"/>
      <c r="AHM22" s="35"/>
      <c r="AHN22" s="35"/>
      <c r="AHO22" s="35"/>
      <c r="AHP22" s="35"/>
      <c r="AHQ22" s="35"/>
      <c r="AHR22" s="35"/>
      <c r="AHS22" s="35"/>
      <c r="AHT22" s="35"/>
      <c r="AHU22" s="35"/>
      <c r="AHV22" s="35"/>
      <c r="AHW22" s="35"/>
      <c r="AHX22" s="35"/>
      <c r="AHY22" s="35"/>
      <c r="AHZ22" s="35"/>
      <c r="AIA22" s="35"/>
      <c r="AIB22" s="35"/>
      <c r="AIC22" s="35"/>
      <c r="AID22" s="35"/>
      <c r="AIE22" s="35"/>
      <c r="AIF22" s="35"/>
      <c r="AIG22" s="35"/>
      <c r="AIH22" s="35"/>
      <c r="AII22" s="35"/>
      <c r="AIJ22" s="35"/>
      <c r="AIK22" s="35"/>
      <c r="AIL22" s="35"/>
      <c r="AIM22" s="35"/>
      <c r="AIN22" s="35"/>
      <c r="AIO22" s="35"/>
      <c r="AIP22" s="35"/>
      <c r="AIQ22" s="35"/>
      <c r="AIR22" s="35"/>
      <c r="AIS22" s="35"/>
      <c r="AIT22" s="35"/>
      <c r="AIU22" s="35"/>
      <c r="AIV22" s="35"/>
      <c r="AIW22" s="35"/>
      <c r="AIX22" s="35"/>
      <c r="AIY22" s="35"/>
      <c r="AIZ22" s="35"/>
      <c r="AJA22" s="35"/>
      <c r="AJB22" s="35"/>
      <c r="AJC22" s="35"/>
      <c r="AJD22" s="35"/>
      <c r="AJE22" s="35"/>
      <c r="AJF22" s="35"/>
      <c r="AJG22" s="35"/>
      <c r="AJH22" s="35"/>
      <c r="AJI22" s="35"/>
      <c r="AJJ22" s="35"/>
      <c r="AJK22" s="35"/>
      <c r="AJL22" s="35"/>
      <c r="AJM22" s="35"/>
      <c r="AJN22" s="35"/>
      <c r="AJO22" s="35"/>
      <c r="AJP22" s="35"/>
      <c r="AJQ22" s="35"/>
      <c r="AJR22" s="35"/>
      <c r="AJS22" s="35"/>
      <c r="AJT22" s="35"/>
      <c r="AJU22" s="35"/>
      <c r="AJV22" s="35"/>
      <c r="AJW22" s="35"/>
      <c r="AJX22" s="35"/>
      <c r="AJY22" s="35"/>
      <c r="AJZ22" s="35"/>
      <c r="AKA22" s="35"/>
      <c r="AKB22" s="35"/>
      <c r="AKC22" s="35"/>
      <c r="AKD22" s="35"/>
      <c r="AKE22" s="35"/>
      <c r="AKF22" s="35"/>
      <c r="AKG22" s="35"/>
      <c r="AKH22" s="35"/>
      <c r="AKI22" s="35"/>
      <c r="AKJ22" s="35"/>
      <c r="AKK22" s="35"/>
      <c r="AKL22" s="35"/>
      <c r="AKM22" s="35"/>
      <c r="AKN22" s="35"/>
      <c r="AKO22" s="35"/>
      <c r="AKP22" s="35"/>
      <c r="AKQ22" s="35"/>
      <c r="AKR22" s="35"/>
      <c r="AKS22" s="35"/>
      <c r="AKT22" s="35"/>
      <c r="AKU22" s="35"/>
      <c r="AKV22" s="35"/>
      <c r="AKW22" s="35"/>
      <c r="AKX22" s="35"/>
      <c r="AKY22" s="35"/>
      <c r="AKZ22" s="35"/>
      <c r="ALA22" s="35"/>
      <c r="ALB22" s="35"/>
      <c r="ALC22" s="35"/>
      <c r="ALD22" s="35"/>
      <c r="ALE22" s="35"/>
      <c r="ALF22" s="35"/>
      <c r="ALG22" s="35"/>
      <c r="ALH22" s="35"/>
      <c r="ALI22" s="35"/>
      <c r="ALJ22" s="35"/>
      <c r="ALK22" s="35"/>
      <c r="ALL22" s="35"/>
      <c r="ALM22" s="35"/>
      <c r="ALN22" s="35"/>
      <c r="ALO22" s="35"/>
      <c r="ALP22" s="35"/>
      <c r="ALQ22" s="35"/>
      <c r="ALR22" s="35"/>
      <c r="ALS22" s="35"/>
      <c r="ALT22" s="35"/>
      <c r="ALU22" s="35"/>
      <c r="ALV22" s="35"/>
      <c r="ALW22" s="35"/>
      <c r="ALX22" s="35"/>
      <c r="ALY22" s="35"/>
      <c r="ALZ22" s="35"/>
      <c r="AMA22" s="35"/>
      <c r="AMB22" s="35"/>
      <c r="AMC22" s="35"/>
      <c r="AMD22" s="35"/>
      <c r="AME22" s="35"/>
      <c r="AMF22" s="35"/>
      <c r="AMG22" s="35"/>
      <c r="AMH22" s="35"/>
      <c r="AMI22" s="35"/>
      <c r="AMJ22" s="35"/>
      <c r="AMK22" s="35"/>
      <c r="AML22" s="35"/>
      <c r="AMM22" s="35"/>
      <c r="AMN22" s="35"/>
      <c r="AMO22" s="35"/>
      <c r="AMP22" s="35"/>
      <c r="AMQ22" s="35"/>
      <c r="AMR22" s="35"/>
      <c r="AMS22" s="35"/>
      <c r="AMT22" s="35"/>
      <c r="AMU22" s="35"/>
      <c r="AMV22" s="35"/>
      <c r="AMW22" s="35"/>
      <c r="AMX22" s="35"/>
      <c r="AMY22" s="35"/>
      <c r="AMZ22" s="35"/>
      <c r="ANA22" s="35"/>
    </row>
    <row r="23" customFormat="false" ht="74.6" hidden="false" customHeight="true" outlineLevel="0" collapsed="false">
      <c r="A23" s="43" t="s">
        <v>414</v>
      </c>
      <c r="B23" s="43" t="s">
        <v>415</v>
      </c>
      <c r="C23" s="43" t="s">
        <v>416</v>
      </c>
      <c r="D23" s="44" t="s">
        <v>417</v>
      </c>
      <c r="E23" s="44" t="s">
        <v>418</v>
      </c>
      <c r="F23" s="45" t="s">
        <v>419</v>
      </c>
      <c r="G23" s="45" t="s">
        <v>420</v>
      </c>
      <c r="H23" s="45" t="s">
        <v>421</v>
      </c>
      <c r="I23" s="45" t="s">
        <v>422</v>
      </c>
      <c r="J23" s="45" t="s">
        <v>423</v>
      </c>
      <c r="K23" s="45" t="s">
        <v>424</v>
      </c>
      <c r="L23" s="45" t="s">
        <v>425</v>
      </c>
      <c r="M23" s="45" t="s">
        <v>426</v>
      </c>
      <c r="N23" s="46" t="s">
        <v>427</v>
      </c>
      <c r="O23" s="47" t="s">
        <v>346</v>
      </c>
      <c r="P23" s="46" t="s">
        <v>428</v>
      </c>
      <c r="Q23" s="46" t="s">
        <v>429</v>
      </c>
      <c r="R23" s="45" t="s">
        <v>430</v>
      </c>
      <c r="S23" s="45" t="s">
        <v>431</v>
      </c>
      <c r="T23" s="45" t="s">
        <v>432</v>
      </c>
      <c r="U23" s="45" t="s">
        <v>433</v>
      </c>
      <c r="V23" s="45" t="s">
        <v>434</v>
      </c>
      <c r="W23" s="45" t="s">
        <v>435</v>
      </c>
      <c r="X23" s="43" t="s">
        <v>436</v>
      </c>
      <c r="Y23" s="43" t="s">
        <v>437</v>
      </c>
      <c r="Z23" s="45" t="s">
        <v>438</v>
      </c>
      <c r="AA23" s="45" t="s">
        <v>439</v>
      </c>
      <c r="AB23" s="48" t="s">
        <v>440</v>
      </c>
      <c r="AC23" s="48" t="s">
        <v>441</v>
      </c>
      <c r="AD23" s="48" t="s">
        <v>442</v>
      </c>
      <c r="AE23" s="43" t="s">
        <v>443</v>
      </c>
      <c r="AF23" s="45" t="s">
        <v>444</v>
      </c>
      <c r="AG23" s="45" t="s">
        <v>445</v>
      </c>
      <c r="AH23" s="45" t="s">
        <v>446</v>
      </c>
      <c r="AI23" s="45" t="s">
        <v>447</v>
      </c>
      <c r="AJ23" s="45" t="s">
        <v>448</v>
      </c>
      <c r="AK23" s="45" t="s">
        <v>449</v>
      </c>
      <c r="AL23" s="49" t="s">
        <v>450</v>
      </c>
      <c r="AM23" s="49" t="s">
        <v>451</v>
      </c>
      <c r="AN23" s="49" t="s">
        <v>351</v>
      </c>
      <c r="AO23" s="49" t="s">
        <v>452</v>
      </c>
      <c r="AP23" s="49" t="s">
        <v>453</v>
      </c>
      <c r="AQ23" s="49" t="s">
        <v>392</v>
      </c>
      <c r="AR23" s="49" t="s">
        <v>393</v>
      </c>
      <c r="AS23" s="49" t="s">
        <v>394</v>
      </c>
      <c r="AT23" s="49" t="s">
        <v>395</v>
      </c>
      <c r="AU23" s="49" t="s">
        <v>396</v>
      </c>
      <c r="AV23" s="49" t="s">
        <v>397</v>
      </c>
      <c r="AW23" s="49" t="s">
        <v>398</v>
      </c>
      <c r="AX23" s="49" t="s">
        <v>399</v>
      </c>
      <c r="AY23" s="49" t="s">
        <v>400</v>
      </c>
      <c r="AZ23" s="49" t="s">
        <v>401</v>
      </c>
      <c r="BA23" s="49" t="s">
        <v>402</v>
      </c>
      <c r="BB23" s="49" t="s">
        <v>403</v>
      </c>
      <c r="BC23" s="49" t="s">
        <v>404</v>
      </c>
      <c r="BD23" s="49" t="s">
        <v>405</v>
      </c>
      <c r="BE23" s="49" t="s">
        <v>406</v>
      </c>
      <c r="BF23" s="49" t="s">
        <v>407</v>
      </c>
      <c r="BG23" s="49" t="s">
        <v>408</v>
      </c>
      <c r="BH23" s="49" t="s">
        <v>409</v>
      </c>
      <c r="BI23" s="49" t="s">
        <v>410</v>
      </c>
      <c r="BJ23" s="49" t="s">
        <v>411</v>
      </c>
      <c r="BK23" s="50" t="n">
        <v>45658</v>
      </c>
      <c r="BL23" s="50" t="n">
        <v>45689</v>
      </c>
      <c r="BM23" s="50" t="n">
        <v>45717</v>
      </c>
      <c r="BN23" s="50" t="n">
        <v>45748</v>
      </c>
      <c r="BO23" s="50" t="n">
        <v>45778</v>
      </c>
      <c r="BP23" s="50" t="n">
        <v>45809</v>
      </c>
      <c r="BQ23" s="50" t="n">
        <v>45839</v>
      </c>
      <c r="BR23" s="50" t="n">
        <v>45870</v>
      </c>
      <c r="BS23" s="50" t="n">
        <v>45901</v>
      </c>
      <c r="BT23" s="50" t="n">
        <v>45931</v>
      </c>
      <c r="BU23" s="50" t="n">
        <v>45962</v>
      </c>
      <c r="BV23" s="50" t="n">
        <v>45992</v>
      </c>
      <c r="BW23" s="48" t="s">
        <v>454</v>
      </c>
    </row>
    <row r="24" customFormat="false" ht="8.75" hidden="false" customHeight="true" outlineLevel="0" collapsed="false">
      <c r="A24" s="39" t="str">
        <f aca="false">A23</f>
        <v>A</v>
      </c>
      <c r="B24" s="39" t="str">
        <f aca="false">B23</f>
        <v>First Note</v>
      </c>
      <c r="C24" s="39" t="str">
        <f aca="false">C23</f>
        <v>Last Note</v>
      </c>
      <c r="D24" s="38" t="str">
        <f aca="false">D23</f>
        <v>First Note Date</v>
      </c>
      <c r="E24" s="38" t="str">
        <f aca="false">E23</f>
        <v>Last Note Date</v>
      </c>
      <c r="F24" s="51" t="str">
        <f aca="false">F23</f>
        <v>Last Date</v>
      </c>
      <c r="G24" s="51" t="str">
        <f aca="false">G23</f>
        <v>Duration</v>
      </c>
      <c r="H24" s="51" t="str">
        <f aca="false">H23</f>
        <v>Tasks Open</v>
      </c>
      <c r="I24" s="51" t="str">
        <f aca="false">I23</f>
        <v>Tasks Started</v>
      </c>
      <c r="J24" s="51" t="str">
        <f aca="false">J23</f>
        <v>Tasks Pending</v>
      </c>
      <c r="K24" s="51" t="str">
        <f aca="false">K23</f>
        <v>Tasks Urgent</v>
      </c>
      <c r="L24" s="51" t="str">
        <f aca="false">L23</f>
        <v>Tasks Done</v>
      </c>
      <c r="M24" s="51" t="str">
        <f aca="false">M23</f>
        <v>Tasks Total</v>
      </c>
      <c r="N24" s="51" t="str">
        <f aca="false">N23</f>
        <v>Last wk?</v>
      </c>
      <c r="O24" s="52" t="str">
        <f aca="false">O23</f>
        <v>Sort</v>
      </c>
      <c r="P24" s="51" t="str">
        <f aca="false">P23</f>
        <v>Rep ?</v>
      </c>
      <c r="Q24" s="51" t="str">
        <f aca="false">Q23</f>
        <v>Force Rep?</v>
      </c>
      <c r="R24" s="51"/>
      <c r="S24" s="51" t="str">
        <f aca="false">S23</f>
        <v>Whom for lvl1</v>
      </c>
      <c r="T24" s="51" t="str">
        <f aca="false">T23</f>
        <v>Whom for lvl2</v>
      </c>
      <c r="U24" s="51" t="str">
        <f aca="false">U23</f>
        <v>Whom By Lvl1</v>
      </c>
      <c r="V24" s="51" t="str">
        <f aca="false">V23</f>
        <v>Whom By Lvl2</v>
      </c>
      <c r="W24" s="51" t="str">
        <f aca="false">W23</f>
        <v>Goal</v>
      </c>
      <c r="X24" s="39" t="str">
        <f aca="false">X23</f>
        <v>Sub-Goal</v>
      </c>
      <c r="Y24" s="39" t="str">
        <f aca="false">Y23</f>
        <v>Initiative</v>
      </c>
      <c r="Z24" s="51" t="str">
        <f aca="false">Z23</f>
        <v>Planning Type</v>
      </c>
      <c r="AA24" s="51" t="str">
        <f aca="false">AA23</f>
        <v>Status</v>
      </c>
      <c r="AB24" s="52" t="str">
        <f aca="false">AB23</f>
        <v>Name</v>
      </c>
      <c r="AC24" s="52" t="str">
        <f aca="false">AC23</f>
        <v>Details:</v>
      </c>
      <c r="AD24" s="52" t="str">
        <f aca="false">AD23</f>
        <v>Notes</v>
      </c>
      <c r="AE24" s="39" t="str">
        <f aca="false">AE23</f>
        <v>Tasks</v>
      </c>
      <c r="AF24" s="51" t="str">
        <f aca="false">AF23</f>
        <v>Tasks Left </v>
      </c>
      <c r="AG24" s="39" t="str">
        <f aca="false">AG23</f>
        <v>Task Progress</v>
      </c>
      <c r="AH24" s="51" t="str">
        <f aca="false">AH23</f>
        <v>Period (label)</v>
      </c>
      <c r="AI24" s="51" t="str">
        <f aca="false">AI23</f>
        <v>Period (count)</v>
      </c>
      <c r="AJ24" s="51" t="str">
        <f aca="false">AJ23</f>
        <v>Effort / count (hr)</v>
      </c>
      <c r="AK24" s="51" t="str">
        <f aca="false">AK23</f>
        <v>Effort / yr (days)</v>
      </c>
      <c r="AL24" s="51" t="str">
        <f aca="false">AL23</f>
        <v>Start Date</v>
      </c>
      <c r="AM24" s="51" t="str">
        <f aca="false">AM23</f>
        <v>End Date</v>
      </c>
      <c r="AN24" s="51" t="str">
        <f aca="false">AN23</f>
        <v>Hold Date</v>
      </c>
      <c r="AO24" s="51" t="str">
        <f aca="false">AO23</f>
        <v>Complete Date</v>
      </c>
      <c r="AP24" s="51" t="str">
        <f aca="false">AP23</f>
        <v>Effort / project (days)</v>
      </c>
      <c r="AQ24" s="51" t="str">
        <f aca="false">AQ23</f>
        <v>Custom Field 1</v>
      </c>
      <c r="AR24" s="51" t="str">
        <f aca="false">AR23</f>
        <v>Custom Field 2</v>
      </c>
      <c r="AS24" s="51" t="str">
        <f aca="false">AS23</f>
        <v>Custom Field 3</v>
      </c>
      <c r="AT24" s="51" t="str">
        <f aca="false">AT23</f>
        <v>Custom Field 4</v>
      </c>
      <c r="AU24" s="51" t="str">
        <f aca="false">AU23</f>
        <v>Custom Field 5</v>
      </c>
      <c r="AV24" s="51" t="str">
        <f aca="false">AV23</f>
        <v>Custom Field 6</v>
      </c>
      <c r="AW24" s="51" t="str">
        <f aca="false">AW23</f>
        <v>Custom Field 7</v>
      </c>
      <c r="AX24" s="51" t="str">
        <f aca="false">AX23</f>
        <v>Custom Field 8</v>
      </c>
      <c r="AY24" s="51" t="str">
        <f aca="false">AY23</f>
        <v>Custom Field 9</v>
      </c>
      <c r="AZ24" s="51" t="str">
        <f aca="false">AZ23</f>
        <v>Custom Field 10</v>
      </c>
      <c r="BA24" s="51" t="str">
        <f aca="false">BA23</f>
        <v>Custom Field 11</v>
      </c>
      <c r="BB24" s="51" t="str">
        <f aca="false">BB23</f>
        <v>Custom Field 12</v>
      </c>
      <c r="BC24" s="51" t="str">
        <f aca="false">BC23</f>
        <v>Custom Field 13</v>
      </c>
      <c r="BD24" s="51" t="str">
        <f aca="false">BD23</f>
        <v>Custom Field 14</v>
      </c>
      <c r="BE24" s="51" t="str">
        <f aca="false">BE23</f>
        <v>Custom Field 15</v>
      </c>
      <c r="BF24" s="51" t="str">
        <f aca="false">BF23</f>
        <v>Custom Field 16</v>
      </c>
      <c r="BG24" s="51" t="str">
        <f aca="false">BG23</f>
        <v>Custom Field 17</v>
      </c>
      <c r="BH24" s="51" t="str">
        <f aca="false">BH23</f>
        <v>Custom Field 18</v>
      </c>
      <c r="BI24" s="51" t="str">
        <f aca="false">BI23</f>
        <v>Custom Field 19</v>
      </c>
      <c r="BJ24" s="51" t="str">
        <f aca="false">BJ23</f>
        <v>Custom Field 20</v>
      </c>
      <c r="BK24" s="53" t="n">
        <f aca="false">BK23</f>
        <v>45658</v>
      </c>
      <c r="BL24" s="39"/>
      <c r="BM24" s="39"/>
      <c r="BN24" s="39"/>
      <c r="BO24" s="39"/>
      <c r="BP24" s="39"/>
      <c r="BQ24" s="39"/>
      <c r="BR24" s="39"/>
      <c r="BS24" s="39"/>
      <c r="BT24" s="39"/>
      <c r="BU24" s="39"/>
      <c r="BV24" s="39"/>
      <c r="BW24" s="52" t="str">
        <f aca="false">BW23</f>
        <v>Z</v>
      </c>
    </row>
    <row r="25" customFormat="false" ht="12.75" hidden="false" customHeight="true" outlineLevel="0" collapsed="false">
      <c r="A25" s="54"/>
      <c r="B25" s="55" t="str">
        <f aca="false">IF(AD25="","",IF(ISERROR(FIND(CHAR(10),AD25,1)),AD25,LEFT(AD25,FIND(CHAR(10),AD25,1))))</f>
        <v>03-01-22: init</v>
      </c>
      <c r="C25" s="56" t="str">
        <f aca="false">IF(AD25="","",IFERROR(RIGHT(AD25,LEN(AD25)-FIND("@@@",SUBSTITUTE(AD25,CHAR(10),"@@@",LEN(AD25)-LEN(SUBSTITUTE(AD25,CHAR(10),""))),1)),AD25))</f>
        <v>03-01-22: init</v>
      </c>
      <c r="D25" s="57" t="n">
        <f aca="false">IFERROR(DATE(("20"&amp;MID(B25,7,2))*1,MID(B25,4,2)*1,MID(B25,1,2)*1),"")</f>
        <v>44564</v>
      </c>
      <c r="E25" s="57" t="n">
        <f aca="false">IFERROR(DATE(("20"&amp;MID(C25,7,2))*1,MID(C25,4,2)*1,MID(C25,1,2)*1),"")</f>
        <v>44564</v>
      </c>
      <c r="F25" s="58" t="n">
        <f aca="false">MAX(D25,IF(E25="none",D25,E25))</f>
        <v>44564</v>
      </c>
      <c r="G25" s="59" t="n">
        <f aca="false">IFERROR(DAYS360(D25,F25),0)</f>
        <v>0</v>
      </c>
      <c r="H25" s="59" t="n">
        <f aca="false">((LEN($AE25)-LEN(SUBSTITUTE($AE25,CHAR(10)&amp;". ","")))/3)+IF(LEFT(TRIM($AE25),2)=". ",1,0)</f>
        <v>0</v>
      </c>
      <c r="I25" s="59" t="n">
        <f aca="false">((LEN($AE25)-LEN(SUBSTITUTE($AE25,CHAR(10)&amp;"/ ","")))/3)+IF(LEFT(TRIM($AE25),2)="/ ",1,0)</f>
        <v>0</v>
      </c>
      <c r="J25" s="59" t="n">
        <f aca="false">((LEN($AE25)-LEN(SUBSTITUTE($AE25,CHAR(10)&amp;"~ ","")))/3)+IF(LEFT(TRIM($AE25),2)="~ ",1,0)</f>
        <v>0</v>
      </c>
      <c r="K25" s="59" t="n">
        <f aca="false">((LEN($AE25)-LEN(SUBSTITUTE($AE25,CHAR(10)&amp;"! ","")))/3)+IF(LEFT(TRIM($AE25),2)="! ",1,0)</f>
        <v>0</v>
      </c>
      <c r="L25" s="59" t="n">
        <f aca="false">((LEN($AE25)-LEN(SUBSTITUTE($AE25,CHAR(10)&amp;"x ","")))/3)+IF(LEFT(TRIM($AE25),2)="x ",1,0)</f>
        <v>0</v>
      </c>
      <c r="M25" s="59" t="n">
        <f aca="false">SUM(H25:L25)</f>
        <v>0</v>
      </c>
      <c r="N25" s="60" t="str">
        <f aca="false">IF(F25&gt;(($A$21-WEEKDAY($A$21,2))-7*$F$22),"Y","N")</f>
        <v>N</v>
      </c>
      <c r="O25" s="61" t="str">
        <f aca="false">IF(AB25="","  -  ZZZ","  -  "&amp;X25&amp;Y25&amp;AB25)</f>
        <v>  -  00.managementGeneral Management00.Maintain Management</v>
      </c>
      <c r="P25" s="58" t="str">
        <f aca="false">IF(AB25="","",(IF(OR(Q25="Y",Q25="N"),Q25,IF(N25="Y","Y","N"))))</f>
        <v>N</v>
      </c>
      <c r="Q25" s="40" t="s">
        <v>455</v>
      </c>
      <c r="R25" s="40"/>
      <c r="S25" s="62" t="s">
        <v>356</v>
      </c>
      <c r="T25" s="62" t="s">
        <v>456</v>
      </c>
      <c r="U25" s="62" t="s">
        <v>457</v>
      </c>
      <c r="V25" s="62" t="s">
        <v>458</v>
      </c>
      <c r="W25" s="40" t="s">
        <v>459</v>
      </c>
      <c r="X25" s="63" t="s">
        <v>460</v>
      </c>
      <c r="Y25" s="64" t="s">
        <v>461</v>
      </c>
      <c r="Z25" s="62" t="s">
        <v>462</v>
      </c>
      <c r="AA25" s="62" t="s">
        <v>463</v>
      </c>
      <c r="AB25" s="64" t="s">
        <v>464</v>
      </c>
      <c r="AC25" s="65" t="s">
        <v>465</v>
      </c>
      <c r="AD25" s="64" t="s">
        <v>466</v>
      </c>
      <c r="AE25" s="65" t="s">
        <v>467</v>
      </c>
      <c r="AF25" s="60" t="n">
        <f aca="false">IF(AB25="","",SUM(H25:K25))</f>
        <v>0</v>
      </c>
      <c r="AG25" s="66" t="n">
        <f aca="false">IF(AB25="","",IF(M25&lt;&gt;0,(I25*0.5+L25)/M25,1))</f>
        <v>1</v>
      </c>
      <c r="AH25" s="40" t="s">
        <v>468</v>
      </c>
      <c r="AI25" s="67"/>
      <c r="AJ25" s="68"/>
      <c r="AK25" s="69" t="n">
        <f aca="false">IF(AB25="","",AI25*AJ25/8)</f>
        <v>0</v>
      </c>
      <c r="AL25" s="70"/>
      <c r="AM25" s="70"/>
      <c r="AN25" s="70"/>
      <c r="AO25" s="70"/>
      <c r="AP25" s="70"/>
      <c r="AQ25" s="70"/>
      <c r="AR25" s="70"/>
      <c r="AS25" s="70"/>
      <c r="AT25" s="70"/>
      <c r="AU25" s="70"/>
      <c r="AV25" s="70"/>
      <c r="AW25" s="70"/>
      <c r="AX25" s="70"/>
      <c r="AY25" s="70"/>
      <c r="AZ25" s="70"/>
      <c r="BA25" s="70"/>
      <c r="BB25" s="70"/>
      <c r="BC25" s="70"/>
      <c r="BD25" s="70"/>
      <c r="BE25" s="70"/>
      <c r="BF25" s="70"/>
      <c r="BG25" s="70"/>
      <c r="BH25" s="70"/>
      <c r="BI25" s="70"/>
      <c r="BJ25" s="70"/>
      <c r="BK25" s="66"/>
      <c r="BL25" s="66"/>
      <c r="BM25" s="66"/>
      <c r="BN25" s="66"/>
      <c r="BO25" s="66"/>
      <c r="BP25" s="66"/>
      <c r="BQ25" s="66"/>
      <c r="BR25" s="66"/>
      <c r="BS25" s="66"/>
      <c r="BT25" s="66"/>
      <c r="BU25" s="66"/>
      <c r="BV25" s="66"/>
      <c r="BW25" s="64" t="s">
        <v>469</v>
      </c>
    </row>
    <row r="26" customFormat="false" ht="12.75" hidden="false" customHeight="true" outlineLevel="0" collapsed="false">
      <c r="A26" s="54"/>
      <c r="B26" s="55" t="str">
        <f aca="false">IF(AD26="","",IF(ISERROR(FIND(CHAR(10),AD26,1)),AD26,LEFT(AD26,FIND(CHAR(10),AD26,1))))</f>
        <v>03-01-22: init</v>
      </c>
      <c r="C26" s="56" t="str">
        <f aca="false">IF(AD26="","",IFERROR(RIGHT(AD26,LEN(AD26)-FIND("@@@",SUBSTITUTE(AD26,CHAR(10),"@@@",LEN(AD26)-LEN(SUBSTITUTE(AD26,CHAR(10),""))),1)),AD26))</f>
        <v>03-01-22: init</v>
      </c>
      <c r="D26" s="57" t="n">
        <f aca="false">IFERROR(DATE(("20"&amp;MID(B26,7,2))*1,MID(B26,4,2)*1,MID(B26,1,2)*1),"")</f>
        <v>44564</v>
      </c>
      <c r="E26" s="57" t="n">
        <f aca="false">IFERROR(DATE(("20"&amp;MID(C26,7,2))*1,MID(C26,4,2)*1,MID(C26,1,2)*1),"")</f>
        <v>44564</v>
      </c>
      <c r="F26" s="58" t="n">
        <f aca="false">MAX(D26,IF(E26="none",D26,E26))</f>
        <v>44564</v>
      </c>
      <c r="G26" s="59" t="n">
        <f aca="false">IFERROR(DAYS360(D26,F26),0)</f>
        <v>0</v>
      </c>
      <c r="H26" s="59" t="n">
        <f aca="false">((LEN($AE26)-LEN(SUBSTITUTE($AE26,CHAR(10)&amp;". ","")))/3)+IF(LEFT(TRIM($AE26),2)=". ",1,0)</f>
        <v>0</v>
      </c>
      <c r="I26" s="59" t="n">
        <f aca="false">((LEN($AE26)-LEN(SUBSTITUTE($AE26,CHAR(10)&amp;"/ ","")))/3)+IF(LEFT(TRIM($AE26),2)="/ ",1,0)</f>
        <v>0</v>
      </c>
      <c r="J26" s="59" t="n">
        <f aca="false">((LEN($AE26)-LEN(SUBSTITUTE($AE26,CHAR(10)&amp;"~ ","")))/3)+IF(LEFT(TRIM($AE26),2)="~ ",1,0)</f>
        <v>0</v>
      </c>
      <c r="K26" s="59" t="n">
        <f aca="false">((LEN($AE26)-LEN(SUBSTITUTE($AE26,CHAR(10)&amp;"! ","")))/3)+IF(LEFT(TRIM($AE26),2)="! ",1,0)</f>
        <v>0</v>
      </c>
      <c r="L26" s="59" t="n">
        <f aca="false">((LEN($AE26)-LEN(SUBSTITUTE($AE26,CHAR(10)&amp;"x ","")))/3)+IF(LEFT(TRIM($AE26),2)="x ",1,0)</f>
        <v>0</v>
      </c>
      <c r="M26" s="59" t="n">
        <f aca="false">SUM(H26:L26)</f>
        <v>0</v>
      </c>
      <c r="N26" s="60" t="str">
        <f aca="false">IF(F26&gt;(($A$21-WEEKDAY($A$21,2))-7*$F$22),"Y","N")</f>
        <v>N</v>
      </c>
      <c r="O26" s="61" t="str">
        <f aca="false">IF(AB26="","  -  ZZZ","  -  "&amp;X26&amp;Y26&amp;AB26)</f>
        <v>  -  01.planningGeneral Management00.Maintain Planning</v>
      </c>
      <c r="P26" s="58" t="str">
        <f aca="false">IF(AB26="","",(IF(OR(Q26="Y",Q26="N"),Q26,IF(N26="Y","Y","N"))))</f>
        <v>N</v>
      </c>
      <c r="Q26" s="40" t="s">
        <v>455</v>
      </c>
      <c r="R26" s="40"/>
      <c r="S26" s="62" t="s">
        <v>356</v>
      </c>
      <c r="T26" s="62" t="s">
        <v>456</v>
      </c>
      <c r="U26" s="62" t="s">
        <v>457</v>
      </c>
      <c r="V26" s="62" t="s">
        <v>458</v>
      </c>
      <c r="W26" s="40" t="s">
        <v>459</v>
      </c>
      <c r="X26" s="63" t="s">
        <v>470</v>
      </c>
      <c r="Y26" s="64" t="s">
        <v>461</v>
      </c>
      <c r="Z26" s="62" t="s">
        <v>462</v>
      </c>
      <c r="AA26" s="62" t="s">
        <v>463</v>
      </c>
      <c r="AB26" s="64" t="s">
        <v>471</v>
      </c>
      <c r="AC26" s="65" t="s">
        <v>465</v>
      </c>
      <c r="AD26" s="64" t="s">
        <v>466</v>
      </c>
      <c r="AE26" s="65" t="s">
        <v>472</v>
      </c>
      <c r="AF26" s="60" t="n">
        <f aca="false">IF(AB26="","",SUM(H26:K26))</f>
        <v>0</v>
      </c>
      <c r="AG26" s="66" t="n">
        <f aca="false">IF(AB26="","",IF(M26&lt;&gt;0,(I26*0.5+L26)/M26,1))</f>
        <v>1</v>
      </c>
      <c r="AH26" s="40" t="s">
        <v>468</v>
      </c>
      <c r="AI26" s="67"/>
      <c r="AJ26" s="68"/>
      <c r="AK26" s="69" t="n">
        <f aca="false">IF(AB26="","",AI26*AJ26/8)</f>
        <v>0</v>
      </c>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M26" s="66"/>
      <c r="BN26" s="66"/>
      <c r="BO26" s="66"/>
      <c r="BP26" s="66"/>
      <c r="BQ26" s="66"/>
      <c r="BR26" s="66"/>
      <c r="BS26" s="66"/>
      <c r="BT26" s="66"/>
      <c r="BU26" s="66"/>
      <c r="BV26" s="66"/>
      <c r="BW26" s="64" t="s">
        <v>469</v>
      </c>
    </row>
    <row r="27" customFormat="false" ht="12.75" hidden="false" customHeight="true" outlineLevel="0" collapsed="false">
      <c r="A27" s="54"/>
      <c r="B27" s="55" t="str">
        <f aca="false">IF(AD27="","",IF(ISERROR(FIND(CHAR(10),AD27,1)),AD27,LEFT(AD27,FIND(CHAR(10),AD27,1))))</f>
        <v>03-01-22: init</v>
      </c>
      <c r="C27" s="56" t="str">
        <f aca="false">IF(AD27="","",IFERROR(RIGHT(AD27,LEN(AD27)-FIND("@@@",SUBSTITUTE(AD27,CHAR(10),"@@@",LEN(AD27)-LEN(SUBSTITUTE(AD27,CHAR(10),""))),1)),AD27))</f>
        <v>03-01-22: init</v>
      </c>
      <c r="D27" s="57" t="n">
        <f aca="false">IFERROR(DATE(("20"&amp;MID(B27,7,2))*1,MID(B27,4,2)*1,MID(B27,1,2)*1),"")</f>
        <v>44564</v>
      </c>
      <c r="E27" s="57" t="n">
        <f aca="false">IFERROR(DATE(("20"&amp;MID(C27,7,2))*1,MID(C27,4,2)*1,MID(C27,1,2)*1),"")</f>
        <v>44564</v>
      </c>
      <c r="F27" s="58" t="n">
        <f aca="false">MAX(D27,IF(E27="none",D27,E27))</f>
        <v>44564</v>
      </c>
      <c r="G27" s="59" t="n">
        <f aca="false">IFERROR(DAYS360(D27,F27),0)</f>
        <v>0</v>
      </c>
      <c r="H27" s="59" t="n">
        <f aca="false">((LEN($AE27)-LEN(SUBSTITUTE($AE27,CHAR(10)&amp;". ","")))/3)+IF(LEFT(TRIM($AE27),2)=". ",1,0)</f>
        <v>0</v>
      </c>
      <c r="I27" s="59" t="n">
        <f aca="false">((LEN($AE27)-LEN(SUBSTITUTE($AE27,CHAR(10)&amp;"/ ","")))/3)+IF(LEFT(TRIM($AE27),2)="/ ",1,0)</f>
        <v>0</v>
      </c>
      <c r="J27" s="59" t="n">
        <f aca="false">((LEN($AE27)-LEN(SUBSTITUTE($AE27,CHAR(10)&amp;"~ ","")))/3)+IF(LEFT(TRIM($AE27),2)="~ ",1,0)</f>
        <v>0</v>
      </c>
      <c r="K27" s="59" t="n">
        <f aca="false">((LEN($AE27)-LEN(SUBSTITUTE($AE27,CHAR(10)&amp;"! ","")))/3)+IF(LEFT(TRIM($AE27),2)="! ",1,0)</f>
        <v>0</v>
      </c>
      <c r="L27" s="59" t="n">
        <f aca="false">((LEN($AE27)-LEN(SUBSTITUTE($AE27,CHAR(10)&amp;"x ","")))/3)+IF(LEFT(TRIM($AE27),2)="x ",1,0)</f>
        <v>0</v>
      </c>
      <c r="M27" s="59" t="n">
        <f aca="false">SUM(H27:L27)</f>
        <v>0</v>
      </c>
      <c r="N27" s="60" t="str">
        <f aca="false">IF(F27&gt;(($A$21-WEEKDAY($A$21,2))-7*$F$22),"Y","N")</f>
        <v>N</v>
      </c>
      <c r="O27" s="61" t="str">
        <f aca="false">IF(AB27="","  -  ZZZ","  -  "&amp;X27&amp;Y27&amp;AB27)</f>
        <v>  -  02.organisingGeneral Management00.Maintain Organising</v>
      </c>
      <c r="P27" s="58" t="str">
        <f aca="false">IF(AB27="","",(IF(OR(Q27="Y",Q27="N"),Q27,IF(N27="Y","Y","N"))))</f>
        <v>N</v>
      </c>
      <c r="Q27" s="40" t="s">
        <v>455</v>
      </c>
      <c r="R27" s="40"/>
      <c r="S27" s="62" t="s">
        <v>356</v>
      </c>
      <c r="T27" s="62" t="s">
        <v>456</v>
      </c>
      <c r="U27" s="62" t="s">
        <v>457</v>
      </c>
      <c r="V27" s="62" t="s">
        <v>458</v>
      </c>
      <c r="W27" s="40" t="s">
        <v>459</v>
      </c>
      <c r="X27" s="63" t="s">
        <v>473</v>
      </c>
      <c r="Y27" s="64" t="s">
        <v>461</v>
      </c>
      <c r="Z27" s="62" t="s">
        <v>462</v>
      </c>
      <c r="AA27" s="62" t="s">
        <v>463</v>
      </c>
      <c r="AB27" s="64" t="s">
        <v>474</v>
      </c>
      <c r="AC27" s="65" t="s">
        <v>465</v>
      </c>
      <c r="AD27" s="64" t="s">
        <v>466</v>
      </c>
      <c r="AE27" s="65" t="s">
        <v>475</v>
      </c>
      <c r="AF27" s="60" t="n">
        <f aca="false">IF(AB27="","",SUM(H27:K27))</f>
        <v>0</v>
      </c>
      <c r="AG27" s="66" t="n">
        <f aca="false">IF(AB27="","",IF(M27&lt;&gt;0,(I27*0.5+L27)/M27,1))</f>
        <v>1</v>
      </c>
      <c r="AH27" s="40" t="s">
        <v>468</v>
      </c>
      <c r="AI27" s="67"/>
      <c r="AJ27" s="68"/>
      <c r="AK27" s="69" t="n">
        <f aca="false">IF(AB27="","",AI27*AJ27/8)</f>
        <v>0</v>
      </c>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66"/>
      <c r="BL27" s="66"/>
      <c r="BM27" s="66"/>
      <c r="BN27" s="66"/>
      <c r="BO27" s="66"/>
      <c r="BP27" s="66"/>
      <c r="BQ27" s="66"/>
      <c r="BR27" s="66"/>
      <c r="BS27" s="66"/>
      <c r="BT27" s="66"/>
      <c r="BU27" s="66"/>
      <c r="BV27" s="66"/>
      <c r="BW27" s="64" t="s">
        <v>469</v>
      </c>
    </row>
    <row r="28" customFormat="false" ht="12.75" hidden="false" customHeight="true" outlineLevel="0" collapsed="false">
      <c r="A28" s="54"/>
      <c r="B28" s="55" t="str">
        <f aca="false">IF(AD28="","",IF(ISERROR(FIND(CHAR(10),AD28,1)),AD28,LEFT(AD28,FIND(CHAR(10),AD28,1))))</f>
        <v>03-01-22: init</v>
      </c>
      <c r="C28" s="56" t="str">
        <f aca="false">IF(AD28="","",IFERROR(RIGHT(AD28,LEN(AD28)-FIND("@@@",SUBSTITUTE(AD28,CHAR(10),"@@@",LEN(AD28)-LEN(SUBSTITUTE(AD28,CHAR(10),""))),1)),AD28))</f>
        <v>03-01-22: init</v>
      </c>
      <c r="D28" s="57" t="n">
        <f aca="false">IFERROR(DATE(("20"&amp;MID(B28,7,2))*1,MID(B28,4,2)*1,MID(B28,1,2)*1),"")</f>
        <v>44564</v>
      </c>
      <c r="E28" s="57" t="n">
        <f aca="false">IFERROR(DATE(("20"&amp;MID(C28,7,2))*1,MID(C28,4,2)*1,MID(C28,1,2)*1),"")</f>
        <v>44564</v>
      </c>
      <c r="F28" s="58" t="n">
        <f aca="false">MAX(D28,IF(E28="none",D28,E28))</f>
        <v>44564</v>
      </c>
      <c r="G28" s="59" t="n">
        <f aca="false">IFERROR(DAYS360(D28,F28),0)</f>
        <v>0</v>
      </c>
      <c r="H28" s="59" t="n">
        <f aca="false">((LEN($AE28)-LEN(SUBSTITUTE($AE28,CHAR(10)&amp;". ","")))/3)+IF(LEFT(TRIM($AE28),2)=". ",1,0)</f>
        <v>0</v>
      </c>
      <c r="I28" s="59" t="n">
        <f aca="false">((LEN($AE28)-LEN(SUBSTITUTE($AE28,CHAR(10)&amp;"/ ","")))/3)+IF(LEFT(TRIM($AE28),2)="/ ",1,0)</f>
        <v>0</v>
      </c>
      <c r="J28" s="59" t="n">
        <f aca="false">((LEN($AE28)-LEN(SUBSTITUTE($AE28,CHAR(10)&amp;"~ ","")))/3)+IF(LEFT(TRIM($AE28),2)="~ ",1,0)</f>
        <v>0</v>
      </c>
      <c r="K28" s="59" t="n">
        <f aca="false">((LEN($AE28)-LEN(SUBSTITUTE($AE28,CHAR(10)&amp;"! ","")))/3)+IF(LEFT(TRIM($AE28),2)="! ",1,0)</f>
        <v>0</v>
      </c>
      <c r="L28" s="59" t="n">
        <f aca="false">((LEN($AE28)-LEN(SUBSTITUTE($AE28,CHAR(10)&amp;"x ","")))/3)+IF(LEFT(TRIM($AE28),2)="x ",1,0)</f>
        <v>0</v>
      </c>
      <c r="M28" s="59" t="n">
        <f aca="false">SUM(H28:L28)</f>
        <v>0</v>
      </c>
      <c r="N28" s="60" t="str">
        <f aca="false">IF(F28&gt;(($A$21-WEEKDAY($A$21,2))-7*$F$22),"Y","N")</f>
        <v>N</v>
      </c>
      <c r="O28" s="61" t="str">
        <f aca="false">IF(AB28="","  -  ZZZ","  -  "&amp;X28&amp;Y28&amp;AB28)</f>
        <v>  -  03.leadingGeneral Management00.Maintain Leading</v>
      </c>
      <c r="P28" s="58" t="str">
        <f aca="false">IF(AB28="","",(IF(OR(Q28="Y",Q28="N"),Q28,IF(N28="Y","Y","N"))))</f>
        <v>N</v>
      </c>
      <c r="Q28" s="40" t="s">
        <v>455</v>
      </c>
      <c r="R28" s="40"/>
      <c r="S28" s="62" t="s">
        <v>356</v>
      </c>
      <c r="T28" s="62" t="s">
        <v>456</v>
      </c>
      <c r="U28" s="62" t="s">
        <v>457</v>
      </c>
      <c r="V28" s="62" t="s">
        <v>458</v>
      </c>
      <c r="W28" s="40" t="s">
        <v>459</v>
      </c>
      <c r="X28" s="63" t="s">
        <v>476</v>
      </c>
      <c r="Y28" s="64" t="s">
        <v>461</v>
      </c>
      <c r="Z28" s="62" t="s">
        <v>462</v>
      </c>
      <c r="AA28" s="62" t="s">
        <v>463</v>
      </c>
      <c r="AB28" s="64" t="s">
        <v>477</v>
      </c>
      <c r="AC28" s="65" t="s">
        <v>465</v>
      </c>
      <c r="AD28" s="64" t="s">
        <v>466</v>
      </c>
      <c r="AE28" s="65" t="s">
        <v>478</v>
      </c>
      <c r="AF28" s="60" t="n">
        <f aca="false">IF(AB28="","",SUM(H28:K28))</f>
        <v>0</v>
      </c>
      <c r="AG28" s="66" t="n">
        <f aca="false">IF(AB28="","",IF(M28&lt;&gt;0,(I28*0.5+L28)/M28,1))</f>
        <v>1</v>
      </c>
      <c r="AH28" s="40" t="s">
        <v>468</v>
      </c>
      <c r="AI28" s="67"/>
      <c r="AJ28" s="68"/>
      <c r="AK28" s="69" t="n">
        <f aca="false">IF(AB28="","",AI28*AJ28/8)</f>
        <v>0</v>
      </c>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c r="BM28" s="66"/>
      <c r="BN28" s="66"/>
      <c r="BO28" s="66"/>
      <c r="BP28" s="66"/>
      <c r="BQ28" s="66"/>
      <c r="BR28" s="66"/>
      <c r="BS28" s="66"/>
      <c r="BT28" s="66"/>
      <c r="BU28" s="66"/>
      <c r="BV28" s="66"/>
      <c r="BW28" s="64" t="s">
        <v>469</v>
      </c>
    </row>
    <row r="29" customFormat="false" ht="12.75" hidden="false" customHeight="true" outlineLevel="0" collapsed="false">
      <c r="A29" s="54"/>
      <c r="B29" s="55" t="str">
        <f aca="false">IF(AD29="","",IF(ISERROR(FIND(CHAR(10),AD29,1)),AD29,LEFT(AD29,FIND(CHAR(10),AD29,1))))</f>
        <v>03-01-22: init</v>
      </c>
      <c r="C29" s="56" t="str">
        <f aca="false">IF(AD29="","",IFERROR(RIGHT(AD29,LEN(AD29)-FIND("@@@",SUBSTITUTE(AD29,CHAR(10),"@@@",LEN(AD29)-LEN(SUBSTITUTE(AD29,CHAR(10),""))),1)),AD29))</f>
        <v>03-01-22: init</v>
      </c>
      <c r="D29" s="57" t="n">
        <f aca="false">IFERROR(DATE(("20"&amp;MID(B29,7,2))*1,MID(B29,4,2)*1,MID(B29,1,2)*1),"")</f>
        <v>44564</v>
      </c>
      <c r="E29" s="57" t="n">
        <f aca="false">IFERROR(DATE(("20"&amp;MID(C29,7,2))*1,MID(C29,4,2)*1,MID(C29,1,2)*1),"")</f>
        <v>44564</v>
      </c>
      <c r="F29" s="58" t="n">
        <f aca="false">MAX(D29,IF(E29="none",D29,E29))</f>
        <v>44564</v>
      </c>
      <c r="G29" s="59" t="n">
        <f aca="false">IFERROR(DAYS360(D29,F29),0)</f>
        <v>0</v>
      </c>
      <c r="H29" s="59" t="n">
        <f aca="false">((LEN($AE29)-LEN(SUBSTITUTE($AE29,CHAR(10)&amp;". ","")))/3)+IF(LEFT(TRIM($AE29),2)=". ",1,0)</f>
        <v>0</v>
      </c>
      <c r="I29" s="59" t="n">
        <f aca="false">((LEN($AE29)-LEN(SUBSTITUTE($AE29,CHAR(10)&amp;"/ ","")))/3)+IF(LEFT(TRIM($AE29),2)="/ ",1,0)</f>
        <v>0</v>
      </c>
      <c r="J29" s="59" t="n">
        <f aca="false">((LEN($AE29)-LEN(SUBSTITUTE($AE29,CHAR(10)&amp;"~ ","")))/3)+IF(LEFT(TRIM($AE29),2)="~ ",1,0)</f>
        <v>0</v>
      </c>
      <c r="K29" s="59" t="n">
        <f aca="false">((LEN($AE29)-LEN(SUBSTITUTE($AE29,CHAR(10)&amp;"! ","")))/3)+IF(LEFT(TRIM($AE29),2)="! ",1,0)</f>
        <v>0</v>
      </c>
      <c r="L29" s="59" t="n">
        <f aca="false">((LEN($AE29)-LEN(SUBSTITUTE($AE29,CHAR(10)&amp;"x ","")))/3)+IF(LEFT(TRIM($AE29),2)="x ",1,0)</f>
        <v>0</v>
      </c>
      <c r="M29" s="59" t="n">
        <f aca="false">SUM(H29:L29)</f>
        <v>0</v>
      </c>
      <c r="N29" s="60" t="str">
        <f aca="false">IF(F29&gt;(($A$21-WEEKDAY($A$21,2))-7*$F$22),"Y","N")</f>
        <v>N</v>
      </c>
      <c r="O29" s="61" t="str">
        <f aca="false">IF(AB29="","  -  ZZZ","  -  "&amp;X29&amp;Y29&amp;AB29)</f>
        <v>  -  04.controllingGeneral Management00.Maintain Controlling</v>
      </c>
      <c r="P29" s="58" t="str">
        <f aca="false">IF(AB29="","",(IF(OR(Q29="Y",Q29="N"),Q29,IF(N29="Y","Y","N"))))</f>
        <v>N</v>
      </c>
      <c r="Q29" s="40" t="s">
        <v>455</v>
      </c>
      <c r="R29" s="40"/>
      <c r="S29" s="62" t="s">
        <v>356</v>
      </c>
      <c r="T29" s="62" t="s">
        <v>456</v>
      </c>
      <c r="U29" s="62" t="s">
        <v>457</v>
      </c>
      <c r="V29" s="62" t="s">
        <v>458</v>
      </c>
      <c r="W29" s="40" t="s">
        <v>459</v>
      </c>
      <c r="X29" s="63" t="s">
        <v>479</v>
      </c>
      <c r="Y29" s="64" t="s">
        <v>461</v>
      </c>
      <c r="Z29" s="62" t="s">
        <v>462</v>
      </c>
      <c r="AA29" s="62" t="s">
        <v>463</v>
      </c>
      <c r="AB29" s="64" t="s">
        <v>480</v>
      </c>
      <c r="AC29" s="65" t="s">
        <v>465</v>
      </c>
      <c r="AD29" s="64" t="s">
        <v>466</v>
      </c>
      <c r="AE29" s="65" t="s">
        <v>481</v>
      </c>
      <c r="AF29" s="60" t="n">
        <f aca="false">IF(AB29="","",SUM(H29:K29))</f>
        <v>0</v>
      </c>
      <c r="AG29" s="66" t="n">
        <f aca="false">IF(AB29="","",IF(M29&lt;&gt;0,(I29*0.5+L29)/M29,1))</f>
        <v>1</v>
      </c>
      <c r="AH29" s="40" t="s">
        <v>468</v>
      </c>
      <c r="AI29" s="67"/>
      <c r="AJ29" s="68"/>
      <c r="AK29" s="69" t="n">
        <f aca="false">IF(AB29="","",AI29*AJ29/8)</f>
        <v>0</v>
      </c>
      <c r="AL29" s="66"/>
      <c r="AM29" s="66"/>
      <c r="AN29" s="66"/>
      <c r="AO29" s="66"/>
      <c r="AP29" s="66"/>
      <c r="AQ29" s="66"/>
      <c r="AR29" s="66"/>
      <c r="AS29" s="66"/>
      <c r="AT29" s="66"/>
      <c r="AU29" s="66"/>
      <c r="AV29" s="66"/>
      <c r="AW29" s="66"/>
      <c r="AX29" s="66"/>
      <c r="AY29" s="66"/>
      <c r="AZ29" s="66"/>
      <c r="BA29" s="66"/>
      <c r="BB29" s="66"/>
      <c r="BC29" s="66"/>
      <c r="BD29" s="66"/>
      <c r="BE29" s="66"/>
      <c r="BF29" s="66"/>
      <c r="BG29" s="66"/>
      <c r="BH29" s="66"/>
      <c r="BI29" s="66"/>
      <c r="BJ29" s="66"/>
      <c r="BK29" s="66"/>
      <c r="BL29" s="66"/>
      <c r="BM29" s="66"/>
      <c r="BN29" s="66"/>
      <c r="BO29" s="66"/>
      <c r="BP29" s="66"/>
      <c r="BQ29" s="66"/>
      <c r="BR29" s="66"/>
      <c r="BS29" s="66"/>
      <c r="BT29" s="66"/>
      <c r="BU29" s="66"/>
      <c r="BV29" s="66"/>
      <c r="BW29" s="64" t="s">
        <v>469</v>
      </c>
    </row>
    <row r="30" customFormat="false" ht="12.75" hidden="false" customHeight="true" outlineLevel="0" collapsed="false">
      <c r="A30" s="54"/>
      <c r="B30" s="55" t="str">
        <f aca="false">IF(AD30="","",IF(ISERROR(FIND(CHAR(10),AD30,1)),AD30,LEFT(AD30,FIND(CHAR(10),AD30,1))))</f>
        <v>03-01-22: init</v>
      </c>
      <c r="C30" s="56" t="str">
        <f aca="false">IF(AD30="","",IFERROR(RIGHT(AD30,LEN(AD30)-FIND("@@@",SUBSTITUTE(AD30,CHAR(10),"@@@",LEN(AD30)-LEN(SUBSTITUTE(AD30,CHAR(10),""))),1)),AD30))</f>
        <v>03-01-22: init</v>
      </c>
      <c r="D30" s="57" t="n">
        <f aca="false">IFERROR(DATE(("20"&amp;MID(B30,7,2))*1,MID(B30,4,2)*1,MID(B30,1,2)*1),"")</f>
        <v>44564</v>
      </c>
      <c r="E30" s="57" t="n">
        <f aca="false">IFERROR(DATE(("20"&amp;MID(C30,7,2))*1,MID(C30,4,2)*1,MID(C30,1,2)*1),"")</f>
        <v>44564</v>
      </c>
      <c r="F30" s="58" t="n">
        <f aca="false">MAX(D30,IF(E30="none",D30,E30))</f>
        <v>44564</v>
      </c>
      <c r="G30" s="59" t="n">
        <f aca="false">IFERROR(DAYS360(D30,F30),0)</f>
        <v>0</v>
      </c>
      <c r="H30" s="59" t="n">
        <f aca="false">((LEN($AE30)-LEN(SUBSTITUTE($AE30,CHAR(10)&amp;". ","")))/3)+IF(LEFT(TRIM($AE30),2)=". ",1,0)</f>
        <v>0</v>
      </c>
      <c r="I30" s="59" t="n">
        <f aca="false">((LEN($AE30)-LEN(SUBSTITUTE($AE30,CHAR(10)&amp;"/ ","")))/3)+IF(LEFT(TRIM($AE30),2)="/ ",1,0)</f>
        <v>0</v>
      </c>
      <c r="J30" s="59" t="n">
        <f aca="false">((LEN($AE30)-LEN(SUBSTITUTE($AE30,CHAR(10)&amp;"~ ","")))/3)+IF(LEFT(TRIM($AE30),2)="~ ",1,0)</f>
        <v>0</v>
      </c>
      <c r="K30" s="59" t="n">
        <f aca="false">((LEN($AE30)-LEN(SUBSTITUTE($AE30,CHAR(10)&amp;"! ","")))/3)+IF(LEFT(TRIM($AE30),2)="! ",1,0)</f>
        <v>0</v>
      </c>
      <c r="L30" s="59" t="n">
        <f aca="false">((LEN($AE30)-LEN(SUBSTITUTE($AE30,CHAR(10)&amp;"x ","")))/3)+IF(LEFT(TRIM($AE30),2)="x ",1,0)</f>
        <v>0</v>
      </c>
      <c r="M30" s="59" t="n">
        <f aca="false">SUM(H30:L30)</f>
        <v>0</v>
      </c>
      <c r="N30" s="60" t="str">
        <f aca="false">IF(F30&gt;(($A$21-WEEKDAY($A$21,2))-7*$F$22),"Y","N")</f>
        <v>N</v>
      </c>
      <c r="O30" s="61" t="str">
        <f aca="false">IF(AB30="","  -  ZZZ","  -  "&amp;X30&amp;Y30&amp;AB30)</f>
        <v>  -  05.00.business functionsGeneral Management00.Maintain Business Functions</v>
      </c>
      <c r="P30" s="58" t="str">
        <f aca="false">IF(AB30="","",(IF(OR(Q30="Y",Q30="N"),Q30,IF(N30="Y","Y","N"))))</f>
        <v>N</v>
      </c>
      <c r="Q30" s="40" t="s">
        <v>455</v>
      </c>
      <c r="R30" s="40"/>
      <c r="S30" s="62" t="s">
        <v>356</v>
      </c>
      <c r="T30" s="62" t="s">
        <v>456</v>
      </c>
      <c r="U30" s="62" t="s">
        <v>457</v>
      </c>
      <c r="V30" s="62" t="s">
        <v>458</v>
      </c>
      <c r="W30" s="40" t="s">
        <v>459</v>
      </c>
      <c r="X30" s="63" t="s">
        <v>482</v>
      </c>
      <c r="Y30" s="64" t="s">
        <v>461</v>
      </c>
      <c r="Z30" s="62" t="s">
        <v>462</v>
      </c>
      <c r="AA30" s="62" t="s">
        <v>463</v>
      </c>
      <c r="AB30" s="64" t="s">
        <v>483</v>
      </c>
      <c r="AC30" s="65" t="s">
        <v>465</v>
      </c>
      <c r="AD30" s="64" t="s">
        <v>466</v>
      </c>
      <c r="AE30" s="65" t="s">
        <v>484</v>
      </c>
      <c r="AF30" s="60" t="n">
        <f aca="false">IF(AB30="","",SUM(H30:K30))</f>
        <v>0</v>
      </c>
      <c r="AG30" s="66" t="n">
        <f aca="false">IF(AB30="","",IF(M30&lt;&gt;0,(I30*0.5+L30)/M30,1))</f>
        <v>1</v>
      </c>
      <c r="AH30" s="40" t="s">
        <v>468</v>
      </c>
      <c r="AI30" s="67"/>
      <c r="AJ30" s="68"/>
      <c r="AK30" s="69" t="n">
        <f aca="false">IF(AB30="","",AI30*AJ30/8)</f>
        <v>0</v>
      </c>
      <c r="AL30" s="70"/>
      <c r="AM30" s="70"/>
      <c r="AN30" s="70"/>
      <c r="AO30" s="70"/>
      <c r="AP30" s="70"/>
      <c r="AQ30" s="70"/>
      <c r="AR30" s="70"/>
      <c r="AS30" s="70"/>
      <c r="AT30" s="70"/>
      <c r="AU30" s="70"/>
      <c r="AV30" s="70"/>
      <c r="AW30" s="70"/>
      <c r="AX30" s="70"/>
      <c r="AY30" s="70"/>
      <c r="AZ30" s="70"/>
      <c r="BA30" s="70"/>
      <c r="BB30" s="70"/>
      <c r="BC30" s="70"/>
      <c r="BD30" s="70"/>
      <c r="BE30" s="70"/>
      <c r="BF30" s="70"/>
      <c r="BG30" s="70"/>
      <c r="BH30" s="70"/>
      <c r="BI30" s="70"/>
      <c r="BJ30" s="70"/>
      <c r="BK30" s="66"/>
      <c r="BL30" s="66"/>
      <c r="BM30" s="66"/>
      <c r="BN30" s="66"/>
      <c r="BO30" s="66"/>
      <c r="BP30" s="66"/>
      <c r="BQ30" s="66"/>
      <c r="BR30" s="66"/>
      <c r="BS30" s="66"/>
      <c r="BT30" s="66"/>
      <c r="BU30" s="66"/>
      <c r="BV30" s="66"/>
      <c r="BW30" s="64" t="s">
        <v>469</v>
      </c>
    </row>
    <row r="31" customFormat="false" ht="12.75" hidden="false" customHeight="true" outlineLevel="0" collapsed="false">
      <c r="A31" s="54"/>
      <c r="B31" s="55" t="str">
        <f aca="false">IF(AD31="","",IF(ISERROR(FIND(CHAR(10),AD31,1)),AD31,LEFT(AD31,FIND(CHAR(10),AD31,1))))</f>
        <v>03-01-22: init</v>
      </c>
      <c r="C31" s="56" t="str">
        <f aca="false">IF(AD31="","",IFERROR(RIGHT(AD31,LEN(AD31)-FIND("@@@",SUBSTITUTE(AD31,CHAR(10),"@@@",LEN(AD31)-LEN(SUBSTITUTE(AD31,CHAR(10),""))),1)),AD31))</f>
        <v>03-01-22: init</v>
      </c>
      <c r="D31" s="57" t="n">
        <f aca="false">IFERROR(DATE(("20"&amp;MID(B31,7,2))*1,MID(B31,4,2)*1,MID(B31,1,2)*1),"")</f>
        <v>44564</v>
      </c>
      <c r="E31" s="57" t="n">
        <f aca="false">IFERROR(DATE(("20"&amp;MID(C31,7,2))*1,MID(C31,4,2)*1,MID(C31,1,2)*1),"")</f>
        <v>44564</v>
      </c>
      <c r="F31" s="58" t="n">
        <f aca="false">MAX(D31,IF(E31="none",D31,E31))</f>
        <v>44564</v>
      </c>
      <c r="G31" s="59" t="n">
        <f aca="false">IFERROR(DAYS360(D31,F31),0)</f>
        <v>0</v>
      </c>
      <c r="H31" s="59" t="n">
        <f aca="false">((LEN($AE31)-LEN(SUBSTITUTE($AE31,CHAR(10)&amp;". ","")))/3)+IF(LEFT(TRIM($AE31),2)=". ",1,0)</f>
        <v>0</v>
      </c>
      <c r="I31" s="59" t="n">
        <f aca="false">((LEN($AE31)-LEN(SUBSTITUTE($AE31,CHAR(10)&amp;"/ ","")))/3)+IF(LEFT(TRIM($AE31),2)="/ ",1,0)</f>
        <v>0</v>
      </c>
      <c r="J31" s="59" t="n">
        <f aca="false">((LEN($AE31)-LEN(SUBSTITUTE($AE31,CHAR(10)&amp;"~ ","")))/3)+IF(LEFT(TRIM($AE31),2)="~ ",1,0)</f>
        <v>0</v>
      </c>
      <c r="K31" s="59" t="n">
        <f aca="false">((LEN($AE31)-LEN(SUBSTITUTE($AE31,CHAR(10)&amp;"! ","")))/3)+IF(LEFT(TRIM($AE31),2)="! ",1,0)</f>
        <v>0</v>
      </c>
      <c r="L31" s="59" t="n">
        <f aca="false">((LEN($AE31)-LEN(SUBSTITUTE($AE31,CHAR(10)&amp;"x ","")))/3)+IF(LEFT(TRIM($AE31),2)="x ",1,0)</f>
        <v>0</v>
      </c>
      <c r="M31" s="59" t="n">
        <f aca="false">SUM(H31:L31)</f>
        <v>0</v>
      </c>
      <c r="N31" s="60" t="str">
        <f aca="false">IF(F31&gt;(($A$21-WEEKDAY($A$21,2))-7*$F$22),"Y","N")</f>
        <v>N</v>
      </c>
      <c r="O31" s="61" t="str">
        <f aca="false">IF(AB31="","  -  ZZZ","  -  "&amp;X31&amp;Y31&amp;AB31)</f>
        <v>  -  05.01.financeGeneral Management00.Maintain Finance</v>
      </c>
      <c r="P31" s="58" t="str">
        <f aca="false">IF(AB31="","",(IF(OR(Q31="Y",Q31="N"),Q31,IF(N31="Y","Y","N"))))</f>
        <v>N</v>
      </c>
      <c r="Q31" s="40" t="s">
        <v>455</v>
      </c>
      <c r="R31" s="40"/>
      <c r="S31" s="62" t="s">
        <v>356</v>
      </c>
      <c r="T31" s="62" t="s">
        <v>456</v>
      </c>
      <c r="U31" s="62" t="s">
        <v>457</v>
      </c>
      <c r="V31" s="62" t="s">
        <v>458</v>
      </c>
      <c r="W31" s="40" t="s">
        <v>459</v>
      </c>
      <c r="X31" s="63" t="s">
        <v>485</v>
      </c>
      <c r="Y31" s="64" t="s">
        <v>461</v>
      </c>
      <c r="Z31" s="62" t="s">
        <v>462</v>
      </c>
      <c r="AA31" s="62" t="s">
        <v>463</v>
      </c>
      <c r="AB31" s="64" t="s">
        <v>486</v>
      </c>
      <c r="AC31" s="65" t="s">
        <v>465</v>
      </c>
      <c r="AD31" s="64" t="s">
        <v>466</v>
      </c>
      <c r="AE31" s="65" t="s">
        <v>487</v>
      </c>
      <c r="AF31" s="60" t="n">
        <f aca="false">IF(AB31="","",SUM(H31:K31))</f>
        <v>0</v>
      </c>
      <c r="AG31" s="66" t="n">
        <f aca="false">IF(AB31="","",IF(M31&lt;&gt;0,(I31*0.5+L31)/M31,1))</f>
        <v>1</v>
      </c>
      <c r="AH31" s="40" t="s">
        <v>468</v>
      </c>
      <c r="AI31" s="67"/>
      <c r="AJ31" s="68"/>
      <c r="AK31" s="69" t="n">
        <f aca="false">IF(AB31="","",AI31*AJ31/8)</f>
        <v>0</v>
      </c>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66"/>
      <c r="BL31" s="66"/>
      <c r="BM31" s="66"/>
      <c r="BN31" s="66"/>
      <c r="BO31" s="66"/>
      <c r="BP31" s="66"/>
      <c r="BQ31" s="66"/>
      <c r="BR31" s="66"/>
      <c r="BS31" s="66"/>
      <c r="BT31" s="66"/>
      <c r="BU31" s="66"/>
      <c r="BV31" s="66"/>
      <c r="BW31" s="64" t="s">
        <v>469</v>
      </c>
    </row>
    <row r="32" customFormat="false" ht="12.75" hidden="false" customHeight="true" outlineLevel="0" collapsed="false">
      <c r="A32" s="54"/>
      <c r="B32" s="55" t="str">
        <f aca="false">IF(AD32="","",IF(ISERROR(FIND(CHAR(10),AD32,1)),AD32,LEFT(AD32,FIND(CHAR(10),AD32,1))))</f>
        <v>03-01-22: init</v>
      </c>
      <c r="C32" s="56" t="str">
        <f aca="false">IF(AD32="","",IFERROR(RIGHT(AD32,LEN(AD32)-FIND("@@@",SUBSTITUTE(AD32,CHAR(10),"@@@",LEN(AD32)-LEN(SUBSTITUTE(AD32,CHAR(10),""))),1)),AD32))</f>
        <v>03-01-22: init</v>
      </c>
      <c r="D32" s="57" t="n">
        <f aca="false">IFERROR(DATE(("20"&amp;MID(B32,7,2))*1,MID(B32,4,2)*1,MID(B32,1,2)*1),"")</f>
        <v>44564</v>
      </c>
      <c r="E32" s="57" t="n">
        <f aca="false">IFERROR(DATE(("20"&amp;MID(C32,7,2))*1,MID(C32,4,2)*1,MID(C32,1,2)*1),"")</f>
        <v>44564</v>
      </c>
      <c r="F32" s="58" t="n">
        <f aca="false">MAX(D32,IF(E32="none",D32,E32))</f>
        <v>44564</v>
      </c>
      <c r="G32" s="59" t="n">
        <f aca="false">IFERROR(DAYS360(D32,F32),0)</f>
        <v>0</v>
      </c>
      <c r="H32" s="59" t="n">
        <f aca="false">((LEN($AE32)-LEN(SUBSTITUTE($AE32,CHAR(10)&amp;". ","")))/3)+IF(LEFT(TRIM($AE32),2)=". ",1,0)</f>
        <v>0</v>
      </c>
      <c r="I32" s="59" t="n">
        <f aca="false">((LEN($AE32)-LEN(SUBSTITUTE($AE32,CHAR(10)&amp;"/ ","")))/3)+IF(LEFT(TRIM($AE32),2)="/ ",1,0)</f>
        <v>0</v>
      </c>
      <c r="J32" s="59" t="n">
        <f aca="false">((LEN($AE32)-LEN(SUBSTITUTE($AE32,CHAR(10)&amp;"~ ","")))/3)+IF(LEFT(TRIM($AE32),2)="~ ",1,0)</f>
        <v>0</v>
      </c>
      <c r="K32" s="59" t="n">
        <f aca="false">((LEN($AE32)-LEN(SUBSTITUTE($AE32,CHAR(10)&amp;"! ","")))/3)+IF(LEFT(TRIM($AE32),2)="! ",1,0)</f>
        <v>0</v>
      </c>
      <c r="L32" s="59" t="n">
        <f aca="false">((LEN($AE32)-LEN(SUBSTITUTE($AE32,CHAR(10)&amp;"x ","")))/3)+IF(LEFT(TRIM($AE32),2)="x ",1,0)</f>
        <v>0</v>
      </c>
      <c r="M32" s="59" t="n">
        <f aca="false">SUM(H32:L32)</f>
        <v>0</v>
      </c>
      <c r="N32" s="60" t="str">
        <f aca="false">IF(F32&gt;(($A$21-WEEKDAY($A$21,2))-7*$F$22),"Y","N")</f>
        <v>N</v>
      </c>
      <c r="O32" s="61" t="str">
        <f aca="false">IF(AB32="","  -  ZZZ","  -  "&amp;X32&amp;Y32&amp;AB32)</f>
        <v>  -  05.02.HRGeneral Management00.Maintain HR</v>
      </c>
      <c r="P32" s="58" t="str">
        <f aca="false">IF(AB32="","",(IF(OR(Q32="Y",Q32="N"),Q32,IF(N32="Y","Y","N"))))</f>
        <v>N</v>
      </c>
      <c r="Q32" s="40" t="s">
        <v>455</v>
      </c>
      <c r="R32" s="40"/>
      <c r="S32" s="62" t="s">
        <v>356</v>
      </c>
      <c r="T32" s="62" t="s">
        <v>456</v>
      </c>
      <c r="U32" s="62" t="s">
        <v>457</v>
      </c>
      <c r="V32" s="62" t="s">
        <v>458</v>
      </c>
      <c r="W32" s="40" t="s">
        <v>459</v>
      </c>
      <c r="X32" s="63" t="s">
        <v>488</v>
      </c>
      <c r="Y32" s="64" t="s">
        <v>461</v>
      </c>
      <c r="Z32" s="62" t="s">
        <v>462</v>
      </c>
      <c r="AA32" s="62" t="s">
        <v>463</v>
      </c>
      <c r="AB32" s="64" t="s">
        <v>489</v>
      </c>
      <c r="AC32" s="65" t="s">
        <v>465</v>
      </c>
      <c r="AD32" s="64" t="s">
        <v>466</v>
      </c>
      <c r="AE32" s="65" t="s">
        <v>490</v>
      </c>
      <c r="AF32" s="60" t="n">
        <f aca="false">IF(AB32="","",SUM(H32:K32))</f>
        <v>0</v>
      </c>
      <c r="AG32" s="66" t="n">
        <f aca="false">IF(AB32="","",IF(M32&lt;&gt;0,(I32*0.5+L32)/M32,1))</f>
        <v>1</v>
      </c>
      <c r="AH32" s="40" t="s">
        <v>468</v>
      </c>
      <c r="AI32" s="67"/>
      <c r="AJ32" s="68"/>
      <c r="AK32" s="69" t="n">
        <f aca="false">IF(AB32="","",AI32*AJ32/8)</f>
        <v>0</v>
      </c>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66"/>
      <c r="BK32" s="66"/>
      <c r="BL32" s="66"/>
      <c r="BM32" s="66"/>
      <c r="BN32" s="66"/>
      <c r="BO32" s="66"/>
      <c r="BP32" s="66"/>
      <c r="BQ32" s="66"/>
      <c r="BR32" s="66"/>
      <c r="BS32" s="66"/>
      <c r="BT32" s="66"/>
      <c r="BU32" s="66"/>
      <c r="BV32" s="66"/>
      <c r="BW32" s="64" t="s">
        <v>469</v>
      </c>
    </row>
    <row r="33" customFormat="false" ht="12.75" hidden="false" customHeight="true" outlineLevel="0" collapsed="false">
      <c r="A33" s="54"/>
      <c r="B33" s="55" t="str">
        <f aca="false">IF(AD33="","",IF(ISERROR(FIND(CHAR(10),AD33,1)),AD33,LEFT(AD33,FIND(CHAR(10),AD33,1))))</f>
        <v>03-01-22: init</v>
      </c>
      <c r="C33" s="56" t="str">
        <f aca="false">IF(AD33="","",IFERROR(RIGHT(AD33,LEN(AD33)-FIND("@@@",SUBSTITUTE(AD33,CHAR(10),"@@@",LEN(AD33)-LEN(SUBSTITUTE(AD33,CHAR(10),""))),1)),AD33))</f>
        <v>03-01-22: init</v>
      </c>
      <c r="D33" s="57" t="n">
        <f aca="false">IFERROR(DATE(("20"&amp;MID(B33,7,2))*1,MID(B33,4,2)*1,MID(B33,1,2)*1),"")</f>
        <v>44564</v>
      </c>
      <c r="E33" s="57" t="n">
        <f aca="false">IFERROR(DATE(("20"&amp;MID(C33,7,2))*1,MID(C33,4,2)*1,MID(C33,1,2)*1),"")</f>
        <v>44564</v>
      </c>
      <c r="F33" s="58" t="n">
        <f aca="false">MAX(D33,IF(E33="none",D33,E33))</f>
        <v>44564</v>
      </c>
      <c r="G33" s="59" t="n">
        <f aca="false">IFERROR(DAYS360(D33,F33),0)</f>
        <v>0</v>
      </c>
      <c r="H33" s="59" t="n">
        <f aca="false">((LEN($AE33)-LEN(SUBSTITUTE($AE33,CHAR(10)&amp;". ","")))/3)+IF(LEFT(TRIM($AE33),2)=". ",1,0)</f>
        <v>0</v>
      </c>
      <c r="I33" s="59" t="n">
        <f aca="false">((LEN($AE33)-LEN(SUBSTITUTE($AE33,CHAR(10)&amp;"/ ","")))/3)+IF(LEFT(TRIM($AE33),2)="/ ",1,0)</f>
        <v>0</v>
      </c>
      <c r="J33" s="59" t="n">
        <f aca="false">((LEN($AE33)-LEN(SUBSTITUTE($AE33,CHAR(10)&amp;"~ ","")))/3)+IF(LEFT(TRIM($AE33),2)="~ ",1,0)</f>
        <v>0</v>
      </c>
      <c r="K33" s="59" t="n">
        <f aca="false">((LEN($AE33)-LEN(SUBSTITUTE($AE33,CHAR(10)&amp;"! ","")))/3)+IF(LEFT(TRIM($AE33),2)="! ",1,0)</f>
        <v>0</v>
      </c>
      <c r="L33" s="59" t="n">
        <f aca="false">((LEN($AE33)-LEN(SUBSTITUTE($AE33,CHAR(10)&amp;"x ","")))/3)+IF(LEFT(TRIM($AE33),2)="x ",1,0)</f>
        <v>0</v>
      </c>
      <c r="M33" s="59" t="n">
        <f aca="false">SUM(H33:L33)</f>
        <v>0</v>
      </c>
      <c r="N33" s="60" t="str">
        <f aca="false">IF(F33&gt;(($A$21-WEEKDAY($A$21,2))-7*$F$22),"Y","N")</f>
        <v>N</v>
      </c>
      <c r="O33" s="61" t="str">
        <f aca="false">IF(AB33="","  -  ZZZ","  -  "&amp;X33&amp;Y33&amp;AB33)</f>
        <v>  -  05.03.ITGeneral Management00.Maintain IT</v>
      </c>
      <c r="P33" s="58" t="str">
        <f aca="false">IF(AB33="","",(IF(OR(Q33="Y",Q33="N"),Q33,IF(N33="Y","Y","N"))))</f>
        <v>N</v>
      </c>
      <c r="Q33" s="40" t="s">
        <v>455</v>
      </c>
      <c r="R33" s="40"/>
      <c r="S33" s="62" t="s">
        <v>356</v>
      </c>
      <c r="T33" s="62" t="s">
        <v>456</v>
      </c>
      <c r="U33" s="62" t="s">
        <v>457</v>
      </c>
      <c r="V33" s="62" t="s">
        <v>458</v>
      </c>
      <c r="W33" s="40" t="s">
        <v>459</v>
      </c>
      <c r="X33" s="63" t="s">
        <v>491</v>
      </c>
      <c r="Y33" s="64" t="s">
        <v>461</v>
      </c>
      <c r="Z33" s="62" t="s">
        <v>462</v>
      </c>
      <c r="AA33" s="62" t="s">
        <v>463</v>
      </c>
      <c r="AB33" s="64" t="s">
        <v>492</v>
      </c>
      <c r="AC33" s="65" t="s">
        <v>465</v>
      </c>
      <c r="AD33" s="64" t="s">
        <v>466</v>
      </c>
      <c r="AE33" s="65" t="s">
        <v>493</v>
      </c>
      <c r="AF33" s="60" t="n">
        <f aca="false">IF(AB33="","",SUM(H33:K33))</f>
        <v>0</v>
      </c>
      <c r="AG33" s="66" t="n">
        <f aca="false">IF(AB33="","",IF(M33&lt;&gt;0,(I33*0.5+L33)/M33,1))</f>
        <v>1</v>
      </c>
      <c r="AH33" s="40" t="s">
        <v>468</v>
      </c>
      <c r="AI33" s="67"/>
      <c r="AJ33" s="68"/>
      <c r="AK33" s="69" t="n">
        <f aca="false">IF(AB33="","",AI33*AJ33/8)</f>
        <v>0</v>
      </c>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c r="BM33" s="66"/>
      <c r="BN33" s="66"/>
      <c r="BO33" s="66"/>
      <c r="BP33" s="66"/>
      <c r="BQ33" s="66"/>
      <c r="BR33" s="66"/>
      <c r="BS33" s="66"/>
      <c r="BT33" s="66"/>
      <c r="BU33" s="66"/>
      <c r="BV33" s="66"/>
      <c r="BW33" s="64" t="s">
        <v>469</v>
      </c>
    </row>
    <row r="34" customFormat="false" ht="12.75" hidden="false" customHeight="true" outlineLevel="0" collapsed="false">
      <c r="A34" s="54"/>
      <c r="B34" s="55" t="str">
        <f aca="false">IF(AD34="","",IF(ISERROR(FIND(CHAR(10),AD34,1)),AD34,LEFT(AD34,FIND(CHAR(10),AD34,1))))</f>
        <v>03-01-22: init</v>
      </c>
      <c r="C34" s="56" t="str">
        <f aca="false">IF(AD34="","",IFERROR(RIGHT(AD34,LEN(AD34)-FIND("@@@",SUBSTITUTE(AD34,CHAR(10),"@@@",LEN(AD34)-LEN(SUBSTITUTE(AD34,CHAR(10),""))),1)),AD34))</f>
        <v>03-01-22: init</v>
      </c>
      <c r="D34" s="57" t="n">
        <f aca="false">IFERROR(DATE(("20"&amp;MID(B34,7,2))*1,MID(B34,4,2)*1,MID(B34,1,2)*1),"")</f>
        <v>44564</v>
      </c>
      <c r="E34" s="57" t="n">
        <f aca="false">IFERROR(DATE(("20"&amp;MID(C34,7,2))*1,MID(C34,4,2)*1,MID(C34,1,2)*1),"")</f>
        <v>44564</v>
      </c>
      <c r="F34" s="58" t="n">
        <f aca="false">MAX(D34,IF(E34="none",D34,E34))</f>
        <v>44564</v>
      </c>
      <c r="G34" s="59" t="n">
        <f aca="false">IFERROR(DAYS360(D34,F34),0)</f>
        <v>0</v>
      </c>
      <c r="H34" s="59" t="n">
        <f aca="false">((LEN($AE34)-LEN(SUBSTITUTE($AE34,CHAR(10)&amp;". ","")))/3)+IF(LEFT(TRIM($AE34),2)=". ",1,0)</f>
        <v>0</v>
      </c>
      <c r="I34" s="59" t="n">
        <f aca="false">((LEN($AE34)-LEN(SUBSTITUTE($AE34,CHAR(10)&amp;"/ ","")))/3)+IF(LEFT(TRIM($AE34),2)="/ ",1,0)</f>
        <v>0</v>
      </c>
      <c r="J34" s="59" t="n">
        <f aca="false">((LEN($AE34)-LEN(SUBSTITUTE($AE34,CHAR(10)&amp;"~ ","")))/3)+IF(LEFT(TRIM($AE34),2)="~ ",1,0)</f>
        <v>0</v>
      </c>
      <c r="K34" s="59" t="n">
        <f aca="false">((LEN($AE34)-LEN(SUBSTITUTE($AE34,CHAR(10)&amp;"! ","")))/3)+IF(LEFT(TRIM($AE34),2)="! ",1,0)</f>
        <v>0</v>
      </c>
      <c r="L34" s="59" t="n">
        <f aca="false">((LEN($AE34)-LEN(SUBSTITUTE($AE34,CHAR(10)&amp;"x ","")))/3)+IF(LEFT(TRIM($AE34),2)="x ",1,0)</f>
        <v>0</v>
      </c>
      <c r="M34" s="59" t="n">
        <f aca="false">SUM(H34:L34)</f>
        <v>0</v>
      </c>
      <c r="N34" s="60" t="str">
        <f aca="false">IF(F34&gt;(($A$21-WEEKDAY($A$21,2))-7*$F$22),"Y","N")</f>
        <v>N</v>
      </c>
      <c r="O34" s="61" t="str">
        <f aca="false">IF(AB34="","  -  ZZZ","  -  "&amp;X34&amp;Y34&amp;AB34)</f>
        <v>  -  05.04.riskGeneral Management00.Maintain Risk</v>
      </c>
      <c r="P34" s="58" t="str">
        <f aca="false">IF(AB34="","",(IF(OR(Q34="Y",Q34="N"),Q34,IF(N34="Y","Y","N"))))</f>
        <v>N</v>
      </c>
      <c r="Q34" s="40" t="s">
        <v>455</v>
      </c>
      <c r="R34" s="40"/>
      <c r="S34" s="62" t="s">
        <v>356</v>
      </c>
      <c r="T34" s="62" t="s">
        <v>456</v>
      </c>
      <c r="U34" s="62" t="s">
        <v>457</v>
      </c>
      <c r="V34" s="62" t="s">
        <v>458</v>
      </c>
      <c r="W34" s="40" t="s">
        <v>459</v>
      </c>
      <c r="X34" s="63" t="s">
        <v>494</v>
      </c>
      <c r="Y34" s="64" t="s">
        <v>461</v>
      </c>
      <c r="Z34" s="62" t="s">
        <v>462</v>
      </c>
      <c r="AA34" s="62" t="s">
        <v>463</v>
      </c>
      <c r="AB34" s="64" t="s">
        <v>495</v>
      </c>
      <c r="AC34" s="65" t="s">
        <v>465</v>
      </c>
      <c r="AD34" s="64" t="s">
        <v>466</v>
      </c>
      <c r="AE34" s="65" t="s">
        <v>496</v>
      </c>
      <c r="AF34" s="60" t="n">
        <f aca="false">IF(AB34="","",SUM(H34:K34))</f>
        <v>0</v>
      </c>
      <c r="AG34" s="66" t="n">
        <f aca="false">IF(AB34="","",IF(M34&lt;&gt;0,(I34*0.5+L34)/M34,1))</f>
        <v>1</v>
      </c>
      <c r="AH34" s="40" t="s">
        <v>468</v>
      </c>
      <c r="AI34" s="67"/>
      <c r="AJ34" s="68"/>
      <c r="AK34" s="69" t="n">
        <f aca="false">IF(AB34="","",AI34*AJ34/8)</f>
        <v>0</v>
      </c>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M34" s="66"/>
      <c r="BN34" s="66"/>
      <c r="BO34" s="66"/>
      <c r="BP34" s="66"/>
      <c r="BQ34" s="66"/>
      <c r="BR34" s="66"/>
      <c r="BS34" s="66"/>
      <c r="BT34" s="66"/>
      <c r="BU34" s="66"/>
      <c r="BV34" s="66"/>
      <c r="BW34" s="64" t="s">
        <v>469</v>
      </c>
    </row>
    <row r="35" customFormat="false" ht="12.75" hidden="false" customHeight="true" outlineLevel="0" collapsed="false">
      <c r="A35" s="54"/>
      <c r="B35" s="55" t="str">
        <f aca="false">IF(AD35="","",IF(ISERROR(FIND(CHAR(10),AD35,1)),AD35,LEFT(AD35,FIND(CHAR(10),AD35,1))))</f>
        <v>03-01-22: init</v>
      </c>
      <c r="C35" s="56" t="str">
        <f aca="false">IF(AD35="","",IFERROR(RIGHT(AD35,LEN(AD35)-FIND("@@@",SUBSTITUTE(AD35,CHAR(10),"@@@",LEN(AD35)-LEN(SUBSTITUTE(AD35,CHAR(10),""))),1)),AD35))</f>
        <v>03-01-22: init</v>
      </c>
      <c r="D35" s="57" t="n">
        <f aca="false">IFERROR(DATE(("20"&amp;MID(B35,7,2))*1,MID(B35,4,2)*1,MID(B35,1,2)*1),"")</f>
        <v>44564</v>
      </c>
      <c r="E35" s="57" t="n">
        <f aca="false">IFERROR(DATE(("20"&amp;MID(C35,7,2))*1,MID(C35,4,2)*1,MID(C35,1,2)*1),"")</f>
        <v>44564</v>
      </c>
      <c r="F35" s="58" t="n">
        <f aca="false">MAX(D35,IF(E35="none",D35,E35))</f>
        <v>44564</v>
      </c>
      <c r="G35" s="59" t="n">
        <f aca="false">IFERROR(DAYS360(D35,F35),0)</f>
        <v>0</v>
      </c>
      <c r="H35" s="59" t="n">
        <f aca="false">((LEN($AE35)-LEN(SUBSTITUTE($AE35,CHAR(10)&amp;". ","")))/3)+IF(LEFT(TRIM($AE35),2)=". ",1,0)</f>
        <v>0</v>
      </c>
      <c r="I35" s="59" t="n">
        <f aca="false">((LEN($AE35)-LEN(SUBSTITUTE($AE35,CHAR(10)&amp;"/ ","")))/3)+IF(LEFT(TRIM($AE35),2)="/ ",1,0)</f>
        <v>0</v>
      </c>
      <c r="J35" s="59" t="n">
        <f aca="false">((LEN($AE35)-LEN(SUBSTITUTE($AE35,CHAR(10)&amp;"~ ","")))/3)+IF(LEFT(TRIM($AE35),2)="~ ",1,0)</f>
        <v>0</v>
      </c>
      <c r="K35" s="59" t="n">
        <f aca="false">((LEN($AE35)-LEN(SUBSTITUTE($AE35,CHAR(10)&amp;"! ","")))/3)+IF(LEFT(TRIM($AE35),2)="! ",1,0)</f>
        <v>0</v>
      </c>
      <c r="L35" s="59" t="n">
        <f aca="false">((LEN($AE35)-LEN(SUBSTITUTE($AE35,CHAR(10)&amp;"x ","")))/3)+IF(LEFT(TRIM($AE35),2)="x ",1,0)</f>
        <v>0</v>
      </c>
      <c r="M35" s="59" t="n">
        <f aca="false">SUM(H35:L35)</f>
        <v>0</v>
      </c>
      <c r="N35" s="60" t="str">
        <f aca="false">IF(F35&gt;(($A$21-WEEKDAY($A$21,2))-7*$F$22),"Y","N")</f>
        <v>N</v>
      </c>
      <c r="O35" s="61" t="str">
        <f aca="false">IF(AB35="","  -  ZZZ","  -  "&amp;X35&amp;Y35&amp;AB35)</f>
        <v>  -  05.05.complianceGeneral Management00.Maintain Compliance</v>
      </c>
      <c r="P35" s="58" t="str">
        <f aca="false">IF(AB35="","",(IF(OR(Q35="Y",Q35="N"),Q35,IF(N35="Y","Y","N"))))</f>
        <v>N</v>
      </c>
      <c r="Q35" s="40" t="s">
        <v>455</v>
      </c>
      <c r="R35" s="40"/>
      <c r="S35" s="62" t="s">
        <v>356</v>
      </c>
      <c r="T35" s="62" t="s">
        <v>456</v>
      </c>
      <c r="U35" s="62" t="s">
        <v>457</v>
      </c>
      <c r="V35" s="62" t="s">
        <v>458</v>
      </c>
      <c r="W35" s="40" t="s">
        <v>459</v>
      </c>
      <c r="X35" s="63" t="s">
        <v>497</v>
      </c>
      <c r="Y35" s="64" t="s">
        <v>461</v>
      </c>
      <c r="Z35" s="62" t="s">
        <v>462</v>
      </c>
      <c r="AA35" s="62" t="s">
        <v>463</v>
      </c>
      <c r="AB35" s="64" t="s">
        <v>498</v>
      </c>
      <c r="AC35" s="65" t="s">
        <v>465</v>
      </c>
      <c r="AD35" s="64" t="s">
        <v>466</v>
      </c>
      <c r="AE35" s="65" t="s">
        <v>496</v>
      </c>
      <c r="AF35" s="60" t="n">
        <f aca="false">IF(AB35="","",SUM(H35:K35))</f>
        <v>0</v>
      </c>
      <c r="AG35" s="66" t="n">
        <f aca="false">IF(AB35="","",IF(M35&lt;&gt;0,(I35*0.5+L35)/M35,1))</f>
        <v>1</v>
      </c>
      <c r="AH35" s="40" t="s">
        <v>468</v>
      </c>
      <c r="AI35" s="67"/>
      <c r="AJ35" s="68"/>
      <c r="AK35" s="69" t="n">
        <f aca="false">IF(AB35="","",AI35*AJ35/8)</f>
        <v>0</v>
      </c>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66"/>
      <c r="BL35" s="66"/>
      <c r="BM35" s="66"/>
      <c r="BN35" s="66"/>
      <c r="BO35" s="66"/>
      <c r="BP35" s="66"/>
      <c r="BQ35" s="66"/>
      <c r="BR35" s="66"/>
      <c r="BS35" s="66"/>
      <c r="BT35" s="66"/>
      <c r="BU35" s="66"/>
      <c r="BV35" s="66"/>
      <c r="BW35" s="64" t="s">
        <v>469</v>
      </c>
    </row>
    <row r="36" customFormat="false" ht="12.75" hidden="false" customHeight="true" outlineLevel="0" collapsed="false">
      <c r="A36" s="54"/>
      <c r="B36" s="55" t="str">
        <f aca="false">IF(AD36="","",IF(ISERROR(FIND(CHAR(10),AD36,1)),AD36,LEFT(AD36,FIND(CHAR(10),AD36,1))))</f>
        <v>03-01-22: init</v>
      </c>
      <c r="C36" s="56" t="str">
        <f aca="false">IF(AD36="","",IFERROR(RIGHT(AD36,LEN(AD36)-FIND("@@@",SUBSTITUTE(AD36,CHAR(10),"@@@",LEN(AD36)-LEN(SUBSTITUTE(AD36,CHAR(10),""))),1)),AD36))</f>
        <v>03-01-22: init</v>
      </c>
      <c r="D36" s="57" t="n">
        <f aca="false">IFERROR(DATE(("20"&amp;MID(B36,7,2))*1,MID(B36,4,2)*1,MID(B36,1,2)*1),"")</f>
        <v>44564</v>
      </c>
      <c r="E36" s="57" t="n">
        <f aca="false">IFERROR(DATE(("20"&amp;MID(C36,7,2))*1,MID(C36,4,2)*1,MID(C36,1,2)*1),"")</f>
        <v>44564</v>
      </c>
      <c r="F36" s="58" t="n">
        <f aca="false">MAX(D36,IF(E36="none",D36,E36))</f>
        <v>44564</v>
      </c>
      <c r="G36" s="59" t="n">
        <f aca="false">IFERROR(DAYS360(D36,F36),0)</f>
        <v>0</v>
      </c>
      <c r="H36" s="59" t="n">
        <f aca="false">((LEN($AE36)-LEN(SUBSTITUTE($AE36,CHAR(10)&amp;". ","")))/3)+IF(LEFT(TRIM($AE36),2)=". ",1,0)</f>
        <v>0</v>
      </c>
      <c r="I36" s="59" t="n">
        <f aca="false">((LEN($AE36)-LEN(SUBSTITUTE($AE36,CHAR(10)&amp;"/ ","")))/3)+IF(LEFT(TRIM($AE36),2)="/ ",1,0)</f>
        <v>0</v>
      </c>
      <c r="J36" s="59" t="n">
        <f aca="false">((LEN($AE36)-LEN(SUBSTITUTE($AE36,CHAR(10)&amp;"~ ","")))/3)+IF(LEFT(TRIM($AE36),2)="~ ",1,0)</f>
        <v>0</v>
      </c>
      <c r="K36" s="59" t="n">
        <f aca="false">((LEN($AE36)-LEN(SUBSTITUTE($AE36,CHAR(10)&amp;"! ","")))/3)+IF(LEFT(TRIM($AE36),2)="! ",1,0)</f>
        <v>0</v>
      </c>
      <c r="L36" s="59" t="n">
        <f aca="false">((LEN($AE36)-LEN(SUBSTITUTE($AE36,CHAR(10)&amp;"x ","")))/3)+IF(LEFT(TRIM($AE36),2)="x ",1,0)</f>
        <v>0</v>
      </c>
      <c r="M36" s="59" t="n">
        <f aca="false">SUM(H36:L36)</f>
        <v>0</v>
      </c>
      <c r="N36" s="60" t="str">
        <f aca="false">IF(F36&gt;(($A$21-WEEKDAY($A$21,2))-7*$F$22),"Y","N")</f>
        <v>N</v>
      </c>
      <c r="O36" s="61" t="str">
        <f aca="false">IF(AB36="","  -  ZZZ","  -  "&amp;X36&amp;Y36&amp;AB36)</f>
        <v>  -  05.06.legalGeneral Management00.Maintain Legal</v>
      </c>
      <c r="P36" s="58" t="str">
        <f aca="false">IF(AB36="","",(IF(OR(Q36="Y",Q36="N"),Q36,IF(N36="Y","Y","N"))))</f>
        <v>N</v>
      </c>
      <c r="Q36" s="40" t="s">
        <v>455</v>
      </c>
      <c r="R36" s="40"/>
      <c r="S36" s="62" t="s">
        <v>356</v>
      </c>
      <c r="T36" s="62" t="s">
        <v>456</v>
      </c>
      <c r="U36" s="62" t="s">
        <v>457</v>
      </c>
      <c r="V36" s="62" t="s">
        <v>458</v>
      </c>
      <c r="W36" s="40" t="s">
        <v>459</v>
      </c>
      <c r="X36" s="63" t="s">
        <v>499</v>
      </c>
      <c r="Y36" s="64" t="s">
        <v>461</v>
      </c>
      <c r="Z36" s="62" t="s">
        <v>462</v>
      </c>
      <c r="AA36" s="62" t="s">
        <v>463</v>
      </c>
      <c r="AB36" s="64" t="s">
        <v>500</v>
      </c>
      <c r="AC36" s="65" t="s">
        <v>465</v>
      </c>
      <c r="AD36" s="64" t="s">
        <v>466</v>
      </c>
      <c r="AE36" s="65" t="s">
        <v>501</v>
      </c>
      <c r="AF36" s="60" t="n">
        <f aca="false">IF(AB36="","",SUM(H36:K36))</f>
        <v>0</v>
      </c>
      <c r="AG36" s="66" t="n">
        <f aca="false">IF(AB36="","",IF(M36&lt;&gt;0,(I36*0.5+L36)/M36,1))</f>
        <v>1</v>
      </c>
      <c r="AH36" s="40" t="s">
        <v>468</v>
      </c>
      <c r="AI36" s="67"/>
      <c r="AJ36" s="68"/>
      <c r="AK36" s="69" t="n">
        <f aca="false">IF(AB36="","",AI36*AJ36/8)</f>
        <v>0</v>
      </c>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66"/>
      <c r="BL36" s="66"/>
      <c r="BM36" s="66"/>
      <c r="BN36" s="66"/>
      <c r="BO36" s="66"/>
      <c r="BP36" s="66"/>
      <c r="BQ36" s="66"/>
      <c r="BR36" s="66"/>
      <c r="BS36" s="66"/>
      <c r="BT36" s="66"/>
      <c r="BU36" s="66"/>
      <c r="BV36" s="66"/>
      <c r="BW36" s="64" t="s">
        <v>469</v>
      </c>
    </row>
    <row r="37" customFormat="false" ht="12.75" hidden="false" customHeight="true" outlineLevel="0" collapsed="false">
      <c r="B37" s="55" t="str">
        <f aca="false">IF(AD37="","",IF(ISERROR(FIND(CHAR(10),AD37,1)),AD37,LEFT(AD37,FIND(CHAR(10),AD37,1))))</f>
        <v>03-01-22: init</v>
      </c>
      <c r="C37" s="56" t="str">
        <f aca="false">IF(AD37="","",IFERROR(RIGHT(AD37,LEN(AD37)-FIND("@@@",SUBSTITUTE(AD37,CHAR(10),"@@@",LEN(AD37)-LEN(SUBSTITUTE(AD37,CHAR(10),""))),1)),AD37))</f>
        <v>03-01-22: init</v>
      </c>
      <c r="D37" s="57" t="n">
        <f aca="false">IFERROR(DATE(("20"&amp;MID(B37,7,2))*1,MID(B37,4,2)*1,MID(B37,1,2)*1),"")</f>
        <v>44564</v>
      </c>
      <c r="E37" s="57" t="n">
        <f aca="false">IFERROR(DATE(("20"&amp;MID(C37,7,2))*1,MID(C37,4,2)*1,MID(C37,1,2)*1),"")</f>
        <v>44564</v>
      </c>
      <c r="F37" s="58" t="n">
        <f aca="false">MAX(D37,IF(E37="none",D37,E37))</f>
        <v>44564</v>
      </c>
      <c r="G37" s="59" t="n">
        <f aca="false">IFERROR(DAYS360(D37,F37),0)</f>
        <v>0</v>
      </c>
      <c r="H37" s="59" t="n">
        <f aca="false">((LEN($AE37)-LEN(SUBSTITUTE($AE37,CHAR(10)&amp;". ","")))/3)+IF(LEFT(TRIM($AE37),2)=". ",1,0)</f>
        <v>0</v>
      </c>
      <c r="I37" s="59" t="n">
        <f aca="false">((LEN($AE37)-LEN(SUBSTITUTE($AE37,CHAR(10)&amp;"/ ","")))/3)+IF(LEFT(TRIM($AE37),2)="/ ",1,0)</f>
        <v>0</v>
      </c>
      <c r="J37" s="59" t="n">
        <f aca="false">((LEN($AE37)-LEN(SUBSTITUTE($AE37,CHAR(10)&amp;"~ ","")))/3)+IF(LEFT(TRIM($AE37),2)="~ ",1,0)</f>
        <v>0</v>
      </c>
      <c r="K37" s="59" t="n">
        <f aca="false">((LEN($AE37)-LEN(SUBSTITUTE($AE37,CHAR(10)&amp;"! ","")))/3)+IF(LEFT(TRIM($AE37),2)="! ",1,0)</f>
        <v>0</v>
      </c>
      <c r="L37" s="59" t="n">
        <f aca="false">((LEN($AE37)-LEN(SUBSTITUTE($AE37,CHAR(10)&amp;"x ","")))/3)+IF(LEFT(TRIM($AE37),2)="x ",1,0)</f>
        <v>0</v>
      </c>
      <c r="M37" s="59" t="n">
        <f aca="false">SUM(H37:L37)</f>
        <v>0</v>
      </c>
      <c r="N37" s="60" t="str">
        <f aca="false">IF(F37&gt;(($A$21-WEEKDAY($A$21,2))-7*$F$22),"Y","N")</f>
        <v>N</v>
      </c>
      <c r="O37" s="61" t="str">
        <f aca="false">IF(AB37="","  -  ZZZ","  -  "&amp;X37&amp;Y37&amp;AB37)</f>
        <v>  -  05.07.taxGeneral Management00.Maintain tax</v>
      </c>
      <c r="P37" s="58" t="str">
        <f aca="false">IF(AB37="","",(IF(OR(Q37="Y",Q37="N"),Q37,IF(N37="Y","Y","N"))))</f>
        <v>N</v>
      </c>
      <c r="Q37" s="40" t="s">
        <v>455</v>
      </c>
      <c r="R37" s="40"/>
      <c r="S37" s="62" t="s">
        <v>356</v>
      </c>
      <c r="T37" s="62" t="s">
        <v>456</v>
      </c>
      <c r="U37" s="62" t="s">
        <v>457</v>
      </c>
      <c r="V37" s="62" t="s">
        <v>458</v>
      </c>
      <c r="W37" s="40" t="s">
        <v>459</v>
      </c>
      <c r="X37" s="63" t="s">
        <v>502</v>
      </c>
      <c r="Y37" s="64" t="s">
        <v>461</v>
      </c>
      <c r="Z37" s="62" t="s">
        <v>462</v>
      </c>
      <c r="AA37" s="62" t="s">
        <v>463</v>
      </c>
      <c r="AB37" s="64" t="s">
        <v>503</v>
      </c>
      <c r="AC37" s="65" t="s">
        <v>465</v>
      </c>
      <c r="AD37" s="64" t="s">
        <v>466</v>
      </c>
      <c r="AE37" s="65" t="s">
        <v>496</v>
      </c>
      <c r="AF37" s="60" t="n">
        <f aca="false">IF(AB37="","",SUM(H37:K37))</f>
        <v>0</v>
      </c>
      <c r="AG37" s="66" t="n">
        <f aca="false">IF(AB37="","",IF(M37&lt;&gt;0,(I37*0.5+L37)/M37,1))</f>
        <v>1</v>
      </c>
      <c r="AH37" s="40" t="s">
        <v>468</v>
      </c>
      <c r="AI37" s="67"/>
      <c r="AJ37" s="68"/>
      <c r="AK37" s="69" t="n">
        <f aca="false">IF(AB37="","",AI37*AJ37/8)</f>
        <v>0</v>
      </c>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66"/>
      <c r="BL37" s="66"/>
      <c r="BM37" s="66"/>
      <c r="BN37" s="66"/>
      <c r="BO37" s="66"/>
      <c r="BP37" s="66"/>
      <c r="BQ37" s="66"/>
      <c r="BR37" s="66"/>
      <c r="BS37" s="66"/>
      <c r="BT37" s="66"/>
      <c r="BU37" s="66"/>
      <c r="BV37" s="66"/>
      <c r="BW37" s="64" t="s">
        <v>469</v>
      </c>
    </row>
    <row r="38" customFormat="false" ht="12.75" hidden="false" customHeight="true" outlineLevel="0" collapsed="false">
      <c r="A38" s="54"/>
      <c r="B38" s="55" t="str">
        <f aca="false">IF(AD38="","",IF(ISERROR(FIND(CHAR(10),AD38,1)),AD38,LEFT(AD38,FIND(CHAR(10),AD38,1))))</f>
        <v>03-01-22: init</v>
      </c>
      <c r="C38" s="56" t="str">
        <f aca="false">IF(AD38="","",IFERROR(RIGHT(AD38,LEN(AD38)-FIND("@@@",SUBSTITUTE(AD38,CHAR(10),"@@@",LEN(AD38)-LEN(SUBSTITUTE(AD38,CHAR(10),""))),1)),AD38))</f>
        <v>03-01-22: init</v>
      </c>
      <c r="D38" s="57" t="n">
        <f aca="false">IFERROR(DATE(("20"&amp;MID(B38,7,2))*1,MID(B38,4,2)*1,MID(B38,1,2)*1),"")</f>
        <v>44564</v>
      </c>
      <c r="E38" s="57" t="n">
        <f aca="false">IFERROR(DATE(("20"&amp;MID(C38,7,2))*1,MID(C38,4,2)*1,MID(C38,1,2)*1),"")</f>
        <v>44564</v>
      </c>
      <c r="F38" s="58" t="n">
        <f aca="false">MAX(D38,IF(E38="none",D38,E38))</f>
        <v>44564</v>
      </c>
      <c r="G38" s="59" t="n">
        <f aca="false">IFERROR(DAYS360(D38,F38),0)</f>
        <v>0</v>
      </c>
      <c r="H38" s="59" t="n">
        <f aca="false">((LEN($AE38)-LEN(SUBSTITUTE($AE38,CHAR(10)&amp;". ","")))/3)+IF(LEFT(TRIM($AE38),2)=". ",1,0)</f>
        <v>0</v>
      </c>
      <c r="I38" s="59" t="n">
        <f aca="false">((LEN($AE38)-LEN(SUBSTITUTE($AE38,CHAR(10)&amp;"/ ","")))/3)+IF(LEFT(TRIM($AE38),2)="/ ",1,0)</f>
        <v>0</v>
      </c>
      <c r="J38" s="59" t="n">
        <f aca="false">((LEN($AE38)-LEN(SUBSTITUTE($AE38,CHAR(10)&amp;"~ ","")))/3)+IF(LEFT(TRIM($AE38),2)="~ ",1,0)</f>
        <v>0</v>
      </c>
      <c r="K38" s="59" t="n">
        <f aca="false">((LEN($AE38)-LEN(SUBSTITUTE($AE38,CHAR(10)&amp;"! ","")))/3)+IF(LEFT(TRIM($AE38),2)="! ",1,0)</f>
        <v>0</v>
      </c>
      <c r="L38" s="59" t="n">
        <f aca="false">((LEN($AE38)-LEN(SUBSTITUTE($AE38,CHAR(10)&amp;"x ","")))/3)+IF(LEFT(TRIM($AE38),2)="x ",1,0)</f>
        <v>0</v>
      </c>
      <c r="M38" s="59" t="n">
        <f aca="false">SUM(H38:L38)</f>
        <v>0</v>
      </c>
      <c r="N38" s="60" t="str">
        <f aca="false">IF(F38&gt;(($A$21-WEEKDAY($A$21,2))-7*$F$22),"Y","N")</f>
        <v>N</v>
      </c>
      <c r="O38" s="61" t="str">
        <f aca="false">IF(AB38="","  -  ZZZ","  -  "&amp;X38&amp;Y38&amp;AB38)</f>
        <v>  -  05.08.procurementGeneral Management00.Maintain Procurement</v>
      </c>
      <c r="P38" s="58" t="str">
        <f aca="false">IF(AB38="","",(IF(OR(Q38="Y",Q38="N"),Q38,IF(N38="Y","Y","N"))))</f>
        <v>N</v>
      </c>
      <c r="Q38" s="40" t="s">
        <v>455</v>
      </c>
      <c r="R38" s="40"/>
      <c r="S38" s="62" t="s">
        <v>356</v>
      </c>
      <c r="T38" s="62" t="s">
        <v>456</v>
      </c>
      <c r="U38" s="62" t="s">
        <v>457</v>
      </c>
      <c r="V38" s="62" t="s">
        <v>458</v>
      </c>
      <c r="W38" s="40" t="s">
        <v>459</v>
      </c>
      <c r="X38" s="63" t="s">
        <v>504</v>
      </c>
      <c r="Y38" s="64" t="s">
        <v>461</v>
      </c>
      <c r="Z38" s="62" t="s">
        <v>462</v>
      </c>
      <c r="AA38" s="62" t="s">
        <v>463</v>
      </c>
      <c r="AB38" s="64" t="s">
        <v>505</v>
      </c>
      <c r="AC38" s="65" t="s">
        <v>465</v>
      </c>
      <c r="AD38" s="64" t="s">
        <v>466</v>
      </c>
      <c r="AE38" s="65" t="s">
        <v>506</v>
      </c>
      <c r="AF38" s="60" t="n">
        <f aca="false">IF(AB38="","",SUM(H38:K38))</f>
        <v>0</v>
      </c>
      <c r="AG38" s="66" t="n">
        <f aca="false">IF(AB38="","",IF(M38&lt;&gt;0,(I38*0.5+L38)/M38,1))</f>
        <v>1</v>
      </c>
      <c r="AH38" s="40" t="s">
        <v>468</v>
      </c>
      <c r="AI38" s="67"/>
      <c r="AJ38" s="68"/>
      <c r="AK38" s="69" t="n">
        <f aca="false">IF(AB38="","",AI38*AJ38/8)</f>
        <v>0</v>
      </c>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66"/>
      <c r="BL38" s="66"/>
      <c r="BM38" s="66"/>
      <c r="BN38" s="66"/>
      <c r="BO38" s="66"/>
      <c r="BP38" s="66"/>
      <c r="BQ38" s="66"/>
      <c r="BR38" s="66"/>
      <c r="BS38" s="66"/>
      <c r="BT38" s="66"/>
      <c r="BU38" s="66"/>
      <c r="BV38" s="66"/>
      <c r="BW38" s="64" t="s">
        <v>469</v>
      </c>
    </row>
    <row r="39" customFormat="false" ht="12.75" hidden="false" customHeight="true" outlineLevel="0" collapsed="false">
      <c r="A39" s="54"/>
      <c r="B39" s="55" t="str">
        <f aca="false">IF(AD39="","",IF(ISERROR(FIND(CHAR(10),AD39,1)),AD39,LEFT(AD39,FIND(CHAR(10),AD39,1))))</f>
        <v>03-01-22: init</v>
      </c>
      <c r="C39" s="56" t="str">
        <f aca="false">IF(AD39="","",IFERROR(RIGHT(AD39,LEN(AD39)-FIND("@@@",SUBSTITUTE(AD39,CHAR(10),"@@@",LEN(AD39)-LEN(SUBSTITUTE(AD39,CHAR(10),""))),1)),AD39))</f>
        <v>03-01-22: init</v>
      </c>
      <c r="D39" s="57" t="n">
        <f aca="false">IFERROR(DATE(("20"&amp;MID(B39,7,2))*1,MID(B39,4,2)*1,MID(B39,1,2)*1),"")</f>
        <v>44564</v>
      </c>
      <c r="E39" s="57" t="n">
        <f aca="false">IFERROR(DATE(("20"&amp;MID(C39,7,2))*1,MID(C39,4,2)*1,MID(C39,1,2)*1),"")</f>
        <v>44564</v>
      </c>
      <c r="F39" s="58" t="n">
        <f aca="false">MAX(D39,IF(E39="none",D39,E39))</f>
        <v>44564</v>
      </c>
      <c r="G39" s="59" t="n">
        <f aca="false">IFERROR(DAYS360(D39,F39),0)</f>
        <v>0</v>
      </c>
      <c r="H39" s="59" t="n">
        <f aca="false">((LEN($AE39)-LEN(SUBSTITUTE($AE39,CHAR(10)&amp;". ","")))/3)+IF(LEFT(TRIM($AE39),2)=". ",1,0)</f>
        <v>0</v>
      </c>
      <c r="I39" s="59" t="n">
        <f aca="false">((LEN($AE39)-LEN(SUBSTITUTE($AE39,CHAR(10)&amp;"/ ","")))/3)+IF(LEFT(TRIM($AE39),2)="/ ",1,0)</f>
        <v>0</v>
      </c>
      <c r="J39" s="59" t="n">
        <f aca="false">((LEN($AE39)-LEN(SUBSTITUTE($AE39,CHAR(10)&amp;"~ ","")))/3)+IF(LEFT(TRIM($AE39),2)="~ ",1,0)</f>
        <v>0</v>
      </c>
      <c r="K39" s="59" t="n">
        <f aca="false">((LEN($AE39)-LEN(SUBSTITUTE($AE39,CHAR(10)&amp;"! ","")))/3)+IF(LEFT(TRIM($AE39),2)="! ",1,0)</f>
        <v>0</v>
      </c>
      <c r="L39" s="59" t="n">
        <f aca="false">((LEN($AE39)-LEN(SUBSTITUTE($AE39,CHAR(10)&amp;"x ","")))/3)+IF(LEFT(TRIM($AE39),2)="x ",1,0)</f>
        <v>0</v>
      </c>
      <c r="M39" s="59" t="n">
        <f aca="false">SUM(H39:L39)</f>
        <v>0</v>
      </c>
      <c r="N39" s="60" t="str">
        <f aca="false">IF(F39&gt;(($A$21-WEEKDAY($A$21,2))-7*$F$22),"Y","N")</f>
        <v>N</v>
      </c>
      <c r="O39" s="61" t="str">
        <f aca="false">IF(AB39="","  -  ZZZ","  -  "&amp;X39&amp;Y39&amp;AB39)</f>
        <v>  -  05.09.marketingGeneral Management00.Maintain Marketing</v>
      </c>
      <c r="P39" s="58" t="str">
        <f aca="false">IF(AB39="","",(IF(OR(Q39="Y",Q39="N"),Q39,IF(N39="Y","Y","N"))))</f>
        <v>N</v>
      </c>
      <c r="Q39" s="40" t="s">
        <v>455</v>
      </c>
      <c r="R39" s="40"/>
      <c r="S39" s="62" t="s">
        <v>356</v>
      </c>
      <c r="T39" s="62" t="s">
        <v>456</v>
      </c>
      <c r="U39" s="62" t="s">
        <v>457</v>
      </c>
      <c r="V39" s="62" t="s">
        <v>458</v>
      </c>
      <c r="W39" s="40" t="s">
        <v>459</v>
      </c>
      <c r="X39" s="63" t="s">
        <v>507</v>
      </c>
      <c r="Y39" s="64" t="s">
        <v>461</v>
      </c>
      <c r="Z39" s="62" t="s">
        <v>462</v>
      </c>
      <c r="AA39" s="62" t="s">
        <v>463</v>
      </c>
      <c r="AB39" s="64" t="s">
        <v>508</v>
      </c>
      <c r="AC39" s="65" t="s">
        <v>465</v>
      </c>
      <c r="AD39" s="64" t="s">
        <v>466</v>
      </c>
      <c r="AE39" s="65" t="s">
        <v>496</v>
      </c>
      <c r="AF39" s="60" t="n">
        <f aca="false">IF(AB39="","",SUM(H39:K39))</f>
        <v>0</v>
      </c>
      <c r="AG39" s="66" t="n">
        <f aca="false">IF(AB39="","",IF(M39&lt;&gt;0,(I39*0.5+L39)/M39,1))</f>
        <v>1</v>
      </c>
      <c r="AH39" s="40" t="s">
        <v>468</v>
      </c>
      <c r="AI39" s="67"/>
      <c r="AJ39" s="68"/>
      <c r="AK39" s="69" t="n">
        <f aca="false">IF(AB39="","",AI39*AJ39/8)</f>
        <v>0</v>
      </c>
      <c r="AL39" s="66"/>
      <c r="AM39" s="66"/>
      <c r="AN39" s="66"/>
      <c r="AO39" s="66"/>
      <c r="AP39" s="66"/>
      <c r="AQ39" s="66"/>
      <c r="AR39" s="66"/>
      <c r="AS39" s="66"/>
      <c r="AT39" s="66"/>
      <c r="AU39" s="66"/>
      <c r="AV39" s="66"/>
      <c r="AW39" s="66"/>
      <c r="AX39" s="66"/>
      <c r="AY39" s="66"/>
      <c r="AZ39" s="66"/>
      <c r="BA39" s="66"/>
      <c r="BB39" s="66"/>
      <c r="BC39" s="66"/>
      <c r="BD39" s="66"/>
      <c r="BE39" s="66"/>
      <c r="BF39" s="66"/>
      <c r="BG39" s="66"/>
      <c r="BH39" s="66"/>
      <c r="BI39" s="66"/>
      <c r="BJ39" s="66"/>
      <c r="BK39" s="66"/>
      <c r="BL39" s="66"/>
      <c r="BM39" s="66"/>
      <c r="BN39" s="66"/>
      <c r="BO39" s="66"/>
      <c r="BP39" s="66"/>
      <c r="BQ39" s="66"/>
      <c r="BR39" s="66"/>
      <c r="BS39" s="66"/>
      <c r="BT39" s="66"/>
      <c r="BU39" s="66"/>
      <c r="BV39" s="66"/>
      <c r="BW39" s="64" t="s">
        <v>469</v>
      </c>
    </row>
    <row r="40" customFormat="false" ht="12.75" hidden="false" customHeight="true" outlineLevel="0" collapsed="false">
      <c r="A40" s="54"/>
      <c r="B40" s="55" t="str">
        <f aca="false">IF(AD40="","",IF(ISERROR(FIND(CHAR(10),AD40,1)),AD40,LEFT(AD40,FIND(CHAR(10),AD40,1))))</f>
        <v>03-01-22: init</v>
      </c>
      <c r="C40" s="56" t="str">
        <f aca="false">IF(AD40="","",IFERROR(RIGHT(AD40,LEN(AD40)-FIND("@@@",SUBSTITUTE(AD40,CHAR(10),"@@@",LEN(AD40)-LEN(SUBSTITUTE(AD40,CHAR(10),""))),1)),AD40))</f>
        <v>03-01-22: init</v>
      </c>
      <c r="D40" s="57" t="n">
        <f aca="false">IFERROR(DATE(("20"&amp;MID(B40,7,2))*1,MID(B40,4,2)*1,MID(B40,1,2)*1),"")</f>
        <v>44564</v>
      </c>
      <c r="E40" s="57" t="n">
        <f aca="false">IFERROR(DATE(("20"&amp;MID(C40,7,2))*1,MID(C40,4,2)*1,MID(C40,1,2)*1),"")</f>
        <v>44564</v>
      </c>
      <c r="F40" s="58" t="n">
        <f aca="false">MAX(D40,IF(E40="none",D40,E40))</f>
        <v>44564</v>
      </c>
      <c r="G40" s="59" t="n">
        <f aca="false">IFERROR(DAYS360(D40,F40),0)</f>
        <v>0</v>
      </c>
      <c r="H40" s="59" t="n">
        <f aca="false">((LEN($AE40)-LEN(SUBSTITUTE($AE40,CHAR(10)&amp;". ","")))/3)+IF(LEFT(TRIM($AE40),2)=". ",1,0)</f>
        <v>0</v>
      </c>
      <c r="I40" s="59" t="n">
        <f aca="false">((LEN($AE40)-LEN(SUBSTITUTE($AE40,CHAR(10)&amp;"/ ","")))/3)+IF(LEFT(TRIM($AE40),2)="/ ",1,0)</f>
        <v>0</v>
      </c>
      <c r="J40" s="59" t="n">
        <f aca="false">((LEN($AE40)-LEN(SUBSTITUTE($AE40,CHAR(10)&amp;"~ ","")))/3)+IF(LEFT(TRIM($AE40),2)="~ ",1,0)</f>
        <v>0</v>
      </c>
      <c r="K40" s="59" t="n">
        <f aca="false">((LEN($AE40)-LEN(SUBSTITUTE($AE40,CHAR(10)&amp;"! ","")))/3)+IF(LEFT(TRIM($AE40),2)="! ",1,0)</f>
        <v>0</v>
      </c>
      <c r="L40" s="59" t="n">
        <f aca="false">((LEN($AE40)-LEN(SUBSTITUTE($AE40,CHAR(10)&amp;"x ","")))/3)+IF(LEFT(TRIM($AE40),2)="x ",1,0)</f>
        <v>0</v>
      </c>
      <c r="M40" s="59" t="n">
        <f aca="false">SUM(H40:L40)</f>
        <v>0</v>
      </c>
      <c r="N40" s="60" t="str">
        <f aca="false">IF(F40&gt;(($A$21-WEEKDAY($A$21,2))-7*$F$22),"Y","N")</f>
        <v>N</v>
      </c>
      <c r="O40" s="61" t="str">
        <f aca="false">IF(AB40="","  -  ZZZ","  -  "&amp;X40&amp;Y40&amp;AB40)</f>
        <v>  -  05.10.communicationsGeneral Management00.Maintain Communications</v>
      </c>
      <c r="P40" s="58" t="str">
        <f aca="false">IF(AB40="","",(IF(OR(Q40="Y",Q40="N"),Q40,IF(N40="Y","Y","N"))))</f>
        <v>N</v>
      </c>
      <c r="Q40" s="40" t="s">
        <v>455</v>
      </c>
      <c r="R40" s="40"/>
      <c r="S40" s="62" t="s">
        <v>356</v>
      </c>
      <c r="T40" s="62" t="s">
        <v>456</v>
      </c>
      <c r="U40" s="62" t="s">
        <v>457</v>
      </c>
      <c r="V40" s="62" t="s">
        <v>458</v>
      </c>
      <c r="W40" s="40" t="s">
        <v>459</v>
      </c>
      <c r="X40" s="63" t="s">
        <v>509</v>
      </c>
      <c r="Y40" s="64" t="s">
        <v>461</v>
      </c>
      <c r="Z40" s="62" t="s">
        <v>462</v>
      </c>
      <c r="AA40" s="62" t="s">
        <v>463</v>
      </c>
      <c r="AB40" s="64" t="s">
        <v>510</v>
      </c>
      <c r="AC40" s="65" t="s">
        <v>465</v>
      </c>
      <c r="AD40" s="64" t="s">
        <v>466</v>
      </c>
      <c r="AE40" s="65" t="s">
        <v>496</v>
      </c>
      <c r="AF40" s="60" t="n">
        <f aca="false">IF(AB40="","",SUM(H40:K40))</f>
        <v>0</v>
      </c>
      <c r="AG40" s="66" t="n">
        <f aca="false">IF(AB40="","",IF(M40&lt;&gt;0,(I40*0.5+L40)/M40,1))</f>
        <v>1</v>
      </c>
      <c r="AH40" s="40" t="s">
        <v>468</v>
      </c>
      <c r="AI40" s="67"/>
      <c r="AJ40" s="68"/>
      <c r="AK40" s="69" t="n">
        <f aca="false">IF(AB40="","",AI40*AJ40/8)</f>
        <v>0</v>
      </c>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66"/>
      <c r="BL40" s="66"/>
      <c r="BM40" s="66"/>
      <c r="BN40" s="66"/>
      <c r="BO40" s="66"/>
      <c r="BP40" s="66"/>
      <c r="BQ40" s="66"/>
      <c r="BR40" s="66"/>
      <c r="BS40" s="66"/>
      <c r="BT40" s="66"/>
      <c r="BU40" s="66"/>
      <c r="BV40" s="66"/>
      <c r="BW40" s="64" t="s">
        <v>469</v>
      </c>
    </row>
    <row r="41" customFormat="false" ht="12.75" hidden="false" customHeight="true" outlineLevel="0" collapsed="false">
      <c r="A41" s="54"/>
      <c r="B41" s="55" t="str">
        <f aca="false">IF(AD41="","",IF(ISERROR(FIND(CHAR(10),AD41,1)),AD41,LEFT(AD41,FIND(CHAR(10),AD41,1))))</f>
        <v>03-01-22: init</v>
      </c>
      <c r="C41" s="56" t="str">
        <f aca="false">IF(AD41="","",IFERROR(RIGHT(AD41,LEN(AD41)-FIND("@@@",SUBSTITUTE(AD41,CHAR(10),"@@@",LEN(AD41)-LEN(SUBSTITUTE(AD41,CHAR(10),""))),1)),AD41))</f>
        <v>03-01-22: init</v>
      </c>
      <c r="D41" s="57" t="n">
        <f aca="false">IFERROR(DATE(("20"&amp;MID(B41,7,2))*1,MID(B41,4,2)*1,MID(B41,1,2)*1),"")</f>
        <v>44564</v>
      </c>
      <c r="E41" s="57" t="n">
        <f aca="false">IFERROR(DATE(("20"&amp;MID(C41,7,2))*1,MID(C41,4,2)*1,MID(C41,1,2)*1),"")</f>
        <v>44564</v>
      </c>
      <c r="F41" s="58" t="n">
        <f aca="false">MAX(D41,IF(E41="none",D41,E41))</f>
        <v>44564</v>
      </c>
      <c r="G41" s="59" t="n">
        <f aca="false">IFERROR(DAYS360(D41,F41),0)</f>
        <v>0</v>
      </c>
      <c r="H41" s="59" t="n">
        <f aca="false">((LEN($AE41)-LEN(SUBSTITUTE($AE41,CHAR(10)&amp;". ","")))/3)+IF(LEFT(TRIM($AE41),2)=". ",1,0)</f>
        <v>0</v>
      </c>
      <c r="I41" s="59" t="n">
        <f aca="false">((LEN($AE41)-LEN(SUBSTITUTE($AE41,CHAR(10)&amp;"/ ","")))/3)+IF(LEFT(TRIM($AE41),2)="/ ",1,0)</f>
        <v>0</v>
      </c>
      <c r="J41" s="59" t="n">
        <f aca="false">((LEN($AE41)-LEN(SUBSTITUTE($AE41,CHAR(10)&amp;"~ ","")))/3)+IF(LEFT(TRIM($AE41),2)="~ ",1,0)</f>
        <v>0</v>
      </c>
      <c r="K41" s="59" t="n">
        <f aca="false">((LEN($AE41)-LEN(SUBSTITUTE($AE41,CHAR(10)&amp;"! ","")))/3)+IF(LEFT(TRIM($AE41),2)="! ",1,0)</f>
        <v>0</v>
      </c>
      <c r="L41" s="59" t="n">
        <f aca="false">((LEN($AE41)-LEN(SUBSTITUTE($AE41,CHAR(10)&amp;"x ","")))/3)+IF(LEFT(TRIM($AE41),2)="x ",1,0)</f>
        <v>0</v>
      </c>
      <c r="M41" s="59" t="n">
        <f aca="false">SUM(H41:L41)</f>
        <v>0</v>
      </c>
      <c r="N41" s="60" t="str">
        <f aca="false">IF(F41&gt;(($A$21-WEEKDAY($A$21,2))-7*$F$22),"Y","N")</f>
        <v>N</v>
      </c>
      <c r="O41" s="61" t="str">
        <f aca="false">IF(AB41="","  -  ZZZ","  -  "&amp;X41&amp;Y41&amp;AB41)</f>
        <v>  -  05.11.auditGeneral Management00.Maintain Audit</v>
      </c>
      <c r="P41" s="58" t="str">
        <f aca="false">IF(AB41="","",(IF(OR(Q41="Y",Q41="N"),Q41,IF(N41="Y","Y","N"))))</f>
        <v>N</v>
      </c>
      <c r="Q41" s="40" t="s">
        <v>455</v>
      </c>
      <c r="R41" s="40"/>
      <c r="S41" s="62" t="s">
        <v>356</v>
      </c>
      <c r="T41" s="62" t="s">
        <v>456</v>
      </c>
      <c r="U41" s="62" t="s">
        <v>457</v>
      </c>
      <c r="V41" s="62" t="s">
        <v>458</v>
      </c>
      <c r="W41" s="40" t="s">
        <v>459</v>
      </c>
      <c r="X41" s="63" t="s">
        <v>511</v>
      </c>
      <c r="Y41" s="64" t="s">
        <v>461</v>
      </c>
      <c r="Z41" s="62" t="s">
        <v>462</v>
      </c>
      <c r="AA41" s="62" t="s">
        <v>463</v>
      </c>
      <c r="AB41" s="64" t="s">
        <v>512</v>
      </c>
      <c r="AC41" s="65" t="s">
        <v>465</v>
      </c>
      <c r="AD41" s="64" t="s">
        <v>466</v>
      </c>
      <c r="AE41" s="65" t="s">
        <v>513</v>
      </c>
      <c r="AF41" s="60" t="n">
        <f aca="false">IF(AB41="","",SUM(H41:K41))</f>
        <v>0</v>
      </c>
      <c r="AG41" s="66" t="n">
        <f aca="false">IF(AB41="","",IF(M41&lt;&gt;0,(I41*0.5+L41)/M41,1))</f>
        <v>1</v>
      </c>
      <c r="AH41" s="40" t="s">
        <v>468</v>
      </c>
      <c r="AI41" s="67"/>
      <c r="AJ41" s="68"/>
      <c r="AK41" s="69" t="n">
        <f aca="false">IF(AB41="","",AI41*AJ41/8)</f>
        <v>0</v>
      </c>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66"/>
      <c r="BL41" s="66"/>
      <c r="BM41" s="66"/>
      <c r="BN41" s="66"/>
      <c r="BO41" s="66"/>
      <c r="BP41" s="66"/>
      <c r="BQ41" s="66"/>
      <c r="BR41" s="66"/>
      <c r="BS41" s="66"/>
      <c r="BT41" s="66"/>
      <c r="BU41" s="66"/>
      <c r="BV41" s="66"/>
      <c r="BW41" s="64" t="s">
        <v>469</v>
      </c>
    </row>
    <row r="42" customFormat="false" ht="12.75" hidden="false" customHeight="true" outlineLevel="0" collapsed="false">
      <c r="A42" s="54"/>
      <c r="B42" s="55" t="str">
        <f aca="false">IF(AD42="","",IF(ISERROR(FIND(CHAR(10),AD42,1)),AD42,LEFT(AD42,FIND(CHAR(10),AD42,1))))</f>
        <v>03-01-22: init</v>
      </c>
      <c r="C42" s="56" t="str">
        <f aca="false">IF(AD42="","",IFERROR(RIGHT(AD42,LEN(AD42)-FIND("@@@",SUBSTITUTE(AD42,CHAR(10),"@@@",LEN(AD42)-LEN(SUBSTITUTE(AD42,CHAR(10),""))),1)),AD42))</f>
        <v>03-01-22: init</v>
      </c>
      <c r="D42" s="57" t="n">
        <f aca="false">IFERROR(DATE(("20"&amp;MID(B42,7,2))*1,MID(B42,4,2)*1,MID(B42,1,2)*1),"")</f>
        <v>44564</v>
      </c>
      <c r="E42" s="57" t="n">
        <f aca="false">IFERROR(DATE(("20"&amp;MID(C42,7,2))*1,MID(C42,4,2)*1,MID(C42,1,2)*1),"")</f>
        <v>44564</v>
      </c>
      <c r="F42" s="58" t="n">
        <f aca="false">MAX(D42,IF(E42="none",D42,E42))</f>
        <v>44564</v>
      </c>
      <c r="G42" s="59" t="n">
        <f aca="false">IFERROR(DAYS360(D42,F42),0)</f>
        <v>0</v>
      </c>
      <c r="H42" s="59" t="n">
        <f aca="false">((LEN($AE42)-LEN(SUBSTITUTE($AE42,CHAR(10)&amp;". ","")))/3)+IF(LEFT(TRIM($AE42),2)=". ",1,0)</f>
        <v>0</v>
      </c>
      <c r="I42" s="59" t="n">
        <f aca="false">((LEN($AE42)-LEN(SUBSTITUTE($AE42,CHAR(10)&amp;"/ ","")))/3)+IF(LEFT(TRIM($AE42),2)="/ ",1,0)</f>
        <v>0</v>
      </c>
      <c r="J42" s="59" t="n">
        <f aca="false">((LEN($AE42)-LEN(SUBSTITUTE($AE42,CHAR(10)&amp;"~ ","")))/3)+IF(LEFT(TRIM($AE42),2)="~ ",1,0)</f>
        <v>0</v>
      </c>
      <c r="K42" s="59" t="n">
        <f aca="false">((LEN($AE42)-LEN(SUBSTITUTE($AE42,CHAR(10)&amp;"! ","")))/3)+IF(LEFT(TRIM($AE42),2)="! ",1,0)</f>
        <v>0</v>
      </c>
      <c r="L42" s="59" t="n">
        <f aca="false">((LEN($AE42)-LEN(SUBSTITUTE($AE42,CHAR(10)&amp;"x ","")))/3)+IF(LEFT(TRIM($AE42),2)="x ",1,0)</f>
        <v>0</v>
      </c>
      <c r="M42" s="59" t="n">
        <f aca="false">SUM(H42:L42)</f>
        <v>0</v>
      </c>
      <c r="N42" s="60" t="str">
        <f aca="false">IF(F42&gt;(($A$21-WEEKDAY($A$21,2))-7*$F$22),"Y","N")</f>
        <v>N</v>
      </c>
      <c r="O42" s="61" t="str">
        <f aca="false">IF(AB42="","  -  ZZZ","  -  "&amp;X42&amp;Y42&amp;AB42)</f>
        <v>  -  05.99.operationsGeneral Management00.Maintain Operations</v>
      </c>
      <c r="P42" s="58" t="str">
        <f aca="false">IF(AB42="","",(IF(OR(Q42="Y",Q42="N"),Q42,IF(N42="Y","Y","N"))))</f>
        <v>N</v>
      </c>
      <c r="Q42" s="40" t="s">
        <v>455</v>
      </c>
      <c r="R42" s="40"/>
      <c r="S42" s="62" t="s">
        <v>356</v>
      </c>
      <c r="T42" s="62" t="s">
        <v>456</v>
      </c>
      <c r="U42" s="62" t="s">
        <v>457</v>
      </c>
      <c r="V42" s="62" t="s">
        <v>458</v>
      </c>
      <c r="W42" s="40" t="s">
        <v>459</v>
      </c>
      <c r="X42" s="63" t="s">
        <v>514</v>
      </c>
      <c r="Y42" s="64" t="s">
        <v>461</v>
      </c>
      <c r="Z42" s="62" t="s">
        <v>462</v>
      </c>
      <c r="AA42" s="62" t="s">
        <v>463</v>
      </c>
      <c r="AB42" s="64" t="s">
        <v>515</v>
      </c>
      <c r="AC42" s="65" t="s">
        <v>465</v>
      </c>
      <c r="AD42" s="64" t="s">
        <v>466</v>
      </c>
      <c r="AE42" s="65" t="s">
        <v>496</v>
      </c>
      <c r="AF42" s="60" t="n">
        <f aca="false">IF(AB42="","",SUM(H42:K42))</f>
        <v>0</v>
      </c>
      <c r="AG42" s="66" t="n">
        <f aca="false">IF(AB42="","",IF(M42&lt;&gt;0,(I42*0.5+L42)/M42,1))</f>
        <v>1</v>
      </c>
      <c r="AH42" s="40" t="s">
        <v>468</v>
      </c>
      <c r="AI42" s="67"/>
      <c r="AJ42" s="68"/>
      <c r="AK42" s="69" t="n">
        <f aca="false">IF(AB42="","",AI42*AJ42/8)</f>
        <v>0</v>
      </c>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66"/>
      <c r="BL42" s="66"/>
      <c r="BM42" s="66"/>
      <c r="BN42" s="66"/>
      <c r="BO42" s="66"/>
      <c r="BP42" s="66"/>
      <c r="BQ42" s="66"/>
      <c r="BR42" s="66"/>
      <c r="BS42" s="66"/>
      <c r="BT42" s="66"/>
      <c r="BU42" s="66"/>
      <c r="BV42" s="66"/>
      <c r="BW42" s="64" t="s">
        <v>469</v>
      </c>
    </row>
    <row r="43" customFormat="false" ht="12.75" hidden="false" customHeight="true" outlineLevel="0" collapsed="false">
      <c r="A43" s="54"/>
      <c r="B43" s="55" t="str">
        <f aca="false">IF(AD43="","",IF(ISERROR(FIND(CHAR(10),AD43,1)),AD43,LEFT(AD43,FIND(CHAR(10),AD43,1))))</f>
        <v>03-01-22: init</v>
      </c>
      <c r="C43" s="56" t="str">
        <f aca="false">IF(AD43="","",IFERROR(RIGHT(AD43,LEN(AD43)-FIND("@@@",SUBSTITUTE(AD43,CHAR(10),"@@@",LEN(AD43)-LEN(SUBSTITUTE(AD43,CHAR(10),""))),1)),AD43))</f>
        <v>03-01-22: init</v>
      </c>
      <c r="D43" s="57" t="n">
        <f aca="false">IFERROR(DATE(("20"&amp;MID(B43,7,2))*1,MID(B43,4,2)*1,MID(B43,1,2)*1),"")</f>
        <v>44564</v>
      </c>
      <c r="E43" s="57" t="n">
        <f aca="false">IFERROR(DATE(("20"&amp;MID(C43,7,2))*1,MID(C43,4,2)*1,MID(C43,1,2)*1),"")</f>
        <v>44564</v>
      </c>
      <c r="F43" s="58" t="n">
        <f aca="false">MAX(D43,IF(E43="none",D43,E43))</f>
        <v>44564</v>
      </c>
      <c r="G43" s="59" t="n">
        <f aca="false">IFERROR(DAYS360(D43,F43),0)</f>
        <v>0</v>
      </c>
      <c r="H43" s="59" t="n">
        <f aca="false">((LEN($AE43)-LEN(SUBSTITUTE($AE43,CHAR(10)&amp;". ","")))/3)+IF(LEFT(TRIM($AE43),2)=". ",1,0)</f>
        <v>0</v>
      </c>
      <c r="I43" s="59" t="n">
        <f aca="false">((LEN($AE43)-LEN(SUBSTITUTE($AE43,CHAR(10)&amp;"/ ","")))/3)+IF(LEFT(TRIM($AE43),2)="/ ",1,0)</f>
        <v>0</v>
      </c>
      <c r="J43" s="59" t="n">
        <f aca="false">((LEN($AE43)-LEN(SUBSTITUTE($AE43,CHAR(10)&amp;"~ ","")))/3)+IF(LEFT(TRIM($AE43),2)="~ ",1,0)</f>
        <v>0</v>
      </c>
      <c r="K43" s="59" t="n">
        <f aca="false">((LEN($AE43)-LEN(SUBSTITUTE($AE43,CHAR(10)&amp;"! ","")))/3)+IF(LEFT(TRIM($AE43),2)="! ",1,0)</f>
        <v>0</v>
      </c>
      <c r="L43" s="59" t="n">
        <f aca="false">((LEN($AE43)-LEN(SUBSTITUTE($AE43,CHAR(10)&amp;"x ","")))/3)+IF(LEFT(TRIM($AE43),2)="x ",1,0)</f>
        <v>0</v>
      </c>
      <c r="M43" s="59" t="n">
        <f aca="false">SUM(H43:L43)</f>
        <v>0</v>
      </c>
      <c r="N43" s="60" t="str">
        <f aca="false">IF(F43&gt;(($A$21-WEEKDAY($A$21,2))-7*$F$22),"Y","N")</f>
        <v>N</v>
      </c>
      <c r="O43" s="61" t="str">
        <f aca="false">IF(AB43="","  -  ZZZ","  -  "&amp;X43&amp;Y43&amp;AB43)</f>
        <v>  -  06.toolsGeneral Management00.Maintain Tools</v>
      </c>
      <c r="P43" s="58" t="str">
        <f aca="false">IF(AB43="","",(IF(OR(Q43="Y",Q43="N"),Q43,IF(N43="Y","Y","N"))))</f>
        <v>N</v>
      </c>
      <c r="Q43" s="40" t="s">
        <v>455</v>
      </c>
      <c r="R43" s="40"/>
      <c r="S43" s="62" t="s">
        <v>356</v>
      </c>
      <c r="T43" s="62" t="s">
        <v>456</v>
      </c>
      <c r="U43" s="62" t="s">
        <v>457</v>
      </c>
      <c r="V43" s="62" t="s">
        <v>458</v>
      </c>
      <c r="W43" s="40" t="s">
        <v>459</v>
      </c>
      <c r="X43" s="63" t="s">
        <v>516</v>
      </c>
      <c r="Y43" s="64" t="s">
        <v>461</v>
      </c>
      <c r="Z43" s="62" t="s">
        <v>462</v>
      </c>
      <c r="AA43" s="62" t="s">
        <v>463</v>
      </c>
      <c r="AB43" s="64" t="s">
        <v>517</v>
      </c>
      <c r="AC43" s="65" t="s">
        <v>465</v>
      </c>
      <c r="AD43" s="64" t="s">
        <v>466</v>
      </c>
      <c r="AE43" s="65" t="s">
        <v>496</v>
      </c>
      <c r="AF43" s="60" t="n">
        <f aca="false">IF(AB43="","",SUM(H43:K43))</f>
        <v>0</v>
      </c>
      <c r="AG43" s="66" t="n">
        <f aca="false">IF(AB43="","",IF(M43&lt;&gt;0,(I43*0.5+L43)/M43,1))</f>
        <v>1</v>
      </c>
      <c r="AH43" s="40" t="s">
        <v>468</v>
      </c>
      <c r="AI43" s="67"/>
      <c r="AJ43" s="68"/>
      <c r="AK43" s="69" t="n">
        <f aca="false">IF(AB43="","",AI43*AJ43/8)</f>
        <v>0</v>
      </c>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66"/>
      <c r="BL43" s="66"/>
      <c r="BM43" s="66"/>
      <c r="BN43" s="66"/>
      <c r="BO43" s="66"/>
      <c r="BP43" s="66"/>
      <c r="BQ43" s="66"/>
      <c r="BR43" s="66"/>
      <c r="BS43" s="66"/>
      <c r="BT43" s="66"/>
      <c r="BU43" s="66"/>
      <c r="BV43" s="66"/>
      <c r="BW43" s="64" t="s">
        <v>469</v>
      </c>
    </row>
    <row r="44" customFormat="false" ht="12.75" hidden="false" customHeight="true" outlineLevel="0" collapsed="false">
      <c r="A44" s="54"/>
      <c r="B44" s="55" t="str">
        <f aca="false">IF(AD44="","",IF(ISERROR(FIND(CHAR(10),AD44,1)),AD44,LEFT(AD44,FIND(CHAR(10),AD44,1))))</f>
        <v>03-01-22: init</v>
      </c>
      <c r="C44" s="56" t="str">
        <f aca="false">IF(AD44="","",IFERROR(RIGHT(AD44,LEN(AD44)-FIND("@@@",SUBSTITUTE(AD44,CHAR(10),"@@@",LEN(AD44)-LEN(SUBSTITUTE(AD44,CHAR(10),""))),1)),AD44))</f>
        <v>03-01-22: init</v>
      </c>
      <c r="D44" s="57" t="n">
        <f aca="false">IFERROR(DATE(("20"&amp;MID(B44,7,2))*1,MID(B44,4,2)*1,MID(B44,1,2)*1),"")</f>
        <v>44564</v>
      </c>
      <c r="E44" s="57" t="n">
        <f aca="false">IFERROR(DATE(("20"&amp;MID(C44,7,2))*1,MID(C44,4,2)*1,MID(C44,1,2)*1),"")</f>
        <v>44564</v>
      </c>
      <c r="F44" s="58" t="n">
        <f aca="false">MAX(D44,IF(E44="none",D44,E44))</f>
        <v>44564</v>
      </c>
      <c r="G44" s="59" t="n">
        <f aca="false">IFERROR(DAYS360(D44,F44),0)</f>
        <v>0</v>
      </c>
      <c r="H44" s="59" t="n">
        <f aca="false">((LEN($AE44)-LEN(SUBSTITUTE($AE44,CHAR(10)&amp;". ","")))/3)+IF(LEFT(TRIM($AE44),2)=". ",1,0)</f>
        <v>0</v>
      </c>
      <c r="I44" s="59" t="n">
        <f aca="false">((LEN($AE44)-LEN(SUBSTITUTE($AE44,CHAR(10)&amp;"/ ","")))/3)+IF(LEFT(TRIM($AE44),2)="/ ",1,0)</f>
        <v>0</v>
      </c>
      <c r="J44" s="59" t="n">
        <f aca="false">((LEN($AE44)-LEN(SUBSTITUTE($AE44,CHAR(10)&amp;"~ ","")))/3)+IF(LEFT(TRIM($AE44),2)="~ ",1,0)</f>
        <v>0</v>
      </c>
      <c r="K44" s="59" t="n">
        <f aca="false">((LEN($AE44)-LEN(SUBSTITUTE($AE44,CHAR(10)&amp;"! ","")))/3)+IF(LEFT(TRIM($AE44),2)="! ",1,0)</f>
        <v>0</v>
      </c>
      <c r="L44" s="59" t="n">
        <f aca="false">((LEN($AE44)-LEN(SUBSTITUTE($AE44,CHAR(10)&amp;"x ","")))/3)+IF(LEFT(TRIM($AE44),2)="x ",1,0)</f>
        <v>0</v>
      </c>
      <c r="M44" s="59" t="n">
        <f aca="false">SUM(H44:L44)</f>
        <v>0</v>
      </c>
      <c r="N44" s="60" t="str">
        <f aca="false">IF(F44&gt;(($A$21-WEEKDAY($A$21,2))-7*$F$22),"Y","N")</f>
        <v>N</v>
      </c>
      <c r="O44" s="61" t="str">
        <f aca="false">IF(AB44="","  -  ZZZ","  -  "&amp;X44&amp;Y44&amp;AB44)</f>
        <v>  -  07.management cycleGeneral Management00.Maintain Management Cycle</v>
      </c>
      <c r="P44" s="58" t="str">
        <f aca="false">IF(AB44="","",(IF(OR(Q44="Y",Q44="N"),Q44,IF(N44="Y","Y","N"))))</f>
        <v>N</v>
      </c>
      <c r="Q44" s="40" t="s">
        <v>455</v>
      </c>
      <c r="R44" s="40"/>
      <c r="S44" s="62" t="s">
        <v>356</v>
      </c>
      <c r="T44" s="62" t="s">
        <v>456</v>
      </c>
      <c r="U44" s="62" t="s">
        <v>457</v>
      </c>
      <c r="V44" s="62" t="s">
        <v>458</v>
      </c>
      <c r="W44" s="40" t="s">
        <v>459</v>
      </c>
      <c r="X44" s="63" t="s">
        <v>518</v>
      </c>
      <c r="Y44" s="64" t="s">
        <v>461</v>
      </c>
      <c r="Z44" s="62" t="s">
        <v>462</v>
      </c>
      <c r="AA44" s="62" t="s">
        <v>463</v>
      </c>
      <c r="AB44" s="64" t="s">
        <v>519</v>
      </c>
      <c r="AC44" s="65" t="s">
        <v>465</v>
      </c>
      <c r="AD44" s="64" t="s">
        <v>466</v>
      </c>
      <c r="AE44" s="65" t="s">
        <v>496</v>
      </c>
      <c r="AF44" s="60" t="n">
        <f aca="false">IF(AB44="","",SUM(H44:K44))</f>
        <v>0</v>
      </c>
      <c r="AG44" s="66" t="n">
        <f aca="false">IF(AB44="","",IF(M44&lt;&gt;0,(I44*0.5+L44)/M44,1))</f>
        <v>1</v>
      </c>
      <c r="AH44" s="40"/>
      <c r="AI44" s="67"/>
      <c r="AJ44" s="68"/>
      <c r="AK44" s="69" t="n">
        <f aca="false">IF(AB44="","",AI44*AJ44/8)</f>
        <v>0</v>
      </c>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c r="BK44" s="66"/>
      <c r="BL44" s="66"/>
      <c r="BM44" s="66"/>
      <c r="BN44" s="66"/>
      <c r="BO44" s="66"/>
      <c r="BP44" s="66"/>
      <c r="BQ44" s="66"/>
      <c r="BR44" s="66"/>
      <c r="BS44" s="66"/>
      <c r="BT44" s="66"/>
      <c r="BU44" s="66"/>
      <c r="BV44" s="66"/>
      <c r="BW44" s="64" t="s">
        <v>469</v>
      </c>
    </row>
    <row r="45" customFormat="false" ht="12.75" hidden="false" customHeight="true" outlineLevel="0" collapsed="false">
      <c r="A45" s="54"/>
      <c r="B45" s="55" t="str">
        <f aca="false">IF(AD45="","",IF(ISERROR(FIND(CHAR(10),AD45,1)),AD45,LEFT(AD45,FIND(CHAR(10),AD45,1))))</f>
        <v/>
      </c>
      <c r="C45" s="56" t="str">
        <f aca="false">IF(AD45="","",IFERROR(RIGHT(AD45,LEN(AD45)-FIND("@@@",SUBSTITUTE(AD45,CHAR(10),"@@@",LEN(AD45)-LEN(SUBSTITUTE(AD45,CHAR(10),""))),1)),AD45))</f>
        <v/>
      </c>
      <c r="D45" s="57" t="str">
        <f aca="false">IFERROR(DATE(("20"&amp;MID(B45,7,2))*1,MID(B45,4,2)*1,MID(B45,1,2)*1),"")</f>
        <v/>
      </c>
      <c r="E45" s="57" t="str">
        <f aca="false">IFERROR(DATE(("20"&amp;MID(C45,7,2))*1,MID(C45,4,2)*1,MID(C45,1,2)*1),"")</f>
        <v/>
      </c>
      <c r="F45" s="58" t="n">
        <f aca="false">MAX(D45,IF(E45="none",D45,E45))</f>
        <v>0</v>
      </c>
      <c r="G45" s="59" t="n">
        <f aca="false">IFERROR(DAYS360(D45,F45),0)</f>
        <v>0</v>
      </c>
      <c r="H45" s="59" t="n">
        <f aca="false">((LEN($AE45)-LEN(SUBSTITUTE($AE45,CHAR(10)&amp;". ","")))/3)+IF(LEFT(TRIM($AE45),2)=". ",1,0)</f>
        <v>0</v>
      </c>
      <c r="I45" s="59" t="n">
        <f aca="false">((LEN($AE45)-LEN(SUBSTITUTE($AE45,CHAR(10)&amp;"/ ","")))/3)+IF(LEFT(TRIM($AE45),2)="/ ",1,0)</f>
        <v>0</v>
      </c>
      <c r="J45" s="59" t="n">
        <f aca="false">((LEN($AE45)-LEN(SUBSTITUTE($AE45,CHAR(10)&amp;"~ ","")))/3)+IF(LEFT(TRIM($AE45),2)="~ ",1,0)</f>
        <v>0</v>
      </c>
      <c r="K45" s="59" t="n">
        <f aca="false">((LEN($AE45)-LEN(SUBSTITUTE($AE45,CHAR(10)&amp;"! ","")))/3)+IF(LEFT(TRIM($AE45),2)="! ",1,0)</f>
        <v>0</v>
      </c>
      <c r="L45" s="59" t="n">
        <f aca="false">((LEN($AE45)-LEN(SUBSTITUTE($AE45,CHAR(10)&amp;"x ","")))/3)+IF(LEFT(TRIM($AE45),2)="x ",1,0)</f>
        <v>0</v>
      </c>
      <c r="M45" s="59" t="n">
        <f aca="false">SUM(H45:L45)</f>
        <v>0</v>
      </c>
      <c r="N45" s="60" t="str">
        <f aca="false">IF(F45&gt;(($A$21-WEEKDAY($A$21,2))-7*$F$22),"Y","N")</f>
        <v>N</v>
      </c>
      <c r="O45" s="61" t="str">
        <f aca="false">IF(AB45="","  -  ZZZ","  -  "&amp;X45&amp;Y45&amp;AB45)</f>
        <v>  -  ZZZ</v>
      </c>
      <c r="P45" s="58" t="str">
        <f aca="false">IF(AB45="","",(IF(OR(Q45="Y",Q45="N"),Q45,IF(N45="Y","Y","N"))))</f>
        <v/>
      </c>
      <c r="Q45" s="40"/>
      <c r="R45" s="40"/>
      <c r="S45" s="62"/>
      <c r="T45" s="62"/>
      <c r="U45" s="62"/>
      <c r="V45" s="62"/>
      <c r="W45" s="40"/>
      <c r="X45" s="63"/>
      <c r="Y45" s="64"/>
      <c r="Z45" s="62"/>
      <c r="AA45" s="62"/>
      <c r="AB45" s="64"/>
      <c r="AC45" s="65"/>
      <c r="AD45" s="64"/>
      <c r="AE45" s="64"/>
      <c r="AF45" s="60" t="str">
        <f aca="false">IF(AB45="","",SUM(H45:K45))</f>
        <v/>
      </c>
      <c r="AG45" s="66" t="str">
        <f aca="false">IF(AB45="","",IF(M45&lt;&gt;0,(I45*0.5+L45)/M45,1))</f>
        <v/>
      </c>
      <c r="AH45" s="40"/>
      <c r="AI45" s="67"/>
      <c r="AJ45" s="68"/>
      <c r="AK45" s="69" t="str">
        <f aca="false">IF(AB45="","",AI45*AJ45/8)</f>
        <v/>
      </c>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66"/>
      <c r="BL45" s="66"/>
      <c r="BM45" s="66"/>
      <c r="BN45" s="66"/>
      <c r="BO45" s="66"/>
      <c r="BP45" s="66"/>
      <c r="BQ45" s="66"/>
      <c r="BR45" s="66"/>
      <c r="BS45" s="66"/>
      <c r="BT45" s="66"/>
      <c r="BU45" s="66"/>
      <c r="BV45" s="66"/>
      <c r="BW45" s="64" t="s">
        <v>469</v>
      </c>
    </row>
    <row r="46" customFormat="false" ht="12.75" hidden="false" customHeight="true" outlineLevel="0" collapsed="false">
      <c r="A46" s="54"/>
      <c r="B46" s="55" t="str">
        <f aca="false">IF(AD46="","",IF(ISERROR(FIND(CHAR(10),AD46,1)),AD46,LEFT(AD46,FIND(CHAR(10),AD46,1))))</f>
        <v/>
      </c>
      <c r="C46" s="56" t="str">
        <f aca="false">IF(AD46="","",IFERROR(RIGHT(AD46,LEN(AD46)-FIND("@@@",SUBSTITUTE(AD46,CHAR(10),"@@@",LEN(AD46)-LEN(SUBSTITUTE(AD46,CHAR(10),""))),1)),AD46))</f>
        <v/>
      </c>
      <c r="D46" s="57" t="str">
        <f aca="false">IFERROR(DATE(("20"&amp;MID(B46,7,2))*1,MID(B46,4,2)*1,MID(B46,1,2)*1),"")</f>
        <v/>
      </c>
      <c r="E46" s="57" t="str">
        <f aca="false">IFERROR(DATE(("20"&amp;MID(C46,7,2))*1,MID(C46,4,2)*1,MID(C46,1,2)*1),"")</f>
        <v/>
      </c>
      <c r="F46" s="58" t="n">
        <f aca="false">MAX(D46,IF(E46="none",D46,E46))</f>
        <v>0</v>
      </c>
      <c r="G46" s="59" t="n">
        <f aca="false">IFERROR(DAYS360(D46,F46),0)</f>
        <v>0</v>
      </c>
      <c r="H46" s="59" t="n">
        <f aca="false">((LEN($AE46)-LEN(SUBSTITUTE($AE46,CHAR(10)&amp;". ","")))/3)+IF(LEFT(TRIM($AE46),2)=". ",1,0)</f>
        <v>0</v>
      </c>
      <c r="I46" s="59" t="n">
        <f aca="false">((LEN($AE46)-LEN(SUBSTITUTE($AE46,CHAR(10)&amp;"/ ","")))/3)+IF(LEFT(TRIM($AE46),2)="/ ",1,0)</f>
        <v>0</v>
      </c>
      <c r="J46" s="59" t="n">
        <f aca="false">((LEN($AE46)-LEN(SUBSTITUTE($AE46,CHAR(10)&amp;"~ ","")))/3)+IF(LEFT(TRIM($AE46),2)="~ ",1,0)</f>
        <v>0</v>
      </c>
      <c r="K46" s="59" t="n">
        <f aca="false">((LEN($AE46)-LEN(SUBSTITUTE($AE46,CHAR(10)&amp;"! ","")))/3)+IF(LEFT(TRIM($AE46),2)="! ",1,0)</f>
        <v>0</v>
      </c>
      <c r="L46" s="59" t="n">
        <f aca="false">((LEN($AE46)-LEN(SUBSTITUTE($AE46,CHAR(10)&amp;"x ","")))/3)+IF(LEFT(TRIM($AE46),2)="x ",1,0)</f>
        <v>0</v>
      </c>
      <c r="M46" s="59" t="n">
        <f aca="false">SUM(H46:L46)</f>
        <v>0</v>
      </c>
      <c r="N46" s="60" t="str">
        <f aca="false">IF(F46&gt;(($A$21-WEEKDAY($A$21,2))-7*$F$22),"Y","N")</f>
        <v>N</v>
      </c>
      <c r="O46" s="61" t="str">
        <f aca="false">IF(AB46="","  -  ZZZ","  -  "&amp;X46&amp;Y46&amp;AB46)</f>
        <v>  -  ZZZ</v>
      </c>
      <c r="P46" s="58" t="str">
        <f aca="false">IF(AB46="","",(IF(OR(Q46="Y",Q46="N"),Q46,IF(N46="Y","Y","N"))))</f>
        <v/>
      </c>
      <c r="Q46" s="40"/>
      <c r="R46" s="40"/>
      <c r="S46" s="62"/>
      <c r="T46" s="62"/>
      <c r="U46" s="62"/>
      <c r="V46" s="62"/>
      <c r="W46" s="40"/>
      <c r="X46" s="63"/>
      <c r="Y46" s="64"/>
      <c r="Z46" s="62"/>
      <c r="AA46" s="62"/>
      <c r="AB46" s="64"/>
      <c r="AC46" s="65"/>
      <c r="AD46" s="64"/>
      <c r="AE46" s="64"/>
      <c r="AF46" s="60" t="str">
        <f aca="false">IF(AB46="","",SUM(H46:K46))</f>
        <v/>
      </c>
      <c r="AG46" s="66" t="str">
        <f aca="false">IF(AB46="","",IF(M46&lt;&gt;0,(I46*0.5+L46)/M46,1))</f>
        <v/>
      </c>
      <c r="AH46" s="40"/>
      <c r="AI46" s="67"/>
      <c r="AJ46" s="68"/>
      <c r="AK46" s="69" t="str">
        <f aca="false">IF(AB46="","",AI46*AJ46/8)</f>
        <v/>
      </c>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c r="BP46" s="66"/>
      <c r="BQ46" s="66"/>
      <c r="BR46" s="66"/>
      <c r="BS46" s="66"/>
      <c r="BT46" s="66"/>
      <c r="BU46" s="66"/>
      <c r="BV46" s="66"/>
      <c r="BW46" s="64" t="s">
        <v>469</v>
      </c>
    </row>
    <row r="47" customFormat="false" ht="12.75" hidden="false" customHeight="true" outlineLevel="0" collapsed="false">
      <c r="A47" s="54"/>
      <c r="B47" s="55" t="str">
        <f aca="false">IF(AD47="","",IF(ISERROR(FIND(CHAR(10),AD47,1)),AD47,LEFT(AD47,FIND(CHAR(10),AD47,1))))</f>
        <v/>
      </c>
      <c r="C47" s="56" t="str">
        <f aca="false">IF(AD47="","",IFERROR(RIGHT(AD47,LEN(AD47)-FIND("@@@",SUBSTITUTE(AD47,CHAR(10),"@@@",LEN(AD47)-LEN(SUBSTITUTE(AD47,CHAR(10),""))),1)),AD47))</f>
        <v/>
      </c>
      <c r="D47" s="57" t="str">
        <f aca="false">IFERROR(DATE(("20"&amp;MID(B47,7,2))*1,MID(B47,4,2)*1,MID(B47,1,2)*1),"")</f>
        <v/>
      </c>
      <c r="E47" s="57" t="str">
        <f aca="false">IFERROR(DATE(("20"&amp;MID(C47,7,2))*1,MID(C47,4,2)*1,MID(C47,1,2)*1),"")</f>
        <v/>
      </c>
      <c r="F47" s="58" t="n">
        <f aca="false">MAX(D47,IF(E47="none",D47,E47))</f>
        <v>0</v>
      </c>
      <c r="G47" s="59" t="n">
        <f aca="false">IFERROR(DAYS360(D47,F47),0)</f>
        <v>0</v>
      </c>
      <c r="H47" s="59" t="n">
        <f aca="false">((LEN($AE47)-LEN(SUBSTITUTE($AE47,CHAR(10)&amp;". ","")))/3)+IF(LEFT(TRIM($AE47),2)=". ",1,0)</f>
        <v>0</v>
      </c>
      <c r="I47" s="59" t="n">
        <f aca="false">((LEN($AE47)-LEN(SUBSTITUTE($AE47,CHAR(10)&amp;"/ ","")))/3)+IF(LEFT(TRIM($AE47),2)="/ ",1,0)</f>
        <v>0</v>
      </c>
      <c r="J47" s="59" t="n">
        <f aca="false">((LEN($AE47)-LEN(SUBSTITUTE($AE47,CHAR(10)&amp;"~ ","")))/3)+IF(LEFT(TRIM($AE47),2)="~ ",1,0)</f>
        <v>0</v>
      </c>
      <c r="K47" s="59" t="n">
        <f aca="false">((LEN($AE47)-LEN(SUBSTITUTE($AE47,CHAR(10)&amp;"! ","")))/3)+IF(LEFT(TRIM($AE47),2)="! ",1,0)</f>
        <v>0</v>
      </c>
      <c r="L47" s="59" t="n">
        <f aca="false">((LEN($AE47)-LEN(SUBSTITUTE($AE47,CHAR(10)&amp;"x ","")))/3)+IF(LEFT(TRIM($AE47),2)="x ",1,0)</f>
        <v>0</v>
      </c>
      <c r="M47" s="59" t="n">
        <f aca="false">SUM(H47:L47)</f>
        <v>0</v>
      </c>
      <c r="N47" s="60" t="str">
        <f aca="false">IF(F47&gt;(($A$21-WEEKDAY($A$21,2))-7*$F$22),"Y","N")</f>
        <v>N</v>
      </c>
      <c r="O47" s="61" t="str">
        <f aca="false">IF(AB47="","  -  ZZZ","  -  "&amp;X47&amp;Y47&amp;AB47)</f>
        <v>  -  ZZZ</v>
      </c>
      <c r="P47" s="58" t="str">
        <f aca="false">IF(AB47="","",(IF(OR(Q47="Y",Q47="N"),Q47,IF(N47="Y","Y","N"))))</f>
        <v/>
      </c>
      <c r="Q47" s="40"/>
      <c r="R47" s="40"/>
      <c r="S47" s="62"/>
      <c r="T47" s="62"/>
      <c r="U47" s="62"/>
      <c r="V47" s="62"/>
      <c r="W47" s="40"/>
      <c r="X47" s="63"/>
      <c r="Y47" s="64"/>
      <c r="Z47" s="62"/>
      <c r="AA47" s="62"/>
      <c r="AB47" s="64"/>
      <c r="AC47" s="65"/>
      <c r="AD47" s="64"/>
      <c r="AE47" s="64"/>
      <c r="AF47" s="60" t="str">
        <f aca="false">IF(AB47="","",SUM(H47:K47))</f>
        <v/>
      </c>
      <c r="AG47" s="66" t="str">
        <f aca="false">IF(AB47="","",IF(M47&lt;&gt;0,(I47*0.5+L47)/M47,1))</f>
        <v/>
      </c>
      <c r="AH47" s="40"/>
      <c r="AI47" s="67"/>
      <c r="AJ47" s="68"/>
      <c r="AK47" s="69" t="str">
        <f aca="false">IF(AB47="","",AI47*AJ47/8)</f>
        <v/>
      </c>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66"/>
      <c r="BL47" s="66"/>
      <c r="BM47" s="66"/>
      <c r="BN47" s="66"/>
      <c r="BO47" s="66"/>
      <c r="BP47" s="66"/>
      <c r="BQ47" s="66"/>
      <c r="BR47" s="66"/>
      <c r="BS47" s="66"/>
      <c r="BT47" s="66"/>
      <c r="BU47" s="66"/>
      <c r="BV47" s="66"/>
      <c r="BW47" s="64" t="s">
        <v>469</v>
      </c>
    </row>
    <row r="48" customFormat="false" ht="12.75" hidden="false" customHeight="true" outlineLevel="0" collapsed="false">
      <c r="A48" s="54"/>
      <c r="B48" s="55" t="str">
        <f aca="false">IF(AD48="","",IF(ISERROR(FIND(CHAR(10),AD48,1)),AD48,LEFT(AD48,FIND(CHAR(10),AD48,1))))</f>
        <v/>
      </c>
      <c r="C48" s="56" t="str">
        <f aca="false">IF(AD48="","",IFERROR(RIGHT(AD48,LEN(AD48)-FIND("@@@",SUBSTITUTE(AD48,CHAR(10),"@@@",LEN(AD48)-LEN(SUBSTITUTE(AD48,CHAR(10),""))),1)),AD48))</f>
        <v/>
      </c>
      <c r="D48" s="57" t="str">
        <f aca="false">IFERROR(DATE(("20"&amp;MID(B48,7,2))*1,MID(B48,4,2)*1,MID(B48,1,2)*1),"")</f>
        <v/>
      </c>
      <c r="E48" s="57" t="str">
        <f aca="false">IFERROR(DATE(("20"&amp;MID(C48,7,2))*1,MID(C48,4,2)*1,MID(C48,1,2)*1),"")</f>
        <v/>
      </c>
      <c r="F48" s="58" t="n">
        <f aca="false">MAX(D48,IF(E48="none",D48,E48))</f>
        <v>0</v>
      </c>
      <c r="G48" s="59" t="n">
        <f aca="false">IFERROR(DAYS360(D48,F48),0)</f>
        <v>0</v>
      </c>
      <c r="H48" s="59" t="n">
        <f aca="false">((LEN($AE48)-LEN(SUBSTITUTE($AE48,CHAR(10)&amp;". ","")))/3)+IF(LEFT(TRIM($AE48),2)=". ",1,0)</f>
        <v>0</v>
      </c>
      <c r="I48" s="59" t="n">
        <f aca="false">((LEN($AE48)-LEN(SUBSTITUTE($AE48,CHAR(10)&amp;"/ ","")))/3)+IF(LEFT(TRIM($AE48),2)="/ ",1,0)</f>
        <v>0</v>
      </c>
      <c r="J48" s="59" t="n">
        <f aca="false">((LEN($AE48)-LEN(SUBSTITUTE($AE48,CHAR(10)&amp;"~ ","")))/3)+IF(LEFT(TRIM($AE48),2)="~ ",1,0)</f>
        <v>0</v>
      </c>
      <c r="K48" s="59" t="n">
        <f aca="false">((LEN($AE48)-LEN(SUBSTITUTE($AE48,CHAR(10)&amp;"! ","")))/3)+IF(LEFT(TRIM($AE48),2)="! ",1,0)</f>
        <v>0</v>
      </c>
      <c r="L48" s="59" t="n">
        <f aca="false">((LEN($AE48)-LEN(SUBSTITUTE($AE48,CHAR(10)&amp;"x ","")))/3)+IF(LEFT(TRIM($AE48),2)="x ",1,0)</f>
        <v>0</v>
      </c>
      <c r="M48" s="59" t="n">
        <f aca="false">SUM(H48:L48)</f>
        <v>0</v>
      </c>
      <c r="N48" s="60" t="str">
        <f aca="false">IF(F48&gt;(($A$21-WEEKDAY($A$21,2))-7*$F$22),"Y","N")</f>
        <v>N</v>
      </c>
      <c r="O48" s="61" t="str">
        <f aca="false">IF(AB48="","  -  ZZZ","  -  "&amp;X48&amp;Y48&amp;AB48)</f>
        <v>  -  ZZZ</v>
      </c>
      <c r="P48" s="58" t="str">
        <f aca="false">IF(AB48="","",(IF(OR(Q48="Y",Q48="N"),Q48,IF(N48="Y","Y","N"))))</f>
        <v/>
      </c>
      <c r="Q48" s="40"/>
      <c r="R48" s="40"/>
      <c r="S48" s="62"/>
      <c r="T48" s="62"/>
      <c r="U48" s="62"/>
      <c r="V48" s="62"/>
      <c r="W48" s="40"/>
      <c r="X48" s="63"/>
      <c r="Y48" s="64"/>
      <c r="Z48" s="62"/>
      <c r="AA48" s="62"/>
      <c r="AB48" s="64"/>
      <c r="AC48" s="65"/>
      <c r="AD48" s="64"/>
      <c r="AE48" s="64"/>
      <c r="AF48" s="60" t="str">
        <f aca="false">IF(AB48="","",SUM(H48:K48))</f>
        <v/>
      </c>
      <c r="AG48" s="66" t="str">
        <f aca="false">IF(AB48="","",IF(M48&lt;&gt;0,(I48*0.5+L48)/M48,1))</f>
        <v/>
      </c>
      <c r="AH48" s="40"/>
      <c r="AI48" s="67"/>
      <c r="AJ48" s="68"/>
      <c r="AK48" s="69" t="str">
        <f aca="false">IF(AB48="","",AI48*AJ48/8)</f>
        <v/>
      </c>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66"/>
      <c r="BL48" s="66"/>
      <c r="BM48" s="66"/>
      <c r="BN48" s="66"/>
      <c r="BO48" s="66"/>
      <c r="BP48" s="66"/>
      <c r="BQ48" s="66"/>
      <c r="BR48" s="66"/>
      <c r="BS48" s="66"/>
      <c r="BT48" s="66"/>
      <c r="BU48" s="66"/>
      <c r="BV48" s="66"/>
      <c r="BW48" s="64" t="s">
        <v>469</v>
      </c>
    </row>
    <row r="49" customFormat="false" ht="12.75" hidden="false" customHeight="true" outlineLevel="0" collapsed="false">
      <c r="A49" s="54"/>
      <c r="B49" s="55" t="str">
        <f aca="false">IF(AD49="","",IF(ISERROR(FIND(CHAR(10),AD49,1)),AD49,LEFT(AD49,FIND(CHAR(10),AD49,1))))</f>
        <v/>
      </c>
      <c r="C49" s="56" t="str">
        <f aca="false">IF(AD49="","",IFERROR(RIGHT(AD49,LEN(AD49)-FIND("@@@",SUBSTITUTE(AD49,CHAR(10),"@@@",LEN(AD49)-LEN(SUBSTITUTE(AD49,CHAR(10),""))),1)),AD49))</f>
        <v/>
      </c>
      <c r="D49" s="57" t="str">
        <f aca="false">IFERROR(DATE(("20"&amp;MID(B49,7,2))*1,MID(B49,4,2)*1,MID(B49,1,2)*1),"")</f>
        <v/>
      </c>
      <c r="E49" s="57" t="str">
        <f aca="false">IFERROR(DATE(("20"&amp;MID(C49,7,2))*1,MID(C49,4,2)*1,MID(C49,1,2)*1),"")</f>
        <v/>
      </c>
      <c r="F49" s="58" t="n">
        <f aca="false">MAX(D49,IF(E49="none",D49,E49))</f>
        <v>0</v>
      </c>
      <c r="G49" s="59" t="n">
        <f aca="false">IFERROR(DAYS360(D49,F49),0)</f>
        <v>0</v>
      </c>
      <c r="H49" s="59" t="n">
        <f aca="false">((LEN($AE49)-LEN(SUBSTITUTE($AE49,CHAR(10)&amp;". ","")))/3)+IF(LEFT(TRIM($AE49),2)=". ",1,0)</f>
        <v>0</v>
      </c>
      <c r="I49" s="59" t="n">
        <f aca="false">((LEN($AE49)-LEN(SUBSTITUTE($AE49,CHAR(10)&amp;"/ ","")))/3)+IF(LEFT(TRIM($AE49),2)="/ ",1,0)</f>
        <v>0</v>
      </c>
      <c r="J49" s="59" t="n">
        <f aca="false">((LEN($AE49)-LEN(SUBSTITUTE($AE49,CHAR(10)&amp;"~ ","")))/3)+IF(LEFT(TRIM($AE49),2)="~ ",1,0)</f>
        <v>0</v>
      </c>
      <c r="K49" s="59" t="n">
        <f aca="false">((LEN($AE49)-LEN(SUBSTITUTE($AE49,CHAR(10)&amp;"! ","")))/3)+IF(LEFT(TRIM($AE49),2)="! ",1,0)</f>
        <v>0</v>
      </c>
      <c r="L49" s="59" t="n">
        <f aca="false">((LEN($AE49)-LEN(SUBSTITUTE($AE49,CHAR(10)&amp;"x ","")))/3)+IF(LEFT(TRIM($AE49),2)="x ",1,0)</f>
        <v>0</v>
      </c>
      <c r="M49" s="59" t="n">
        <f aca="false">SUM(H49:L49)</f>
        <v>0</v>
      </c>
      <c r="N49" s="60" t="str">
        <f aca="false">IF(F49&gt;(($A$21-WEEKDAY($A$21,2))-7*$F$22),"Y","N")</f>
        <v>N</v>
      </c>
      <c r="O49" s="61" t="str">
        <f aca="false">IF(AB49="","  -  ZZZ","  -  "&amp;X49&amp;Y49&amp;AB49)</f>
        <v>  -  ZZZ</v>
      </c>
      <c r="P49" s="58" t="str">
        <f aca="false">IF(AB49="","",(IF(OR(Q49="Y",Q49="N"),Q49,IF(N49="Y","Y","N"))))</f>
        <v/>
      </c>
      <c r="Q49" s="40"/>
      <c r="R49" s="40"/>
      <c r="S49" s="62"/>
      <c r="T49" s="62"/>
      <c r="U49" s="62"/>
      <c r="V49" s="62"/>
      <c r="W49" s="40"/>
      <c r="X49" s="63"/>
      <c r="Y49" s="64"/>
      <c r="Z49" s="62"/>
      <c r="AA49" s="62"/>
      <c r="AB49" s="64"/>
      <c r="AC49" s="65"/>
      <c r="AD49" s="64"/>
      <c r="AE49" s="64"/>
      <c r="AF49" s="60" t="str">
        <f aca="false">IF(AB49="","",SUM(H49:K49))</f>
        <v/>
      </c>
      <c r="AG49" s="66" t="str">
        <f aca="false">IF(AB49="","",IF(M49&lt;&gt;0,(I49*0.5+L49)/M49,1))</f>
        <v/>
      </c>
      <c r="AH49" s="40"/>
      <c r="AI49" s="67"/>
      <c r="AJ49" s="68"/>
      <c r="AK49" s="69" t="str">
        <f aca="false">IF(AB49="","",AI49*AJ49/8)</f>
        <v/>
      </c>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66"/>
      <c r="BL49" s="66"/>
      <c r="BM49" s="66"/>
      <c r="BN49" s="66"/>
      <c r="BO49" s="66"/>
      <c r="BP49" s="66"/>
      <c r="BQ49" s="66"/>
      <c r="BR49" s="66"/>
      <c r="BS49" s="66"/>
      <c r="BT49" s="66"/>
      <c r="BU49" s="66"/>
      <c r="BV49" s="66"/>
      <c r="BW49" s="64" t="s">
        <v>469</v>
      </c>
    </row>
    <row r="50" customFormat="false" ht="12.75" hidden="false" customHeight="true" outlineLevel="0" collapsed="false">
      <c r="A50" s="54"/>
      <c r="B50" s="55" t="str">
        <f aca="false">IF(AD50="","",IF(ISERROR(FIND(CHAR(10),AD50,1)),AD50,LEFT(AD50,FIND(CHAR(10),AD50,1))))</f>
        <v/>
      </c>
      <c r="C50" s="56" t="str">
        <f aca="false">IF(AD50="","",IFERROR(RIGHT(AD50,LEN(AD50)-FIND("@@@",SUBSTITUTE(AD50,CHAR(10),"@@@",LEN(AD50)-LEN(SUBSTITUTE(AD50,CHAR(10),""))),1)),AD50))</f>
        <v/>
      </c>
      <c r="D50" s="57" t="str">
        <f aca="false">IFERROR(DATE(("20"&amp;MID(B50,7,2))*1,MID(B50,4,2)*1,MID(B50,1,2)*1),"")</f>
        <v/>
      </c>
      <c r="E50" s="57" t="str">
        <f aca="false">IFERROR(DATE(("20"&amp;MID(C50,7,2))*1,MID(C50,4,2)*1,MID(C50,1,2)*1),"")</f>
        <v/>
      </c>
      <c r="F50" s="58" t="n">
        <f aca="false">MAX(D50,IF(E50="none",D50,E50))</f>
        <v>0</v>
      </c>
      <c r="G50" s="59" t="n">
        <f aca="false">IFERROR(DAYS360(D50,F50),0)</f>
        <v>0</v>
      </c>
      <c r="H50" s="59" t="n">
        <f aca="false">((LEN($AE50)-LEN(SUBSTITUTE($AE50,CHAR(10)&amp;". ","")))/3)+IF(LEFT(TRIM($AE50),2)=". ",1,0)</f>
        <v>0</v>
      </c>
      <c r="I50" s="59" t="n">
        <f aca="false">((LEN($AE50)-LEN(SUBSTITUTE($AE50,CHAR(10)&amp;"/ ","")))/3)+IF(LEFT(TRIM($AE50),2)="/ ",1,0)</f>
        <v>0</v>
      </c>
      <c r="J50" s="59" t="n">
        <f aca="false">((LEN($AE50)-LEN(SUBSTITUTE($AE50,CHAR(10)&amp;"~ ","")))/3)+IF(LEFT(TRIM($AE50),2)="~ ",1,0)</f>
        <v>0</v>
      </c>
      <c r="K50" s="59" t="n">
        <f aca="false">((LEN($AE50)-LEN(SUBSTITUTE($AE50,CHAR(10)&amp;"! ","")))/3)+IF(LEFT(TRIM($AE50),2)="! ",1,0)</f>
        <v>0</v>
      </c>
      <c r="L50" s="59" t="n">
        <f aca="false">((LEN($AE50)-LEN(SUBSTITUTE($AE50,CHAR(10)&amp;"x ","")))/3)+IF(LEFT(TRIM($AE50),2)="x ",1,0)</f>
        <v>0</v>
      </c>
      <c r="M50" s="59" t="n">
        <f aca="false">SUM(H50:L50)</f>
        <v>0</v>
      </c>
      <c r="N50" s="60" t="str">
        <f aca="false">IF(F50&gt;(($A$21-WEEKDAY($A$21,2))-7*$F$22),"Y","N")</f>
        <v>N</v>
      </c>
      <c r="O50" s="61" t="str">
        <f aca="false">IF(AB50="","  -  ZZZ","  -  "&amp;X50&amp;Y50&amp;AB50)</f>
        <v>  -  ZZZ</v>
      </c>
      <c r="P50" s="58" t="str">
        <f aca="false">IF(AB50="","",(IF(OR(Q50="Y",Q50="N"),Q50,IF(N50="Y","Y","N"))))</f>
        <v/>
      </c>
      <c r="Q50" s="40"/>
      <c r="R50" s="40"/>
      <c r="S50" s="62"/>
      <c r="T50" s="62"/>
      <c r="U50" s="62"/>
      <c r="V50" s="62"/>
      <c r="W50" s="40"/>
      <c r="X50" s="63"/>
      <c r="Y50" s="64"/>
      <c r="Z50" s="62"/>
      <c r="AA50" s="62"/>
      <c r="AB50" s="64"/>
      <c r="AC50" s="65"/>
      <c r="AD50" s="64"/>
      <c r="AE50" s="64"/>
      <c r="AF50" s="60" t="str">
        <f aca="false">IF(AB50="","",SUM(H50:K50))</f>
        <v/>
      </c>
      <c r="AG50" s="66" t="str">
        <f aca="false">IF(AB50="","",IF(M50&lt;&gt;0,(I50*0.5+L50)/M50,1))</f>
        <v/>
      </c>
      <c r="AH50" s="40"/>
      <c r="AI50" s="67"/>
      <c r="AJ50" s="68"/>
      <c r="AK50" s="69" t="str">
        <f aca="false">IF(AB50="","",AI50*AJ50/8)</f>
        <v/>
      </c>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66"/>
      <c r="BL50" s="66"/>
      <c r="BM50" s="66"/>
      <c r="BN50" s="66"/>
      <c r="BO50" s="66"/>
      <c r="BP50" s="66"/>
      <c r="BQ50" s="66"/>
      <c r="BR50" s="66"/>
      <c r="BS50" s="66"/>
      <c r="BT50" s="66"/>
      <c r="BU50" s="66"/>
      <c r="BV50" s="66"/>
      <c r="BW50" s="64" t="s">
        <v>469</v>
      </c>
    </row>
    <row r="51" customFormat="false" ht="12.75" hidden="false" customHeight="true" outlineLevel="0" collapsed="false">
      <c r="A51" s="54"/>
      <c r="B51" s="55" t="str">
        <f aca="false">IF(AD51="","",IF(ISERROR(FIND(CHAR(10),AD51,1)),AD51,LEFT(AD51,FIND(CHAR(10),AD51,1))))</f>
        <v/>
      </c>
      <c r="C51" s="56" t="str">
        <f aca="false">IF(AD51="","",IFERROR(RIGHT(AD51,LEN(AD51)-FIND("@@@",SUBSTITUTE(AD51,CHAR(10),"@@@",LEN(AD51)-LEN(SUBSTITUTE(AD51,CHAR(10),""))),1)),AD51))</f>
        <v/>
      </c>
      <c r="D51" s="57" t="str">
        <f aca="false">IFERROR(DATE(("20"&amp;MID(B51,7,2))*1,MID(B51,4,2)*1,MID(B51,1,2)*1),"")</f>
        <v/>
      </c>
      <c r="E51" s="57" t="str">
        <f aca="false">IFERROR(DATE(("20"&amp;MID(C51,7,2))*1,MID(C51,4,2)*1,MID(C51,1,2)*1),"")</f>
        <v/>
      </c>
      <c r="F51" s="58" t="n">
        <f aca="false">MAX(D51,IF(E51="none",D51,E51))</f>
        <v>0</v>
      </c>
      <c r="G51" s="59" t="n">
        <f aca="false">IFERROR(DAYS360(D51,F51),0)</f>
        <v>0</v>
      </c>
      <c r="H51" s="59" t="n">
        <f aca="false">((LEN($AE51)-LEN(SUBSTITUTE($AE51,CHAR(10)&amp;". ","")))/3)+IF(LEFT(TRIM($AE51),2)=". ",1,0)</f>
        <v>0</v>
      </c>
      <c r="I51" s="59" t="n">
        <f aca="false">((LEN($AE51)-LEN(SUBSTITUTE($AE51,CHAR(10)&amp;"/ ","")))/3)+IF(LEFT(TRIM($AE51),2)="/ ",1,0)</f>
        <v>0</v>
      </c>
      <c r="J51" s="59" t="n">
        <f aca="false">((LEN($AE51)-LEN(SUBSTITUTE($AE51,CHAR(10)&amp;"~ ","")))/3)+IF(LEFT(TRIM($AE51),2)="~ ",1,0)</f>
        <v>0</v>
      </c>
      <c r="K51" s="59" t="n">
        <f aca="false">((LEN($AE51)-LEN(SUBSTITUTE($AE51,CHAR(10)&amp;"! ","")))/3)+IF(LEFT(TRIM($AE51),2)="! ",1,0)</f>
        <v>0</v>
      </c>
      <c r="L51" s="59" t="n">
        <f aca="false">((LEN($AE51)-LEN(SUBSTITUTE($AE51,CHAR(10)&amp;"x ","")))/3)+IF(LEFT(TRIM($AE51),2)="x ",1,0)</f>
        <v>0</v>
      </c>
      <c r="M51" s="59" t="n">
        <f aca="false">SUM(H51:L51)</f>
        <v>0</v>
      </c>
      <c r="N51" s="60" t="str">
        <f aca="false">IF(F51&gt;(($A$21-WEEKDAY($A$21,2))-7*$F$22),"Y","N")</f>
        <v>N</v>
      </c>
      <c r="O51" s="61" t="str">
        <f aca="false">IF(AB51="","  -  ZZZ","  -  "&amp;X51&amp;Y51&amp;AB51)</f>
        <v>  -  ZZZ</v>
      </c>
      <c r="P51" s="58" t="str">
        <f aca="false">IF(AB51="","",(IF(OR(Q51="Y",Q51="N"),Q51,IF(N51="Y","Y","N"))))</f>
        <v/>
      </c>
      <c r="Q51" s="40"/>
      <c r="R51" s="40"/>
      <c r="S51" s="62"/>
      <c r="T51" s="62"/>
      <c r="U51" s="62"/>
      <c r="V51" s="62"/>
      <c r="W51" s="40"/>
      <c r="X51" s="63"/>
      <c r="Y51" s="64"/>
      <c r="Z51" s="62"/>
      <c r="AA51" s="62"/>
      <c r="AB51" s="64"/>
      <c r="AC51" s="65"/>
      <c r="AD51" s="64"/>
      <c r="AE51" s="64"/>
      <c r="AF51" s="60" t="str">
        <f aca="false">IF(AB51="","",SUM(H51:K51))</f>
        <v/>
      </c>
      <c r="AG51" s="66" t="str">
        <f aca="false">IF(AB51="","",IF(M51&lt;&gt;0,(I51*0.5+L51)/M51,1))</f>
        <v/>
      </c>
      <c r="AH51" s="40"/>
      <c r="AI51" s="67"/>
      <c r="AJ51" s="68"/>
      <c r="AK51" s="69" t="str">
        <f aca="false">IF(AB51="","",AI51*AJ51/8)</f>
        <v/>
      </c>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66"/>
      <c r="BL51" s="66"/>
      <c r="BM51" s="66"/>
      <c r="BN51" s="66"/>
      <c r="BO51" s="66"/>
      <c r="BP51" s="66"/>
      <c r="BQ51" s="66"/>
      <c r="BR51" s="66"/>
      <c r="BS51" s="66"/>
      <c r="BT51" s="66"/>
      <c r="BU51" s="66"/>
      <c r="BV51" s="66"/>
      <c r="BW51" s="64" t="s">
        <v>469</v>
      </c>
    </row>
    <row r="52" customFormat="false" ht="12.75" hidden="false" customHeight="true" outlineLevel="0" collapsed="false">
      <c r="A52" s="54"/>
      <c r="B52" s="55" t="str">
        <f aca="false">IF(AD52="","",IF(ISERROR(FIND(CHAR(10),AD52,1)),AD52,LEFT(AD52,FIND(CHAR(10),AD52,1))))</f>
        <v/>
      </c>
      <c r="C52" s="56" t="str">
        <f aca="false">IF(AD52="","",IFERROR(RIGHT(AD52,LEN(AD52)-FIND("@@@",SUBSTITUTE(AD52,CHAR(10),"@@@",LEN(AD52)-LEN(SUBSTITUTE(AD52,CHAR(10),""))),1)),AD52))</f>
        <v/>
      </c>
      <c r="D52" s="57" t="str">
        <f aca="false">IFERROR(DATE(("20"&amp;MID(B52,7,2))*1,MID(B52,4,2)*1,MID(B52,1,2)*1),"")</f>
        <v/>
      </c>
      <c r="E52" s="57" t="str">
        <f aca="false">IFERROR(DATE(("20"&amp;MID(C52,7,2))*1,MID(C52,4,2)*1,MID(C52,1,2)*1),"")</f>
        <v/>
      </c>
      <c r="F52" s="58" t="n">
        <f aca="false">MAX(D52,IF(E52="none",D52,E52))</f>
        <v>0</v>
      </c>
      <c r="G52" s="59" t="n">
        <f aca="false">IFERROR(DAYS360(D52,F52),0)</f>
        <v>0</v>
      </c>
      <c r="H52" s="59" t="n">
        <f aca="false">((LEN($AE52)-LEN(SUBSTITUTE($AE52,CHAR(10)&amp;". ","")))/3)+IF(LEFT(TRIM($AE52),2)=". ",1,0)</f>
        <v>0</v>
      </c>
      <c r="I52" s="59" t="n">
        <f aca="false">((LEN($AE52)-LEN(SUBSTITUTE($AE52,CHAR(10)&amp;"/ ","")))/3)+IF(LEFT(TRIM($AE52),2)="/ ",1,0)</f>
        <v>0</v>
      </c>
      <c r="J52" s="59" t="n">
        <f aca="false">((LEN($AE52)-LEN(SUBSTITUTE($AE52,CHAR(10)&amp;"~ ","")))/3)+IF(LEFT(TRIM($AE52),2)="~ ",1,0)</f>
        <v>0</v>
      </c>
      <c r="K52" s="59" t="n">
        <f aca="false">((LEN($AE52)-LEN(SUBSTITUTE($AE52,CHAR(10)&amp;"! ","")))/3)+IF(LEFT(TRIM($AE52),2)="! ",1,0)</f>
        <v>0</v>
      </c>
      <c r="L52" s="59" t="n">
        <f aca="false">((LEN($AE52)-LEN(SUBSTITUTE($AE52,CHAR(10)&amp;"x ","")))/3)+IF(LEFT(TRIM($AE52),2)="x ",1,0)</f>
        <v>0</v>
      </c>
      <c r="M52" s="59" t="n">
        <f aca="false">SUM(H52:L52)</f>
        <v>0</v>
      </c>
      <c r="N52" s="60" t="str">
        <f aca="false">IF(F52&gt;(($A$21-WEEKDAY($A$21,2))-7*$F$22),"Y","N")</f>
        <v>N</v>
      </c>
      <c r="O52" s="61" t="str">
        <f aca="false">IF(AB52="","  -  ZZZ","  -  "&amp;X52&amp;Y52&amp;AB52)</f>
        <v>  -  ZZZ</v>
      </c>
      <c r="P52" s="58" t="str">
        <f aca="false">IF(AB52="","",(IF(OR(Q52="Y",Q52="N"),Q52,IF(N52="Y","Y","N"))))</f>
        <v/>
      </c>
      <c r="Q52" s="40"/>
      <c r="R52" s="40"/>
      <c r="S52" s="62"/>
      <c r="T52" s="62"/>
      <c r="U52" s="62"/>
      <c r="V52" s="62"/>
      <c r="W52" s="40"/>
      <c r="X52" s="63"/>
      <c r="Y52" s="64"/>
      <c r="Z52" s="62"/>
      <c r="AA52" s="62"/>
      <c r="AB52" s="64"/>
      <c r="AC52" s="65"/>
      <c r="AD52" s="64"/>
      <c r="AE52" s="64"/>
      <c r="AF52" s="60" t="str">
        <f aca="false">IF(AB52="","",SUM(H52:K52))</f>
        <v/>
      </c>
      <c r="AG52" s="66" t="str">
        <f aca="false">IF(AB52="","",IF(M52&lt;&gt;0,(I52*0.5+L52)/M52,1))</f>
        <v/>
      </c>
      <c r="AH52" s="40"/>
      <c r="AI52" s="67"/>
      <c r="AJ52" s="68"/>
      <c r="AK52" s="69" t="str">
        <f aca="false">IF(AB52="","",AI52*AJ52/8)</f>
        <v/>
      </c>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66"/>
      <c r="BL52" s="66"/>
      <c r="BM52" s="66"/>
      <c r="BN52" s="66"/>
      <c r="BO52" s="66"/>
      <c r="BP52" s="66"/>
      <c r="BQ52" s="66"/>
      <c r="BR52" s="66"/>
      <c r="BS52" s="66"/>
      <c r="BT52" s="66"/>
      <c r="BU52" s="66"/>
      <c r="BV52" s="66"/>
      <c r="BW52" s="64" t="s">
        <v>469</v>
      </c>
    </row>
    <row r="53" customFormat="false" ht="12.75" hidden="false" customHeight="true" outlineLevel="0" collapsed="false">
      <c r="A53" s="54"/>
      <c r="B53" s="55" t="str">
        <f aca="false">IF(AD53="","",IF(ISERROR(FIND(CHAR(10),AD53,1)),AD53,LEFT(AD53,FIND(CHAR(10),AD53,1))))</f>
        <v/>
      </c>
      <c r="C53" s="56" t="str">
        <f aca="false">IF(AD53="","",IFERROR(RIGHT(AD53,LEN(AD53)-FIND("@@@",SUBSTITUTE(AD53,CHAR(10),"@@@",LEN(AD53)-LEN(SUBSTITUTE(AD53,CHAR(10),""))),1)),AD53))</f>
        <v/>
      </c>
      <c r="D53" s="57" t="str">
        <f aca="false">IFERROR(DATE(("20"&amp;MID(B53,7,2))*1,MID(B53,4,2)*1,MID(B53,1,2)*1),"")</f>
        <v/>
      </c>
      <c r="E53" s="57" t="str">
        <f aca="false">IFERROR(DATE(("20"&amp;MID(C53,7,2))*1,MID(C53,4,2)*1,MID(C53,1,2)*1),"")</f>
        <v/>
      </c>
      <c r="F53" s="58" t="n">
        <f aca="false">MAX(D53,IF(E53="none",D53,E53))</f>
        <v>0</v>
      </c>
      <c r="G53" s="59" t="n">
        <f aca="false">IFERROR(DAYS360(D53,F53),0)</f>
        <v>0</v>
      </c>
      <c r="H53" s="59" t="n">
        <f aca="false">((LEN($AE53)-LEN(SUBSTITUTE($AE53,CHAR(10)&amp;". ","")))/3)+IF(LEFT(TRIM($AE53),2)=". ",1,0)</f>
        <v>0</v>
      </c>
      <c r="I53" s="59" t="n">
        <f aca="false">((LEN($AE53)-LEN(SUBSTITUTE($AE53,CHAR(10)&amp;"/ ","")))/3)+IF(LEFT(TRIM($AE53),2)="/ ",1,0)</f>
        <v>0</v>
      </c>
      <c r="J53" s="59" t="n">
        <f aca="false">((LEN($AE53)-LEN(SUBSTITUTE($AE53,CHAR(10)&amp;"~ ","")))/3)+IF(LEFT(TRIM($AE53),2)="~ ",1,0)</f>
        <v>0</v>
      </c>
      <c r="K53" s="59" t="n">
        <f aca="false">((LEN($AE53)-LEN(SUBSTITUTE($AE53,CHAR(10)&amp;"! ","")))/3)+IF(LEFT(TRIM($AE53),2)="! ",1,0)</f>
        <v>0</v>
      </c>
      <c r="L53" s="59" t="n">
        <f aca="false">((LEN($AE53)-LEN(SUBSTITUTE($AE53,CHAR(10)&amp;"x ","")))/3)+IF(LEFT(TRIM($AE53),2)="x ",1,0)</f>
        <v>0</v>
      </c>
      <c r="M53" s="59" t="n">
        <f aca="false">SUM(H53:L53)</f>
        <v>0</v>
      </c>
      <c r="N53" s="60" t="str">
        <f aca="false">IF(F53&gt;(($A$21-WEEKDAY($A$21,2))-7*$F$22),"Y","N")</f>
        <v>N</v>
      </c>
      <c r="O53" s="61" t="str">
        <f aca="false">IF(AB53="","  -  ZZZ","  -  "&amp;X53&amp;Y53&amp;AB53)</f>
        <v>  -  ZZZ</v>
      </c>
      <c r="P53" s="58" t="str">
        <f aca="false">IF(AB53="","",(IF(OR(Q53="Y",Q53="N"),Q53,IF(N53="Y","Y","N"))))</f>
        <v/>
      </c>
      <c r="Q53" s="40"/>
      <c r="R53" s="40"/>
      <c r="S53" s="62"/>
      <c r="T53" s="62"/>
      <c r="U53" s="62"/>
      <c r="V53" s="62"/>
      <c r="W53" s="40"/>
      <c r="X53" s="63"/>
      <c r="Y53" s="64"/>
      <c r="Z53" s="62"/>
      <c r="AA53" s="62"/>
      <c r="AB53" s="64"/>
      <c r="AC53" s="65"/>
      <c r="AD53" s="64"/>
      <c r="AE53" s="64"/>
      <c r="AF53" s="60" t="str">
        <f aca="false">IF(AB53="","",SUM(H53:K53))</f>
        <v/>
      </c>
      <c r="AG53" s="66" t="str">
        <f aca="false">IF(AB53="","",IF(M53&lt;&gt;0,(I53*0.5+L53)/M53,1))</f>
        <v/>
      </c>
      <c r="AH53" s="40"/>
      <c r="AI53" s="67"/>
      <c r="AJ53" s="68"/>
      <c r="AK53" s="69" t="str">
        <f aca="false">IF(AB53="","",AI53*AJ53/8)</f>
        <v/>
      </c>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66"/>
      <c r="BL53" s="66"/>
      <c r="BM53" s="66"/>
      <c r="BN53" s="66"/>
      <c r="BO53" s="66"/>
      <c r="BP53" s="66"/>
      <c r="BQ53" s="66"/>
      <c r="BR53" s="66"/>
      <c r="BS53" s="66"/>
      <c r="BT53" s="66"/>
      <c r="BU53" s="66"/>
      <c r="BV53" s="66"/>
      <c r="BW53" s="64" t="s">
        <v>469</v>
      </c>
    </row>
    <row r="54" customFormat="false" ht="12.75" hidden="false" customHeight="true" outlineLevel="0" collapsed="false">
      <c r="A54" s="54"/>
      <c r="B54" s="55" t="str">
        <f aca="false">IF(AD54="","",IF(ISERROR(FIND(CHAR(10),AD54,1)),AD54,LEFT(AD54,FIND(CHAR(10),AD54,1))))</f>
        <v/>
      </c>
      <c r="C54" s="56" t="str">
        <f aca="false">IF(AD54="","",IFERROR(RIGHT(AD54,LEN(AD54)-FIND("@@@",SUBSTITUTE(AD54,CHAR(10),"@@@",LEN(AD54)-LEN(SUBSTITUTE(AD54,CHAR(10),""))),1)),AD54))</f>
        <v/>
      </c>
      <c r="D54" s="57" t="str">
        <f aca="false">IFERROR(DATE(("20"&amp;MID(B54,7,2))*1,MID(B54,4,2)*1,MID(B54,1,2)*1),"")</f>
        <v/>
      </c>
      <c r="E54" s="57" t="str">
        <f aca="false">IFERROR(DATE(("20"&amp;MID(C54,7,2))*1,MID(C54,4,2)*1,MID(C54,1,2)*1),"")</f>
        <v/>
      </c>
      <c r="F54" s="58" t="n">
        <f aca="false">MAX(D54,IF(E54="none",D54,E54))</f>
        <v>0</v>
      </c>
      <c r="G54" s="59" t="n">
        <f aca="false">IFERROR(DAYS360(D54,F54),0)</f>
        <v>0</v>
      </c>
      <c r="H54" s="59" t="n">
        <f aca="false">((LEN($AE54)-LEN(SUBSTITUTE($AE54,CHAR(10)&amp;". ","")))/3)+IF(LEFT(TRIM($AE54),2)=". ",1,0)</f>
        <v>0</v>
      </c>
      <c r="I54" s="59" t="n">
        <f aca="false">((LEN($AE54)-LEN(SUBSTITUTE($AE54,CHAR(10)&amp;"/ ","")))/3)+IF(LEFT(TRIM($AE54),2)="/ ",1,0)</f>
        <v>0</v>
      </c>
      <c r="J54" s="59" t="n">
        <f aca="false">((LEN($AE54)-LEN(SUBSTITUTE($AE54,CHAR(10)&amp;"~ ","")))/3)+IF(LEFT(TRIM($AE54),2)="~ ",1,0)</f>
        <v>0</v>
      </c>
      <c r="K54" s="59" t="n">
        <f aca="false">((LEN($AE54)-LEN(SUBSTITUTE($AE54,CHAR(10)&amp;"! ","")))/3)+IF(LEFT(TRIM($AE54),2)="! ",1,0)</f>
        <v>0</v>
      </c>
      <c r="L54" s="59" t="n">
        <f aca="false">((LEN($AE54)-LEN(SUBSTITUTE($AE54,CHAR(10)&amp;"x ","")))/3)+IF(LEFT(TRIM($AE54),2)="x ",1,0)</f>
        <v>0</v>
      </c>
      <c r="M54" s="59" t="n">
        <f aca="false">SUM(H54:L54)</f>
        <v>0</v>
      </c>
      <c r="N54" s="60" t="str">
        <f aca="false">IF(F54&gt;(($A$21-WEEKDAY($A$21,2))-7*$F$22),"Y","N")</f>
        <v>N</v>
      </c>
      <c r="O54" s="61" t="str">
        <f aca="false">IF(AB54="","  -  ZZZ","  -  "&amp;X54&amp;Y54&amp;AB54)</f>
        <v>  -  ZZZ</v>
      </c>
      <c r="P54" s="58" t="str">
        <f aca="false">IF(AB54="","",(IF(OR(Q54="Y",Q54="N"),Q54,IF(N54="Y","Y","N"))))</f>
        <v/>
      </c>
      <c r="Q54" s="40"/>
      <c r="R54" s="40"/>
      <c r="S54" s="62"/>
      <c r="T54" s="62"/>
      <c r="U54" s="62"/>
      <c r="V54" s="62"/>
      <c r="W54" s="40"/>
      <c r="X54" s="63"/>
      <c r="Y54" s="64"/>
      <c r="Z54" s="62"/>
      <c r="AA54" s="62"/>
      <c r="AB54" s="64"/>
      <c r="AC54" s="65"/>
      <c r="AD54" s="64"/>
      <c r="AE54" s="64"/>
      <c r="AF54" s="60" t="str">
        <f aca="false">IF(AB54="","",SUM(H54:K54))</f>
        <v/>
      </c>
      <c r="AG54" s="66" t="str">
        <f aca="false">IF(AB54="","",IF(M54&lt;&gt;0,(I54*0.5+L54)/M54,1))</f>
        <v/>
      </c>
      <c r="AH54" s="40"/>
      <c r="AI54" s="67"/>
      <c r="AJ54" s="68"/>
      <c r="AK54" s="69" t="str">
        <f aca="false">IF(AB54="","",AI54*AJ54/8)</f>
        <v/>
      </c>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66"/>
      <c r="BL54" s="66"/>
      <c r="BM54" s="66"/>
      <c r="BN54" s="66"/>
      <c r="BO54" s="66"/>
      <c r="BP54" s="66"/>
      <c r="BQ54" s="66"/>
      <c r="BR54" s="66"/>
      <c r="BS54" s="66"/>
      <c r="BT54" s="66"/>
      <c r="BU54" s="66"/>
      <c r="BV54" s="66"/>
      <c r="BW54" s="64" t="s">
        <v>469</v>
      </c>
    </row>
    <row r="55" customFormat="false" ht="12.75" hidden="false" customHeight="true" outlineLevel="0" collapsed="false">
      <c r="A55" s="54"/>
      <c r="B55" s="55" t="str">
        <f aca="false">IF(AD55="","",IF(ISERROR(FIND(CHAR(10),AD55,1)),AD55,LEFT(AD55,FIND(CHAR(10),AD55,1))))</f>
        <v/>
      </c>
      <c r="C55" s="56" t="str">
        <f aca="false">IF(AD55="","",IFERROR(RIGHT(AD55,LEN(AD55)-FIND("@@@",SUBSTITUTE(AD55,CHAR(10),"@@@",LEN(AD55)-LEN(SUBSTITUTE(AD55,CHAR(10),""))),1)),AD55))</f>
        <v/>
      </c>
      <c r="D55" s="57" t="str">
        <f aca="false">IFERROR(DATE(("20"&amp;MID(B55,7,2))*1,MID(B55,4,2)*1,MID(B55,1,2)*1),"")</f>
        <v/>
      </c>
      <c r="E55" s="57" t="str">
        <f aca="false">IFERROR(DATE(("20"&amp;MID(C55,7,2))*1,MID(C55,4,2)*1,MID(C55,1,2)*1),"")</f>
        <v/>
      </c>
      <c r="F55" s="58" t="n">
        <f aca="false">MAX(D55,IF(E55="none",D55,E55))</f>
        <v>0</v>
      </c>
      <c r="G55" s="59" t="n">
        <f aca="false">IFERROR(DAYS360(D55,F55),0)</f>
        <v>0</v>
      </c>
      <c r="H55" s="59" t="n">
        <f aca="false">((LEN($AE55)-LEN(SUBSTITUTE($AE55,CHAR(10)&amp;". ","")))/3)+IF(LEFT(TRIM($AE55),2)=". ",1,0)</f>
        <v>0</v>
      </c>
      <c r="I55" s="59" t="n">
        <f aca="false">((LEN($AE55)-LEN(SUBSTITUTE($AE55,CHAR(10)&amp;"/ ","")))/3)+IF(LEFT(TRIM($AE55),2)="/ ",1,0)</f>
        <v>0</v>
      </c>
      <c r="J55" s="59" t="n">
        <f aca="false">((LEN($AE55)-LEN(SUBSTITUTE($AE55,CHAR(10)&amp;"~ ","")))/3)+IF(LEFT(TRIM($AE55),2)="~ ",1,0)</f>
        <v>0</v>
      </c>
      <c r="K55" s="59" t="n">
        <f aca="false">((LEN($AE55)-LEN(SUBSTITUTE($AE55,CHAR(10)&amp;"! ","")))/3)+IF(LEFT(TRIM($AE55),2)="! ",1,0)</f>
        <v>0</v>
      </c>
      <c r="L55" s="59" t="n">
        <f aca="false">((LEN($AE55)-LEN(SUBSTITUTE($AE55,CHAR(10)&amp;"x ","")))/3)+IF(LEFT(TRIM($AE55),2)="x ",1,0)</f>
        <v>0</v>
      </c>
      <c r="M55" s="59" t="n">
        <f aca="false">SUM(H55:L55)</f>
        <v>0</v>
      </c>
      <c r="N55" s="60" t="str">
        <f aca="false">IF(F55&gt;(($A$21-WEEKDAY($A$21,2))-7*$F$22),"Y","N")</f>
        <v>N</v>
      </c>
      <c r="O55" s="61" t="str">
        <f aca="false">IF(AB55="","  -  ZZZ","  -  "&amp;X55&amp;Y55&amp;AB55)</f>
        <v>  -  ZZZ</v>
      </c>
      <c r="P55" s="58" t="str">
        <f aca="false">IF(AB55="","",(IF(OR(Q55="Y",Q55="N"),Q55,IF(N55="Y","Y","N"))))</f>
        <v/>
      </c>
      <c r="Q55" s="40"/>
      <c r="R55" s="40"/>
      <c r="S55" s="62"/>
      <c r="T55" s="62"/>
      <c r="U55" s="62"/>
      <c r="V55" s="62"/>
      <c r="W55" s="40"/>
      <c r="X55" s="63"/>
      <c r="Y55" s="64"/>
      <c r="Z55" s="62"/>
      <c r="AA55" s="62"/>
      <c r="AB55" s="64"/>
      <c r="AC55" s="65"/>
      <c r="AD55" s="64"/>
      <c r="AE55" s="65"/>
      <c r="AF55" s="60" t="str">
        <f aca="false">IF(AB55="","",SUM(H55:K55))</f>
        <v/>
      </c>
      <c r="AG55" s="66" t="str">
        <f aca="false">IF(AB55="","",IF(M55&lt;&gt;0,(I55*0.5+L55)/M55,1))</f>
        <v/>
      </c>
      <c r="AH55" s="40"/>
      <c r="AI55" s="67"/>
      <c r="AJ55" s="68"/>
      <c r="AK55" s="69" t="str">
        <f aca="false">IF(AB55="","",AI55*AJ55/8)</f>
        <v/>
      </c>
      <c r="AL55" s="66"/>
      <c r="AM55" s="66"/>
      <c r="AN55" s="66"/>
      <c r="AO55" s="66"/>
      <c r="AP55" s="66"/>
      <c r="AQ55" s="66"/>
      <c r="AR55" s="66"/>
      <c r="AS55" s="66"/>
      <c r="AT55" s="66"/>
      <c r="AU55" s="66"/>
      <c r="AV55" s="66"/>
      <c r="AW55" s="66"/>
      <c r="AX55" s="66"/>
      <c r="AY55" s="66"/>
      <c r="AZ55" s="66"/>
      <c r="BA55" s="66"/>
      <c r="BB55" s="66"/>
      <c r="BC55" s="66"/>
      <c r="BD55" s="66"/>
      <c r="BE55" s="66"/>
      <c r="BF55" s="66"/>
      <c r="BG55" s="66"/>
      <c r="BH55" s="66"/>
      <c r="BI55" s="66"/>
      <c r="BJ55" s="66"/>
      <c r="BK55" s="66"/>
      <c r="BL55" s="66"/>
      <c r="BM55" s="66"/>
      <c r="BN55" s="66"/>
      <c r="BO55" s="66"/>
      <c r="BP55" s="66"/>
      <c r="BQ55" s="66"/>
      <c r="BR55" s="66"/>
      <c r="BS55" s="66"/>
      <c r="BT55" s="66"/>
      <c r="BU55" s="66"/>
      <c r="BV55" s="66"/>
      <c r="BW55" s="64" t="s">
        <v>469</v>
      </c>
    </row>
    <row r="56" customFormat="false" ht="12.75" hidden="false" customHeight="true" outlineLevel="0" collapsed="false">
      <c r="A56" s="54"/>
      <c r="B56" s="55" t="str">
        <f aca="false">IF(AD56="","",IF(ISERROR(FIND(CHAR(10),AD56,1)),AD56,LEFT(AD56,FIND(CHAR(10),AD56,1))))</f>
        <v/>
      </c>
      <c r="C56" s="56" t="str">
        <f aca="false">IF(AD56="","",IFERROR(RIGHT(AD56,LEN(AD56)-FIND("@@@",SUBSTITUTE(AD56,CHAR(10),"@@@",LEN(AD56)-LEN(SUBSTITUTE(AD56,CHAR(10),""))),1)),AD56))</f>
        <v/>
      </c>
      <c r="D56" s="57" t="str">
        <f aca="false">IFERROR(DATE(("20"&amp;MID(B56,7,2))*1,MID(B56,4,2)*1,MID(B56,1,2)*1),"")</f>
        <v/>
      </c>
      <c r="E56" s="57" t="str">
        <f aca="false">IFERROR(DATE(("20"&amp;MID(C56,7,2))*1,MID(C56,4,2)*1,MID(C56,1,2)*1),"")</f>
        <v/>
      </c>
      <c r="F56" s="58" t="n">
        <f aca="false">MAX(D56,IF(E56="none",D56,E56))</f>
        <v>0</v>
      </c>
      <c r="G56" s="59" t="n">
        <f aca="false">IFERROR(DAYS360(D56,F56),0)</f>
        <v>0</v>
      </c>
      <c r="H56" s="59" t="n">
        <f aca="false">((LEN($AE56)-LEN(SUBSTITUTE($AE56,CHAR(10)&amp;". ","")))/3)+IF(LEFT(TRIM($AE56),2)=". ",1,0)</f>
        <v>0</v>
      </c>
      <c r="I56" s="59" t="n">
        <f aca="false">((LEN($AE56)-LEN(SUBSTITUTE($AE56,CHAR(10)&amp;"/ ","")))/3)+IF(LEFT(TRIM($AE56),2)="/ ",1,0)</f>
        <v>0</v>
      </c>
      <c r="J56" s="59" t="n">
        <f aca="false">((LEN($AE56)-LEN(SUBSTITUTE($AE56,CHAR(10)&amp;"~ ","")))/3)+IF(LEFT(TRIM($AE56),2)="~ ",1,0)</f>
        <v>0</v>
      </c>
      <c r="K56" s="59" t="n">
        <f aca="false">((LEN($AE56)-LEN(SUBSTITUTE($AE56,CHAR(10)&amp;"! ","")))/3)+IF(LEFT(TRIM($AE56),2)="! ",1,0)</f>
        <v>0</v>
      </c>
      <c r="L56" s="59" t="n">
        <f aca="false">((LEN($AE56)-LEN(SUBSTITUTE($AE56,CHAR(10)&amp;"x ","")))/3)+IF(LEFT(TRIM($AE56),2)="x ",1,0)</f>
        <v>0</v>
      </c>
      <c r="M56" s="59" t="n">
        <f aca="false">SUM(H56:L56)</f>
        <v>0</v>
      </c>
      <c r="N56" s="60" t="str">
        <f aca="false">IF(F56&gt;(($A$21-WEEKDAY($A$21,2))-7*$F$22),"Y","N")</f>
        <v>N</v>
      </c>
      <c r="O56" s="61" t="str">
        <f aca="false">IF(AB56="","  -  ZZZ","  -  "&amp;X56&amp;Y56&amp;AB56)</f>
        <v>  -  ZZZ</v>
      </c>
      <c r="P56" s="58" t="str">
        <f aca="false">IF(AB56="","",(IF(OR(Q56="Y",Q56="N"),Q56,IF(N56="Y","Y","N"))))</f>
        <v/>
      </c>
      <c r="Q56" s="40"/>
      <c r="R56" s="40"/>
      <c r="S56" s="62"/>
      <c r="T56" s="62"/>
      <c r="U56" s="62"/>
      <c r="V56" s="62"/>
      <c r="W56" s="40"/>
      <c r="X56" s="63"/>
      <c r="Y56" s="64"/>
      <c r="Z56" s="62"/>
      <c r="AA56" s="62"/>
      <c r="AB56" s="64"/>
      <c r="AC56" s="65"/>
      <c r="AD56" s="64"/>
      <c r="AE56" s="65"/>
      <c r="AF56" s="60" t="str">
        <f aca="false">IF(AB56="","",SUM(H56:K56))</f>
        <v/>
      </c>
      <c r="AG56" s="66" t="str">
        <f aca="false">IF(AB56="","",IF(M56&lt;&gt;0,(I56*0.5+L56)/M56,1))</f>
        <v/>
      </c>
      <c r="AH56" s="40"/>
      <c r="AI56" s="67"/>
      <c r="AJ56" s="68"/>
      <c r="AK56" s="69" t="str">
        <f aca="false">IF(AB56="","",AI56*AJ56/8)</f>
        <v/>
      </c>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66"/>
      <c r="BL56" s="66"/>
      <c r="BM56" s="66"/>
      <c r="BN56" s="66"/>
      <c r="BO56" s="66"/>
      <c r="BP56" s="66"/>
      <c r="BQ56" s="66"/>
      <c r="BR56" s="66"/>
      <c r="BS56" s="66"/>
      <c r="BT56" s="66"/>
      <c r="BU56" s="66"/>
      <c r="BV56" s="66"/>
      <c r="BW56" s="64" t="s">
        <v>469</v>
      </c>
    </row>
    <row r="57" customFormat="false" ht="12.75" hidden="false" customHeight="true" outlineLevel="0" collapsed="false">
      <c r="B57" s="55" t="str">
        <f aca="false">IF(AD57="","",IF(ISERROR(FIND(CHAR(10),AD57,1)),AD57,LEFT(AD57,FIND(CHAR(10),AD57,1))))</f>
        <v/>
      </c>
      <c r="C57" s="56" t="str">
        <f aca="false">IF(AD57="","",IFERROR(RIGHT(AD57,LEN(AD57)-FIND("@@@",SUBSTITUTE(AD57,CHAR(10),"@@@",LEN(AD57)-LEN(SUBSTITUTE(AD57,CHAR(10),""))),1)),AD57))</f>
        <v/>
      </c>
      <c r="D57" s="57" t="str">
        <f aca="false">IFERROR(DATE(("20"&amp;MID(B57,7,2))*1,MID(B57,4,2)*1,MID(B57,1,2)*1),"")</f>
        <v/>
      </c>
      <c r="E57" s="57" t="str">
        <f aca="false">IFERROR(DATE(("20"&amp;MID(C57,7,2))*1,MID(C57,4,2)*1,MID(C57,1,2)*1),"")</f>
        <v/>
      </c>
      <c r="F57" s="58" t="n">
        <f aca="false">MAX(D57,IF(E57="none",D57,E57))</f>
        <v>0</v>
      </c>
      <c r="G57" s="59" t="n">
        <f aca="false">IFERROR(DAYS360(D57,F57),0)</f>
        <v>0</v>
      </c>
      <c r="H57" s="59" t="n">
        <f aca="false">((LEN($AE57)-LEN(SUBSTITUTE($AE57,CHAR(10)&amp;". ","")))/3)+IF(LEFT(TRIM($AE57),2)=". ",1,0)</f>
        <v>0</v>
      </c>
      <c r="I57" s="59" t="n">
        <f aca="false">((LEN($AE57)-LEN(SUBSTITUTE($AE57,CHAR(10)&amp;"/ ","")))/3)+IF(LEFT(TRIM($AE57),2)="/ ",1,0)</f>
        <v>0</v>
      </c>
      <c r="J57" s="59" t="n">
        <f aca="false">((LEN($AE57)-LEN(SUBSTITUTE($AE57,CHAR(10)&amp;"~ ","")))/3)+IF(LEFT(TRIM($AE57),2)="~ ",1,0)</f>
        <v>0</v>
      </c>
      <c r="K57" s="59" t="n">
        <f aca="false">((LEN($AE57)-LEN(SUBSTITUTE($AE57,CHAR(10)&amp;"! ","")))/3)+IF(LEFT(TRIM($AE57),2)="! ",1,0)</f>
        <v>0</v>
      </c>
      <c r="L57" s="59" t="n">
        <f aca="false">((LEN($AE57)-LEN(SUBSTITUTE($AE57,CHAR(10)&amp;"x ","")))/3)+IF(LEFT(TRIM($AE57),2)="x ",1,0)</f>
        <v>0</v>
      </c>
      <c r="M57" s="59" t="n">
        <f aca="false">SUM(H57:L57)</f>
        <v>0</v>
      </c>
      <c r="N57" s="60" t="str">
        <f aca="false">IF(F57&gt;(($A$21-WEEKDAY($A$21,2))-7*$F$22),"Y","N")</f>
        <v>N</v>
      </c>
      <c r="O57" s="61" t="str">
        <f aca="false">IF(AB57="","  -  ZZZ","  -  "&amp;X57&amp;Y57&amp;AB57)</f>
        <v>  -  ZZZ</v>
      </c>
      <c r="P57" s="58" t="str">
        <f aca="false">IF(AB57="","",(IF(OR(Q57="Y",Q57="N"),Q57,IF(N57="Y","Y","N"))))</f>
        <v/>
      </c>
      <c r="Q57" s="40"/>
      <c r="R57" s="40"/>
      <c r="S57" s="62"/>
      <c r="T57" s="62"/>
      <c r="U57" s="62"/>
      <c r="V57" s="62"/>
      <c r="W57" s="40"/>
      <c r="X57" s="63"/>
      <c r="Y57" s="64"/>
      <c r="Z57" s="62"/>
      <c r="AA57" s="62"/>
      <c r="AB57" s="64"/>
      <c r="AC57" s="65"/>
      <c r="AD57" s="65"/>
      <c r="AE57" s="65"/>
      <c r="AF57" s="60" t="str">
        <f aca="false">IF(AB57="","",SUM(H57:K57))</f>
        <v/>
      </c>
      <c r="AG57" s="66" t="str">
        <f aca="false">IF(AB57="","",IF(M57&lt;&gt;0,(I57*0.5+L57)/M57,1))</f>
        <v/>
      </c>
      <c r="AH57" s="40"/>
      <c r="AI57" s="67"/>
      <c r="AJ57" s="68"/>
      <c r="AK57" s="69" t="str">
        <f aca="false">IF(AB57="","",AI57*AJ57/8)</f>
        <v/>
      </c>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66"/>
      <c r="BL57" s="66"/>
      <c r="BM57" s="66"/>
      <c r="BN57" s="66"/>
      <c r="BO57" s="66"/>
      <c r="BP57" s="66"/>
      <c r="BQ57" s="66"/>
      <c r="BR57" s="66"/>
      <c r="BS57" s="66"/>
      <c r="BT57" s="66"/>
      <c r="BU57" s="66"/>
      <c r="BV57" s="66"/>
      <c r="BW57" s="64" t="s">
        <v>469</v>
      </c>
    </row>
    <row r="58" customFormat="false" ht="12.75" hidden="false" customHeight="true" outlineLevel="0" collapsed="false">
      <c r="B58" s="55" t="str">
        <f aca="false">IF(AD58="","",IF(ISERROR(FIND(CHAR(10),AD58,1)),AD58,LEFT(AD58,FIND(CHAR(10),AD58,1))))</f>
        <v/>
      </c>
      <c r="C58" s="56" t="str">
        <f aca="false">IF(AD58="","",IFERROR(RIGHT(AD58,LEN(AD58)-FIND("@@@",SUBSTITUTE(AD58,CHAR(10),"@@@",LEN(AD58)-LEN(SUBSTITUTE(AD58,CHAR(10),""))),1)),AD58))</f>
        <v/>
      </c>
      <c r="D58" s="57" t="str">
        <f aca="false">IFERROR(DATE(("20"&amp;MID(B58,7,2))*1,MID(B58,4,2)*1,MID(B58,1,2)*1),"")</f>
        <v/>
      </c>
      <c r="E58" s="57" t="str">
        <f aca="false">IFERROR(DATE(("20"&amp;MID(C58,7,2))*1,MID(C58,4,2)*1,MID(C58,1,2)*1),"")</f>
        <v/>
      </c>
      <c r="F58" s="58" t="n">
        <f aca="false">MAX(D58,IF(E58="none",D58,E58))</f>
        <v>0</v>
      </c>
      <c r="G58" s="59" t="n">
        <f aca="false">IFERROR(DAYS360(D58,F58),0)</f>
        <v>0</v>
      </c>
      <c r="H58" s="59" t="n">
        <f aca="false">((LEN($AE58)-LEN(SUBSTITUTE($AE58,CHAR(10)&amp;". ","")))/3)+IF(LEFT(TRIM($AE58),2)=". ",1,0)</f>
        <v>0</v>
      </c>
      <c r="I58" s="59" t="n">
        <f aca="false">((LEN($AE58)-LEN(SUBSTITUTE($AE58,CHAR(10)&amp;"/ ","")))/3)+IF(LEFT(TRIM($AE58),2)="/ ",1,0)</f>
        <v>0</v>
      </c>
      <c r="J58" s="59" t="n">
        <f aca="false">((LEN($AE58)-LEN(SUBSTITUTE($AE58,CHAR(10)&amp;"~ ","")))/3)+IF(LEFT(TRIM($AE58),2)="~ ",1,0)</f>
        <v>0</v>
      </c>
      <c r="K58" s="59" t="n">
        <f aca="false">((LEN($AE58)-LEN(SUBSTITUTE($AE58,CHAR(10)&amp;"! ","")))/3)+IF(LEFT(TRIM($AE58),2)="! ",1,0)</f>
        <v>0</v>
      </c>
      <c r="L58" s="59" t="n">
        <f aca="false">((LEN($AE58)-LEN(SUBSTITUTE($AE58,CHAR(10)&amp;"x ","")))/3)+IF(LEFT(TRIM($AE58),2)="x ",1,0)</f>
        <v>0</v>
      </c>
      <c r="M58" s="59" t="n">
        <f aca="false">SUM(H58:L58)</f>
        <v>0</v>
      </c>
      <c r="N58" s="60" t="str">
        <f aca="false">IF(F58&gt;(($A$21-WEEKDAY($A$21,2))-7*$F$22),"Y","N")</f>
        <v>N</v>
      </c>
      <c r="O58" s="61" t="str">
        <f aca="false">IF(AB58="","  -  ZZZ","  -  "&amp;X58&amp;Y58&amp;AB58)</f>
        <v>  -  ZZZ</v>
      </c>
      <c r="P58" s="58" t="str">
        <f aca="false">IF(AB58="","",(IF(OR(Q58="Y",Q58="N"),Q58,IF(N58="Y","Y","N"))))</f>
        <v/>
      </c>
      <c r="Q58" s="40"/>
      <c r="R58" s="40"/>
      <c r="S58" s="62"/>
      <c r="T58" s="62"/>
      <c r="U58" s="62"/>
      <c r="V58" s="62"/>
      <c r="W58" s="40"/>
      <c r="X58" s="63"/>
      <c r="Y58" s="64"/>
      <c r="Z58" s="62"/>
      <c r="AA58" s="62"/>
      <c r="AB58" s="64"/>
      <c r="AC58" s="65"/>
      <c r="AD58" s="65"/>
      <c r="AE58" s="65"/>
      <c r="AF58" s="60" t="str">
        <f aca="false">IF(AB58="","",SUM(H58:K58))</f>
        <v/>
      </c>
      <c r="AG58" s="66" t="str">
        <f aca="false">IF(AB58="","",IF(M58&lt;&gt;0,(I58*0.5+L58)/M58,1))</f>
        <v/>
      </c>
      <c r="AH58" s="40"/>
      <c r="AI58" s="67"/>
      <c r="AJ58" s="68"/>
      <c r="AK58" s="69" t="str">
        <f aca="false">IF(AB58="","",AI58*AJ58/8)</f>
        <v/>
      </c>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66"/>
      <c r="BL58" s="66"/>
      <c r="BM58" s="66"/>
      <c r="BN58" s="66"/>
      <c r="BO58" s="66"/>
      <c r="BP58" s="66"/>
      <c r="BQ58" s="66"/>
      <c r="BR58" s="66"/>
      <c r="BS58" s="66"/>
      <c r="BT58" s="66"/>
      <c r="BU58" s="66"/>
      <c r="BV58" s="66"/>
      <c r="BW58" s="64" t="s">
        <v>469</v>
      </c>
    </row>
    <row r="59" customFormat="false" ht="12.75" hidden="false" customHeight="true" outlineLevel="0" collapsed="false">
      <c r="A59" s="54"/>
      <c r="B59" s="55" t="str">
        <f aca="false">IF(AD59="","",IF(ISERROR(FIND(CHAR(10),AD59,1)),AD59,LEFT(AD59,FIND(CHAR(10),AD59,1))))</f>
        <v/>
      </c>
      <c r="C59" s="56" t="str">
        <f aca="false">IF(AD59="","",IFERROR(RIGHT(AD59,LEN(AD59)-FIND("@@@",SUBSTITUTE(AD59,CHAR(10),"@@@",LEN(AD59)-LEN(SUBSTITUTE(AD59,CHAR(10),""))),1)),AD59))</f>
        <v/>
      </c>
      <c r="D59" s="57" t="str">
        <f aca="false">IFERROR(DATE(("20"&amp;MID(B59,7,2))*1,MID(B59,4,2)*1,MID(B59,1,2)*1),"")</f>
        <v/>
      </c>
      <c r="E59" s="57" t="str">
        <f aca="false">IFERROR(DATE(("20"&amp;MID(C59,7,2))*1,MID(C59,4,2)*1,MID(C59,1,2)*1),"")</f>
        <v/>
      </c>
      <c r="F59" s="58" t="n">
        <f aca="false">MAX(D59,IF(E59="none",D59,E59))</f>
        <v>0</v>
      </c>
      <c r="G59" s="59" t="n">
        <f aca="false">IFERROR(DAYS360(D59,F59),0)</f>
        <v>0</v>
      </c>
      <c r="H59" s="59" t="n">
        <f aca="false">((LEN($AE59)-LEN(SUBSTITUTE($AE59,CHAR(10)&amp;". ","")))/3)+IF(LEFT(TRIM($AE59),2)=". ",1,0)</f>
        <v>0</v>
      </c>
      <c r="I59" s="59" t="n">
        <f aca="false">((LEN($AE59)-LEN(SUBSTITUTE($AE59,CHAR(10)&amp;"/ ","")))/3)+IF(LEFT(TRIM($AE59),2)="/ ",1,0)</f>
        <v>0</v>
      </c>
      <c r="J59" s="59" t="n">
        <f aca="false">((LEN($AE59)-LEN(SUBSTITUTE($AE59,CHAR(10)&amp;"~ ","")))/3)+IF(LEFT(TRIM($AE59),2)="~ ",1,0)</f>
        <v>0</v>
      </c>
      <c r="K59" s="59" t="n">
        <f aca="false">((LEN($AE59)-LEN(SUBSTITUTE($AE59,CHAR(10)&amp;"! ","")))/3)+IF(LEFT(TRIM($AE59),2)="! ",1,0)</f>
        <v>0</v>
      </c>
      <c r="L59" s="59" t="n">
        <f aca="false">((LEN($AE59)-LEN(SUBSTITUTE($AE59,CHAR(10)&amp;"x ","")))/3)+IF(LEFT(TRIM($AE59),2)="x ",1,0)</f>
        <v>0</v>
      </c>
      <c r="M59" s="59" t="n">
        <f aca="false">SUM(H59:L59)</f>
        <v>0</v>
      </c>
      <c r="N59" s="60" t="str">
        <f aca="false">IF(F59&gt;(($A$21-WEEKDAY($A$21,2))-7*$F$22),"Y","N")</f>
        <v>N</v>
      </c>
      <c r="O59" s="61" t="str">
        <f aca="false">IF(AB59="","  -  ZZZ","  -  "&amp;X59&amp;Y59&amp;AB59)</f>
        <v>  -  ZZZ</v>
      </c>
      <c r="P59" s="58" t="str">
        <f aca="false">IF(AB59="","",(IF(OR(Q59="Y",Q59="N"),Q59,IF(N59="Y","Y","N"))))</f>
        <v/>
      </c>
      <c r="Q59" s="40"/>
      <c r="R59" s="40"/>
      <c r="S59" s="62"/>
      <c r="T59" s="62"/>
      <c r="U59" s="62"/>
      <c r="V59" s="62"/>
      <c r="W59" s="40"/>
      <c r="X59" s="63"/>
      <c r="Y59" s="64"/>
      <c r="Z59" s="62"/>
      <c r="AA59" s="62"/>
      <c r="AB59" s="64"/>
      <c r="AC59" s="65"/>
      <c r="AD59" s="64"/>
      <c r="AE59" s="65"/>
      <c r="AF59" s="60" t="str">
        <f aca="false">IF(AB59="","",SUM(H59:K59))</f>
        <v/>
      </c>
      <c r="AG59" s="66" t="str">
        <f aca="false">IF(AB59="","",IF(M59&lt;&gt;0,(I59*0.5+L59)/M59,1))</f>
        <v/>
      </c>
      <c r="AH59" s="40"/>
      <c r="AI59" s="67"/>
      <c r="AJ59" s="68"/>
      <c r="AK59" s="69" t="str">
        <f aca="false">IF(AB59="","",AI59*AJ59/8)</f>
        <v/>
      </c>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66"/>
      <c r="BL59" s="66"/>
      <c r="BM59" s="66"/>
      <c r="BN59" s="66"/>
      <c r="BO59" s="66"/>
      <c r="BP59" s="66"/>
      <c r="BQ59" s="66"/>
      <c r="BR59" s="66"/>
      <c r="BS59" s="66"/>
      <c r="BT59" s="66"/>
      <c r="BU59" s="66"/>
      <c r="BV59" s="66"/>
      <c r="BW59" s="64" t="s">
        <v>469</v>
      </c>
    </row>
    <row r="60" customFormat="false" ht="12.75" hidden="false" customHeight="true" outlineLevel="0" collapsed="false">
      <c r="A60" s="54"/>
      <c r="B60" s="55" t="str">
        <f aca="false">IF(AD60="","",IF(ISERROR(FIND(CHAR(10),AD60,1)),AD60,LEFT(AD60,FIND(CHAR(10),AD60,1))))</f>
        <v/>
      </c>
      <c r="C60" s="56" t="str">
        <f aca="false">IF(AD60="","",IFERROR(RIGHT(AD60,LEN(AD60)-FIND("@@@",SUBSTITUTE(AD60,CHAR(10),"@@@",LEN(AD60)-LEN(SUBSTITUTE(AD60,CHAR(10),""))),1)),AD60))</f>
        <v/>
      </c>
      <c r="D60" s="57" t="str">
        <f aca="false">IFERROR(DATE(("20"&amp;MID(B60,7,2))*1,MID(B60,4,2)*1,MID(B60,1,2)*1),"")</f>
        <v/>
      </c>
      <c r="E60" s="57" t="str">
        <f aca="false">IFERROR(DATE(("20"&amp;MID(C60,7,2))*1,MID(C60,4,2)*1,MID(C60,1,2)*1),"")</f>
        <v/>
      </c>
      <c r="F60" s="58" t="n">
        <f aca="false">MAX(D60,IF(E60="none",D60,E60))</f>
        <v>0</v>
      </c>
      <c r="G60" s="59" t="n">
        <f aca="false">IFERROR(DAYS360(D60,F60),0)</f>
        <v>0</v>
      </c>
      <c r="H60" s="59" t="n">
        <f aca="false">((LEN($AE60)-LEN(SUBSTITUTE($AE60,CHAR(10)&amp;". ","")))/3)+IF(LEFT(TRIM($AE60),2)=". ",1,0)</f>
        <v>0</v>
      </c>
      <c r="I60" s="59" t="n">
        <f aca="false">((LEN($AE60)-LEN(SUBSTITUTE($AE60,CHAR(10)&amp;"/ ","")))/3)+IF(LEFT(TRIM($AE60),2)="/ ",1,0)</f>
        <v>0</v>
      </c>
      <c r="J60" s="59" t="n">
        <f aca="false">((LEN($AE60)-LEN(SUBSTITUTE($AE60,CHAR(10)&amp;"~ ","")))/3)+IF(LEFT(TRIM($AE60),2)="~ ",1,0)</f>
        <v>0</v>
      </c>
      <c r="K60" s="59" t="n">
        <f aca="false">((LEN($AE60)-LEN(SUBSTITUTE($AE60,CHAR(10)&amp;"! ","")))/3)+IF(LEFT(TRIM($AE60),2)="! ",1,0)</f>
        <v>0</v>
      </c>
      <c r="L60" s="59" t="n">
        <f aca="false">((LEN($AE60)-LEN(SUBSTITUTE($AE60,CHAR(10)&amp;"x ","")))/3)+IF(LEFT(TRIM($AE60),2)="x ",1,0)</f>
        <v>0</v>
      </c>
      <c r="M60" s="59" t="n">
        <f aca="false">SUM(H60:L60)</f>
        <v>0</v>
      </c>
      <c r="N60" s="60" t="str">
        <f aca="false">IF(F60&gt;(($A$21-WEEKDAY($A$21,2))-7*$F$22),"Y","N")</f>
        <v>N</v>
      </c>
      <c r="O60" s="61" t="str">
        <f aca="false">IF(AB60="","  -  ZZZ","  -  "&amp;X60&amp;Y60&amp;AB60)</f>
        <v>  -  ZZZ</v>
      </c>
      <c r="P60" s="58" t="str">
        <f aca="false">IF(AB60="","",(IF(OR(Q60="Y",Q60="N"),Q60,IF(N60="Y","Y","N"))))</f>
        <v/>
      </c>
      <c r="Q60" s="40"/>
      <c r="R60" s="40"/>
      <c r="S60" s="62"/>
      <c r="T60" s="62"/>
      <c r="U60" s="62"/>
      <c r="V60" s="62"/>
      <c r="W60" s="40"/>
      <c r="X60" s="63"/>
      <c r="Y60" s="64"/>
      <c r="Z60" s="62"/>
      <c r="AA60" s="62"/>
      <c r="AB60" s="64"/>
      <c r="AC60" s="65"/>
      <c r="AD60" s="64"/>
      <c r="AE60" s="65"/>
      <c r="AF60" s="60" t="str">
        <f aca="false">IF(AB60="","",SUM(H60:K60))</f>
        <v/>
      </c>
      <c r="AG60" s="66" t="str">
        <f aca="false">IF(AB60="","",IF(M60&lt;&gt;0,(I60*0.5+L60)/M60,1))</f>
        <v/>
      </c>
      <c r="AH60" s="40"/>
      <c r="AI60" s="67"/>
      <c r="AJ60" s="68"/>
      <c r="AK60" s="69" t="str">
        <f aca="false">IF(AB60="","",AI60*AJ60/8)</f>
        <v/>
      </c>
      <c r="AL60" s="66"/>
      <c r="AM60" s="66"/>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K60" s="66"/>
      <c r="BL60" s="66"/>
      <c r="BM60" s="66"/>
      <c r="BN60" s="66"/>
      <c r="BO60" s="66"/>
      <c r="BP60" s="66"/>
      <c r="BQ60" s="66"/>
      <c r="BR60" s="66"/>
      <c r="BS60" s="66"/>
      <c r="BT60" s="66"/>
      <c r="BU60" s="66"/>
      <c r="BV60" s="66"/>
      <c r="BW60" s="64" t="s">
        <v>469</v>
      </c>
    </row>
    <row r="61" customFormat="false" ht="12.75" hidden="false" customHeight="true" outlineLevel="0" collapsed="false">
      <c r="A61" s="54"/>
      <c r="B61" s="55" t="str">
        <f aca="false">IF(AD61="","",IF(ISERROR(FIND(CHAR(10),AD61,1)),AD61,LEFT(AD61,FIND(CHAR(10),AD61,1))))</f>
        <v/>
      </c>
      <c r="C61" s="56" t="str">
        <f aca="false">IF(AD61="","",IFERROR(RIGHT(AD61,LEN(AD61)-FIND("@@@",SUBSTITUTE(AD61,CHAR(10),"@@@",LEN(AD61)-LEN(SUBSTITUTE(AD61,CHAR(10),""))),1)),AD61))</f>
        <v/>
      </c>
      <c r="D61" s="57" t="str">
        <f aca="false">IFERROR(DATE(("20"&amp;MID(B61,7,2))*1,MID(B61,4,2)*1,MID(B61,1,2)*1),"")</f>
        <v/>
      </c>
      <c r="E61" s="57" t="str">
        <f aca="false">IFERROR(DATE(("20"&amp;MID(C61,7,2))*1,MID(C61,4,2)*1,MID(C61,1,2)*1),"")</f>
        <v/>
      </c>
      <c r="F61" s="58" t="n">
        <f aca="false">MAX(D61,IF(E61="none",D61,E61))</f>
        <v>0</v>
      </c>
      <c r="G61" s="59" t="n">
        <f aca="false">IFERROR(DAYS360(D61,F61),0)</f>
        <v>0</v>
      </c>
      <c r="H61" s="59" t="n">
        <f aca="false">((LEN($AE61)-LEN(SUBSTITUTE($AE61,CHAR(10)&amp;". ","")))/3)+IF(LEFT(TRIM($AE61),2)=". ",1,0)</f>
        <v>0</v>
      </c>
      <c r="I61" s="59" t="n">
        <f aca="false">((LEN($AE61)-LEN(SUBSTITUTE($AE61,CHAR(10)&amp;"/ ","")))/3)+IF(LEFT(TRIM($AE61),2)="/ ",1,0)</f>
        <v>0</v>
      </c>
      <c r="J61" s="59" t="n">
        <f aca="false">((LEN($AE61)-LEN(SUBSTITUTE($AE61,CHAR(10)&amp;"~ ","")))/3)+IF(LEFT(TRIM($AE61),2)="~ ",1,0)</f>
        <v>0</v>
      </c>
      <c r="K61" s="59" t="n">
        <f aca="false">((LEN($AE61)-LEN(SUBSTITUTE($AE61,CHAR(10)&amp;"! ","")))/3)+IF(LEFT(TRIM($AE61),2)="! ",1,0)</f>
        <v>0</v>
      </c>
      <c r="L61" s="59" t="n">
        <f aca="false">((LEN($AE61)-LEN(SUBSTITUTE($AE61,CHAR(10)&amp;"x ","")))/3)+IF(LEFT(TRIM($AE61),2)="x ",1,0)</f>
        <v>0</v>
      </c>
      <c r="M61" s="59" t="n">
        <f aca="false">SUM(H61:L61)</f>
        <v>0</v>
      </c>
      <c r="N61" s="60" t="str">
        <f aca="false">IF(F61&gt;(($A$21-WEEKDAY($A$21,2))-7*$F$22),"Y","N")</f>
        <v>N</v>
      </c>
      <c r="O61" s="61" t="str">
        <f aca="false">IF(AB61="","  -  ZZZ","  -  "&amp;X61&amp;Y61&amp;AB61)</f>
        <v>  -  ZZZ</v>
      </c>
      <c r="P61" s="58" t="str">
        <f aca="false">IF(AB61="","",(IF(OR(Q61="Y",Q61="N"),Q61,IF(N61="Y","Y","N"))))</f>
        <v/>
      </c>
      <c r="Q61" s="40"/>
      <c r="R61" s="40"/>
      <c r="S61" s="62"/>
      <c r="T61" s="62"/>
      <c r="U61" s="62"/>
      <c r="V61" s="62"/>
      <c r="W61" s="40"/>
      <c r="X61" s="63"/>
      <c r="Y61" s="64"/>
      <c r="Z61" s="62"/>
      <c r="AA61" s="62"/>
      <c r="AB61" s="64"/>
      <c r="AC61" s="65"/>
      <c r="AD61" s="64"/>
      <c r="AE61" s="65"/>
      <c r="AF61" s="60" t="str">
        <f aca="false">IF(AB61="","",SUM(H61:K61))</f>
        <v/>
      </c>
      <c r="AG61" s="66" t="str">
        <f aca="false">IF(AB61="","",IF(M61&lt;&gt;0,(I61*0.5+L61)/M61,1))</f>
        <v/>
      </c>
      <c r="AH61" s="40"/>
      <c r="AI61" s="67"/>
      <c r="AJ61" s="68"/>
      <c r="AK61" s="69" t="str">
        <f aca="false">IF(AB61="","",AI61*AJ61/8)</f>
        <v/>
      </c>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66"/>
      <c r="BL61" s="66"/>
      <c r="BM61" s="66"/>
      <c r="BN61" s="66"/>
      <c r="BO61" s="66"/>
      <c r="BP61" s="66"/>
      <c r="BQ61" s="66"/>
      <c r="BR61" s="66"/>
      <c r="BS61" s="66"/>
      <c r="BT61" s="66"/>
      <c r="BU61" s="66"/>
      <c r="BV61" s="66"/>
      <c r="BW61" s="64" t="s">
        <v>469</v>
      </c>
    </row>
    <row r="62" customFormat="false" ht="12.75" hidden="false" customHeight="true" outlineLevel="0" collapsed="false">
      <c r="A62" s="54"/>
      <c r="B62" s="55" t="str">
        <f aca="false">IF(AD62="","",IF(ISERROR(FIND(CHAR(10),AD62,1)),AD62,LEFT(AD62,FIND(CHAR(10),AD62,1))))</f>
        <v/>
      </c>
      <c r="C62" s="56" t="str">
        <f aca="false">IF(AD62="","",IFERROR(RIGHT(AD62,LEN(AD62)-FIND("@@@",SUBSTITUTE(AD62,CHAR(10),"@@@",LEN(AD62)-LEN(SUBSTITUTE(AD62,CHAR(10),""))),1)),AD62))</f>
        <v/>
      </c>
      <c r="D62" s="57" t="str">
        <f aca="false">IFERROR(DATE(("20"&amp;MID(B62,7,2))*1,MID(B62,4,2)*1,MID(B62,1,2)*1),"")</f>
        <v/>
      </c>
      <c r="E62" s="57" t="str">
        <f aca="false">IFERROR(DATE(("20"&amp;MID(C62,7,2))*1,MID(C62,4,2)*1,MID(C62,1,2)*1),"")</f>
        <v/>
      </c>
      <c r="F62" s="58" t="n">
        <f aca="false">MAX(D62,IF(E62="none",D62,E62))</f>
        <v>0</v>
      </c>
      <c r="G62" s="59" t="n">
        <f aca="false">IFERROR(DAYS360(D62,F62),0)</f>
        <v>0</v>
      </c>
      <c r="H62" s="59" t="n">
        <f aca="false">((LEN($AE62)-LEN(SUBSTITUTE($AE62,CHAR(10)&amp;". ","")))/3)+IF(LEFT(TRIM($AE62),2)=". ",1,0)</f>
        <v>0</v>
      </c>
      <c r="I62" s="59" t="n">
        <f aca="false">((LEN($AE62)-LEN(SUBSTITUTE($AE62,CHAR(10)&amp;"/ ","")))/3)+IF(LEFT(TRIM($AE62),2)="/ ",1,0)</f>
        <v>0</v>
      </c>
      <c r="J62" s="59" t="n">
        <f aca="false">((LEN($AE62)-LEN(SUBSTITUTE($AE62,CHAR(10)&amp;"~ ","")))/3)+IF(LEFT(TRIM($AE62),2)="~ ",1,0)</f>
        <v>0</v>
      </c>
      <c r="K62" s="59" t="n">
        <f aca="false">((LEN($AE62)-LEN(SUBSTITUTE($AE62,CHAR(10)&amp;"! ","")))/3)+IF(LEFT(TRIM($AE62),2)="! ",1,0)</f>
        <v>0</v>
      </c>
      <c r="L62" s="59" t="n">
        <f aca="false">((LEN($AE62)-LEN(SUBSTITUTE($AE62,CHAR(10)&amp;"x ","")))/3)+IF(LEFT(TRIM($AE62),2)="x ",1,0)</f>
        <v>0</v>
      </c>
      <c r="M62" s="59" t="n">
        <f aca="false">SUM(H62:L62)</f>
        <v>0</v>
      </c>
      <c r="N62" s="60" t="str">
        <f aca="false">IF(F62&gt;(($A$21-WEEKDAY($A$21,2))-7*$F$22),"Y","N")</f>
        <v>N</v>
      </c>
      <c r="O62" s="61" t="str">
        <f aca="false">IF(AB62="","  -  ZZZ","  -  "&amp;X62&amp;Y62&amp;AB62)</f>
        <v>  -  ZZZ</v>
      </c>
      <c r="P62" s="58" t="str">
        <f aca="false">IF(AB62="","",(IF(OR(Q62="Y",Q62="N"),Q62,IF(N62="Y","Y","N"))))</f>
        <v/>
      </c>
      <c r="Q62" s="40"/>
      <c r="R62" s="40"/>
      <c r="S62" s="62"/>
      <c r="T62" s="62"/>
      <c r="U62" s="62"/>
      <c r="V62" s="62"/>
      <c r="W62" s="40"/>
      <c r="X62" s="63"/>
      <c r="Y62" s="64"/>
      <c r="Z62" s="62"/>
      <c r="AA62" s="62"/>
      <c r="AB62" s="64"/>
      <c r="AC62" s="65"/>
      <c r="AD62" s="64"/>
      <c r="AE62" s="65"/>
      <c r="AF62" s="60" t="str">
        <f aca="false">IF(AB62="","",SUM(H62:K62))</f>
        <v/>
      </c>
      <c r="AG62" s="66" t="str">
        <f aca="false">IF(AB62="","",IF(M62&lt;&gt;0,(I62*0.5+L62)/M62,1))</f>
        <v/>
      </c>
      <c r="AH62" s="40"/>
      <c r="AI62" s="67"/>
      <c r="AJ62" s="68"/>
      <c r="AK62" s="69" t="str">
        <f aca="false">IF(AB62="","",AI62*AJ62/8)</f>
        <v/>
      </c>
      <c r="AL62" s="66"/>
      <c r="AM62" s="66"/>
      <c r="AN62" s="66"/>
      <c r="AO62" s="66"/>
      <c r="AP62" s="66"/>
      <c r="AQ62" s="66"/>
      <c r="AR62" s="66"/>
      <c r="AS62" s="66"/>
      <c r="AT62" s="66"/>
      <c r="AU62" s="66"/>
      <c r="AV62" s="66"/>
      <c r="AW62" s="66"/>
      <c r="AX62" s="66"/>
      <c r="AY62" s="66"/>
      <c r="AZ62" s="66"/>
      <c r="BA62" s="66"/>
      <c r="BB62" s="66"/>
      <c r="BC62" s="66"/>
      <c r="BD62" s="66"/>
      <c r="BE62" s="66"/>
      <c r="BF62" s="66"/>
      <c r="BG62" s="66"/>
      <c r="BH62" s="66"/>
      <c r="BI62" s="66"/>
      <c r="BJ62" s="66"/>
      <c r="BK62" s="66"/>
      <c r="BL62" s="66"/>
      <c r="BM62" s="66"/>
      <c r="BN62" s="66"/>
      <c r="BO62" s="66"/>
      <c r="BP62" s="66"/>
      <c r="BQ62" s="66"/>
      <c r="BR62" s="66"/>
      <c r="BS62" s="66"/>
      <c r="BT62" s="66"/>
      <c r="BU62" s="66"/>
      <c r="BV62" s="66"/>
      <c r="BW62" s="64" t="s">
        <v>469</v>
      </c>
    </row>
    <row r="63" customFormat="false" ht="12.75" hidden="false" customHeight="true" outlineLevel="0" collapsed="false">
      <c r="A63" s="54"/>
      <c r="B63" s="55" t="str">
        <f aca="false">IF(AD63="","",IF(ISERROR(FIND(CHAR(10),AD63,1)),AD63,LEFT(AD63,FIND(CHAR(10),AD63,1))))</f>
        <v/>
      </c>
      <c r="C63" s="56" t="str">
        <f aca="false">IF(AD63="","",IFERROR(RIGHT(AD63,LEN(AD63)-FIND("@@@",SUBSTITUTE(AD63,CHAR(10),"@@@",LEN(AD63)-LEN(SUBSTITUTE(AD63,CHAR(10),""))),1)),AD63))</f>
        <v/>
      </c>
      <c r="D63" s="57" t="str">
        <f aca="false">IFERROR(DATE(("20"&amp;MID(B63,7,2))*1,MID(B63,4,2)*1,MID(B63,1,2)*1),"")</f>
        <v/>
      </c>
      <c r="E63" s="57" t="str">
        <f aca="false">IFERROR(DATE(("20"&amp;MID(C63,7,2))*1,MID(C63,4,2)*1,MID(C63,1,2)*1),"")</f>
        <v/>
      </c>
      <c r="F63" s="58" t="n">
        <f aca="false">MAX(D63,IF(E63="none",D63,E63))</f>
        <v>0</v>
      </c>
      <c r="G63" s="59" t="n">
        <f aca="false">IFERROR(DAYS360(D63,F63),0)</f>
        <v>0</v>
      </c>
      <c r="H63" s="59" t="n">
        <f aca="false">((LEN($AE63)-LEN(SUBSTITUTE($AE63,CHAR(10)&amp;". ","")))/3)+IF(LEFT(TRIM($AE63),2)=". ",1,0)</f>
        <v>0</v>
      </c>
      <c r="I63" s="59" t="n">
        <f aca="false">((LEN($AE63)-LEN(SUBSTITUTE($AE63,CHAR(10)&amp;"/ ","")))/3)+IF(LEFT(TRIM($AE63),2)="/ ",1,0)</f>
        <v>0</v>
      </c>
      <c r="J63" s="59" t="n">
        <f aca="false">((LEN($AE63)-LEN(SUBSTITUTE($AE63,CHAR(10)&amp;"~ ","")))/3)+IF(LEFT(TRIM($AE63),2)="~ ",1,0)</f>
        <v>0</v>
      </c>
      <c r="K63" s="59" t="n">
        <f aca="false">((LEN($AE63)-LEN(SUBSTITUTE($AE63,CHAR(10)&amp;"! ","")))/3)+IF(LEFT(TRIM($AE63),2)="! ",1,0)</f>
        <v>0</v>
      </c>
      <c r="L63" s="59" t="n">
        <f aca="false">((LEN($AE63)-LEN(SUBSTITUTE($AE63,CHAR(10)&amp;"x ","")))/3)+IF(LEFT(TRIM($AE63),2)="x ",1,0)</f>
        <v>0</v>
      </c>
      <c r="M63" s="59" t="n">
        <f aca="false">SUM(H63:L63)</f>
        <v>0</v>
      </c>
      <c r="N63" s="60" t="str">
        <f aca="false">IF(F63&gt;(($A$21-WEEKDAY($A$21,2))-7*$F$22),"Y","N")</f>
        <v>N</v>
      </c>
      <c r="O63" s="61" t="str">
        <f aca="false">IF(AB63="","  -  ZZZ","  -  "&amp;X63&amp;Y63&amp;AB63)</f>
        <v>  -  ZZZ</v>
      </c>
      <c r="P63" s="58" t="str">
        <f aca="false">IF(AB63="","",(IF(OR(Q63="Y",Q63="N"),Q63,IF(N63="Y","Y","N"))))</f>
        <v/>
      </c>
      <c r="Q63" s="40"/>
      <c r="R63" s="40"/>
      <c r="S63" s="62"/>
      <c r="T63" s="62"/>
      <c r="U63" s="62"/>
      <c r="V63" s="62"/>
      <c r="W63" s="40"/>
      <c r="X63" s="63"/>
      <c r="Y63" s="64"/>
      <c r="Z63" s="62"/>
      <c r="AA63" s="62"/>
      <c r="AB63" s="64"/>
      <c r="AC63" s="65"/>
      <c r="AD63" s="64"/>
      <c r="AE63" s="65"/>
      <c r="AF63" s="60" t="str">
        <f aca="false">IF(AB63="","",SUM(H63:K63))</f>
        <v/>
      </c>
      <c r="AG63" s="66" t="str">
        <f aca="false">IF(AB63="","",IF(M63&lt;&gt;0,(I63*0.5+L63)/M63,1))</f>
        <v/>
      </c>
      <c r="AH63" s="40"/>
      <c r="AI63" s="67"/>
      <c r="AJ63" s="68"/>
      <c r="AK63" s="69" t="str">
        <f aca="false">IF(AB63="","",AI63*AJ63/8)</f>
        <v/>
      </c>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66"/>
      <c r="BL63" s="66"/>
      <c r="BM63" s="66"/>
      <c r="BN63" s="66"/>
      <c r="BO63" s="66"/>
      <c r="BP63" s="66"/>
      <c r="BQ63" s="66"/>
      <c r="BR63" s="66"/>
      <c r="BS63" s="66"/>
      <c r="BT63" s="66"/>
      <c r="BU63" s="66"/>
      <c r="BV63" s="66"/>
      <c r="BW63" s="64" t="s">
        <v>469</v>
      </c>
    </row>
    <row r="64" customFormat="false" ht="12.75" hidden="false" customHeight="true" outlineLevel="0" collapsed="false">
      <c r="A64" s="54"/>
      <c r="B64" s="55" t="str">
        <f aca="false">IF(AD64="","",IF(ISERROR(FIND(CHAR(10),AD64,1)),AD64,LEFT(AD64,FIND(CHAR(10),AD64,1))))</f>
        <v/>
      </c>
      <c r="C64" s="56" t="str">
        <f aca="false">IF(AD64="","",IFERROR(RIGHT(AD64,LEN(AD64)-FIND("@@@",SUBSTITUTE(AD64,CHAR(10),"@@@",LEN(AD64)-LEN(SUBSTITUTE(AD64,CHAR(10),""))),1)),AD64))</f>
        <v/>
      </c>
      <c r="D64" s="57" t="str">
        <f aca="false">IFERROR(DATE(("20"&amp;MID(B64,7,2))*1,MID(B64,4,2)*1,MID(B64,1,2)*1),"")</f>
        <v/>
      </c>
      <c r="E64" s="57" t="str">
        <f aca="false">IFERROR(DATE(("20"&amp;MID(C64,7,2))*1,MID(C64,4,2)*1,MID(C64,1,2)*1),"")</f>
        <v/>
      </c>
      <c r="F64" s="58" t="n">
        <f aca="false">MAX(D64,IF(E64="none",D64,E64))</f>
        <v>0</v>
      </c>
      <c r="G64" s="59" t="n">
        <f aca="false">IFERROR(DAYS360(D64,F64),0)</f>
        <v>0</v>
      </c>
      <c r="H64" s="59" t="n">
        <f aca="false">((LEN($AE64)-LEN(SUBSTITUTE($AE64,CHAR(10)&amp;". ","")))/3)+IF(LEFT(TRIM($AE64),2)=". ",1,0)</f>
        <v>0</v>
      </c>
      <c r="I64" s="59" t="n">
        <f aca="false">((LEN($AE64)-LEN(SUBSTITUTE($AE64,CHAR(10)&amp;"/ ","")))/3)+IF(LEFT(TRIM($AE64),2)="/ ",1,0)</f>
        <v>0</v>
      </c>
      <c r="J64" s="59" t="n">
        <f aca="false">((LEN($AE64)-LEN(SUBSTITUTE($AE64,CHAR(10)&amp;"~ ","")))/3)+IF(LEFT(TRIM($AE64),2)="~ ",1,0)</f>
        <v>0</v>
      </c>
      <c r="K64" s="59" t="n">
        <f aca="false">((LEN($AE64)-LEN(SUBSTITUTE($AE64,CHAR(10)&amp;"! ","")))/3)+IF(LEFT(TRIM($AE64),2)="! ",1,0)</f>
        <v>0</v>
      </c>
      <c r="L64" s="59" t="n">
        <f aca="false">((LEN($AE64)-LEN(SUBSTITUTE($AE64,CHAR(10)&amp;"x ","")))/3)+IF(LEFT(TRIM($AE64),2)="x ",1,0)</f>
        <v>0</v>
      </c>
      <c r="M64" s="59" t="n">
        <f aca="false">SUM(H64:L64)</f>
        <v>0</v>
      </c>
      <c r="N64" s="60" t="str">
        <f aca="false">IF(F64&gt;(($A$21-WEEKDAY($A$21,2))-7*$F$22),"Y","N")</f>
        <v>N</v>
      </c>
      <c r="O64" s="61" t="str">
        <f aca="false">IF(AB64="","  -  ZZZ","  -  "&amp;X64&amp;Y64&amp;AB64)</f>
        <v>  -  ZZZ</v>
      </c>
      <c r="P64" s="58" t="str">
        <f aca="false">IF(AB64="","",(IF(OR(Q64="Y",Q64="N"),Q64,IF(N64="Y","Y","N"))))</f>
        <v/>
      </c>
      <c r="Q64" s="40"/>
      <c r="R64" s="40"/>
      <c r="S64" s="62"/>
      <c r="T64" s="62"/>
      <c r="U64" s="62"/>
      <c r="V64" s="62"/>
      <c r="W64" s="40"/>
      <c r="X64" s="63"/>
      <c r="Y64" s="64"/>
      <c r="Z64" s="62"/>
      <c r="AA64" s="62"/>
      <c r="AB64" s="64"/>
      <c r="AC64" s="65"/>
      <c r="AD64" s="64"/>
      <c r="AE64" s="65"/>
      <c r="AF64" s="60" t="str">
        <f aca="false">IF(AB64="","",SUM(H64:K64))</f>
        <v/>
      </c>
      <c r="AG64" s="66" t="str">
        <f aca="false">IF(AB64="","",IF(M64&lt;&gt;0,(I64*0.5+L64)/M64,1))</f>
        <v/>
      </c>
      <c r="AH64" s="40"/>
      <c r="AI64" s="67"/>
      <c r="AJ64" s="68"/>
      <c r="AK64" s="69" t="str">
        <f aca="false">IF(AB64="","",AI64*AJ64/8)</f>
        <v/>
      </c>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66"/>
      <c r="BL64" s="66"/>
      <c r="BM64" s="66"/>
      <c r="BN64" s="66"/>
      <c r="BO64" s="66"/>
      <c r="BP64" s="66"/>
      <c r="BQ64" s="66"/>
      <c r="BR64" s="66"/>
      <c r="BS64" s="66"/>
      <c r="BT64" s="66"/>
      <c r="BU64" s="66"/>
      <c r="BV64" s="66"/>
      <c r="BW64" s="64" t="s">
        <v>469</v>
      </c>
    </row>
    <row r="65" customFormat="false" ht="12.75" hidden="false" customHeight="true" outlineLevel="0" collapsed="false">
      <c r="A65" s="54"/>
      <c r="B65" s="55" t="str">
        <f aca="false">IF(AD65="","",IF(ISERROR(FIND(CHAR(10),AD65,1)),AD65,LEFT(AD65,FIND(CHAR(10),AD65,1))))</f>
        <v/>
      </c>
      <c r="C65" s="56" t="str">
        <f aca="false">IF(AD65="","",IFERROR(RIGHT(AD65,LEN(AD65)-FIND("@@@",SUBSTITUTE(AD65,CHAR(10),"@@@",LEN(AD65)-LEN(SUBSTITUTE(AD65,CHAR(10),""))),1)),AD65))</f>
        <v/>
      </c>
      <c r="D65" s="57" t="str">
        <f aca="false">IFERROR(DATE(("20"&amp;MID(B65,7,2))*1,MID(B65,4,2)*1,MID(B65,1,2)*1),"")</f>
        <v/>
      </c>
      <c r="E65" s="57" t="str">
        <f aca="false">IFERROR(DATE(("20"&amp;MID(C65,7,2))*1,MID(C65,4,2)*1,MID(C65,1,2)*1),"")</f>
        <v/>
      </c>
      <c r="F65" s="58" t="n">
        <f aca="false">MAX(D65,IF(E65="none",D65,E65))</f>
        <v>0</v>
      </c>
      <c r="G65" s="59" t="n">
        <f aca="false">IFERROR(DAYS360(D65,F65),0)</f>
        <v>0</v>
      </c>
      <c r="H65" s="59" t="n">
        <f aca="false">((LEN($AE65)-LEN(SUBSTITUTE($AE65,CHAR(10)&amp;". ","")))/3)+IF(LEFT(TRIM($AE65),2)=". ",1,0)</f>
        <v>0</v>
      </c>
      <c r="I65" s="59" t="n">
        <f aca="false">((LEN($AE65)-LEN(SUBSTITUTE($AE65,CHAR(10)&amp;"/ ","")))/3)+IF(LEFT(TRIM($AE65),2)="/ ",1,0)</f>
        <v>0</v>
      </c>
      <c r="J65" s="59" t="n">
        <f aca="false">((LEN($AE65)-LEN(SUBSTITUTE($AE65,CHAR(10)&amp;"~ ","")))/3)+IF(LEFT(TRIM($AE65),2)="~ ",1,0)</f>
        <v>0</v>
      </c>
      <c r="K65" s="59" t="n">
        <f aca="false">((LEN($AE65)-LEN(SUBSTITUTE($AE65,CHAR(10)&amp;"! ","")))/3)+IF(LEFT(TRIM($AE65),2)="! ",1,0)</f>
        <v>0</v>
      </c>
      <c r="L65" s="59" t="n">
        <f aca="false">((LEN($AE65)-LEN(SUBSTITUTE($AE65,CHAR(10)&amp;"x ","")))/3)+IF(LEFT(TRIM($AE65),2)="x ",1,0)</f>
        <v>0</v>
      </c>
      <c r="M65" s="59" t="n">
        <f aca="false">SUM(H65:L65)</f>
        <v>0</v>
      </c>
      <c r="N65" s="60" t="str">
        <f aca="false">IF(F65&gt;(($A$21-WEEKDAY($A$21,2))-7*$F$22),"Y","N")</f>
        <v>N</v>
      </c>
      <c r="O65" s="61" t="str">
        <f aca="false">IF(AB65="","  -  ZZZ","  -  "&amp;X65&amp;Y65&amp;AB65)</f>
        <v>  -  ZZZ</v>
      </c>
      <c r="P65" s="58" t="str">
        <f aca="false">IF(AB65="","",(IF(OR(Q65="Y",Q65="N"),Q65,IF(N65="Y","Y","N"))))</f>
        <v/>
      </c>
      <c r="Q65" s="40"/>
      <c r="R65" s="40"/>
      <c r="S65" s="62"/>
      <c r="T65" s="62"/>
      <c r="U65" s="62"/>
      <c r="V65" s="62"/>
      <c r="W65" s="40"/>
      <c r="X65" s="63"/>
      <c r="Y65" s="64"/>
      <c r="Z65" s="62"/>
      <c r="AA65" s="62"/>
      <c r="AB65" s="64"/>
      <c r="AC65" s="65"/>
      <c r="AD65" s="65"/>
      <c r="AE65" s="64"/>
      <c r="AF65" s="60" t="str">
        <f aca="false">IF(AB65="","",SUM(H65:K65))</f>
        <v/>
      </c>
      <c r="AG65" s="66" t="str">
        <f aca="false">IF(AB65="","",IF(M65&lt;&gt;0,(I65*0.5+L65)/M65,1))</f>
        <v/>
      </c>
      <c r="AH65" s="40"/>
      <c r="AI65" s="67"/>
      <c r="AJ65" s="68"/>
      <c r="AK65" s="69" t="str">
        <f aca="false">IF(AB65="","",AI65*AJ65/8)</f>
        <v/>
      </c>
      <c r="AL65" s="66"/>
      <c r="AM65" s="66"/>
      <c r="AN65" s="66"/>
      <c r="AO65" s="66"/>
      <c r="AP65" s="66"/>
      <c r="AQ65" s="66"/>
      <c r="AR65" s="66"/>
      <c r="AS65" s="66"/>
      <c r="AT65" s="66"/>
      <c r="AU65" s="66"/>
      <c r="AV65" s="66"/>
      <c r="AW65" s="66"/>
      <c r="AX65" s="66"/>
      <c r="AY65" s="66"/>
      <c r="AZ65" s="66"/>
      <c r="BA65" s="66"/>
      <c r="BB65" s="66"/>
      <c r="BC65" s="66"/>
      <c r="BD65" s="66"/>
      <c r="BE65" s="66"/>
      <c r="BF65" s="66"/>
      <c r="BG65" s="66"/>
      <c r="BH65" s="66"/>
      <c r="BI65" s="66"/>
      <c r="BJ65" s="66"/>
      <c r="BK65" s="66"/>
      <c r="BL65" s="66"/>
      <c r="BM65" s="66"/>
      <c r="BN65" s="66"/>
      <c r="BO65" s="66"/>
      <c r="BP65" s="66"/>
      <c r="BQ65" s="66"/>
      <c r="BR65" s="66"/>
      <c r="BS65" s="66"/>
      <c r="BT65" s="66"/>
      <c r="BU65" s="66"/>
      <c r="BV65" s="66"/>
      <c r="BW65" s="64" t="s">
        <v>469</v>
      </c>
    </row>
    <row r="66" customFormat="false" ht="12.75" hidden="false" customHeight="true" outlineLevel="0" collapsed="false">
      <c r="A66" s="54"/>
      <c r="B66" s="55" t="str">
        <f aca="false">IF(AD66="","",IF(ISERROR(FIND(CHAR(10),AD66,1)),AD66,LEFT(AD66,FIND(CHAR(10),AD66,1))))</f>
        <v/>
      </c>
      <c r="C66" s="56" t="str">
        <f aca="false">IF(AD66="","",IFERROR(RIGHT(AD66,LEN(AD66)-FIND("@@@",SUBSTITUTE(AD66,CHAR(10),"@@@",LEN(AD66)-LEN(SUBSTITUTE(AD66,CHAR(10),""))),1)),AD66))</f>
        <v/>
      </c>
      <c r="D66" s="57" t="str">
        <f aca="false">IFERROR(DATE(("20"&amp;MID(B66,7,2))*1,MID(B66,4,2)*1,MID(B66,1,2)*1),"")</f>
        <v/>
      </c>
      <c r="E66" s="57" t="str">
        <f aca="false">IFERROR(DATE(("20"&amp;MID(C66,7,2))*1,MID(C66,4,2)*1,MID(C66,1,2)*1),"")</f>
        <v/>
      </c>
      <c r="F66" s="58" t="n">
        <f aca="false">MAX(D66,IF(E66="none",D66,E66))</f>
        <v>0</v>
      </c>
      <c r="G66" s="59" t="n">
        <f aca="false">IFERROR(DAYS360(D66,F66),0)</f>
        <v>0</v>
      </c>
      <c r="H66" s="59" t="n">
        <f aca="false">((LEN($AE66)-LEN(SUBSTITUTE($AE66,CHAR(10)&amp;". ","")))/3)+IF(LEFT(TRIM($AE66),2)=". ",1,0)</f>
        <v>0</v>
      </c>
      <c r="I66" s="59" t="n">
        <f aca="false">((LEN($AE66)-LEN(SUBSTITUTE($AE66,CHAR(10)&amp;"/ ","")))/3)+IF(LEFT(TRIM($AE66),2)="/ ",1,0)</f>
        <v>0</v>
      </c>
      <c r="J66" s="59" t="n">
        <f aca="false">((LEN($AE66)-LEN(SUBSTITUTE($AE66,CHAR(10)&amp;"~ ","")))/3)+IF(LEFT(TRIM($AE66),2)="~ ",1,0)</f>
        <v>0</v>
      </c>
      <c r="K66" s="59" t="n">
        <f aca="false">((LEN($AE66)-LEN(SUBSTITUTE($AE66,CHAR(10)&amp;"! ","")))/3)+IF(LEFT(TRIM($AE66),2)="! ",1,0)</f>
        <v>0</v>
      </c>
      <c r="L66" s="59" t="n">
        <f aca="false">((LEN($AE66)-LEN(SUBSTITUTE($AE66,CHAR(10)&amp;"x ","")))/3)+IF(LEFT(TRIM($AE66),2)="x ",1,0)</f>
        <v>0</v>
      </c>
      <c r="M66" s="59" t="n">
        <f aca="false">SUM(H66:L66)</f>
        <v>0</v>
      </c>
      <c r="N66" s="60" t="str">
        <f aca="false">IF(F66&gt;(($A$21-WEEKDAY($A$21,2))-7*$F$22),"Y","N")</f>
        <v>N</v>
      </c>
      <c r="O66" s="61" t="str">
        <f aca="false">IF(AB66="","  -  ZZZ","  -  "&amp;X66&amp;Y66&amp;AB66)</f>
        <v>  -  ZZZ</v>
      </c>
      <c r="P66" s="58" t="str">
        <f aca="false">IF(AB66="","",(IF(OR(Q66="Y",Q66="N"),Q66,IF(N66="Y","Y","N"))))</f>
        <v/>
      </c>
      <c r="Q66" s="40"/>
      <c r="R66" s="40"/>
      <c r="S66" s="62"/>
      <c r="T66" s="62"/>
      <c r="U66" s="62"/>
      <c r="V66" s="62"/>
      <c r="W66" s="40"/>
      <c r="X66" s="63"/>
      <c r="Y66" s="64"/>
      <c r="Z66" s="62"/>
      <c r="AA66" s="62"/>
      <c r="AB66" s="64"/>
      <c r="AC66" s="65"/>
      <c r="AD66" s="64"/>
      <c r="AE66" s="64"/>
      <c r="AF66" s="60" t="str">
        <f aca="false">IF(AB66="","",SUM(H66:K66))</f>
        <v/>
      </c>
      <c r="AG66" s="66" t="str">
        <f aca="false">IF(AB66="","",IF(M66&lt;&gt;0,(I66*0.5+L66)/M66,1))</f>
        <v/>
      </c>
      <c r="AH66" s="40"/>
      <c r="AI66" s="67"/>
      <c r="AJ66" s="68"/>
      <c r="AK66" s="69" t="str">
        <f aca="false">IF(AB66="","",AI66*AJ66/8)</f>
        <v/>
      </c>
      <c r="AL66" s="66"/>
      <c r="AM66" s="66"/>
      <c r="AN66" s="66"/>
      <c r="AO66" s="66"/>
      <c r="AP66" s="66"/>
      <c r="AQ66" s="66"/>
      <c r="AR66" s="66"/>
      <c r="AS66" s="66"/>
      <c r="AT66" s="66"/>
      <c r="AU66" s="66"/>
      <c r="AV66" s="66"/>
      <c r="AW66" s="66"/>
      <c r="AX66" s="66"/>
      <c r="AY66" s="66"/>
      <c r="AZ66" s="66"/>
      <c r="BA66" s="66"/>
      <c r="BB66" s="66"/>
      <c r="BC66" s="66"/>
      <c r="BD66" s="66"/>
      <c r="BE66" s="66"/>
      <c r="BF66" s="66"/>
      <c r="BG66" s="66"/>
      <c r="BH66" s="66"/>
      <c r="BI66" s="66"/>
      <c r="BJ66" s="66"/>
      <c r="BK66" s="66"/>
      <c r="BL66" s="66"/>
      <c r="BM66" s="66"/>
      <c r="BN66" s="66"/>
      <c r="BO66" s="66"/>
      <c r="BP66" s="66"/>
      <c r="BQ66" s="66"/>
      <c r="BR66" s="66"/>
      <c r="BS66" s="66"/>
      <c r="BT66" s="66"/>
      <c r="BU66" s="66"/>
      <c r="BV66" s="66"/>
      <c r="BW66" s="64" t="s">
        <v>469</v>
      </c>
    </row>
    <row r="67" customFormat="false" ht="12.75" hidden="false" customHeight="true" outlineLevel="0" collapsed="false">
      <c r="A67" s="54"/>
      <c r="B67" s="55" t="str">
        <f aca="false">IF(AD67="","",IF(ISERROR(FIND(CHAR(10),AD67,1)),AD67,LEFT(AD67,FIND(CHAR(10),AD67,1))))</f>
        <v/>
      </c>
      <c r="C67" s="56" t="str">
        <f aca="false">IF(AD67="","",IFERROR(RIGHT(AD67,LEN(AD67)-FIND("@@@",SUBSTITUTE(AD67,CHAR(10),"@@@",LEN(AD67)-LEN(SUBSTITUTE(AD67,CHAR(10),""))),1)),AD67))</f>
        <v/>
      </c>
      <c r="D67" s="57" t="str">
        <f aca="false">IFERROR(DATE(("20"&amp;MID(B67,7,2))*1,MID(B67,4,2)*1,MID(B67,1,2)*1),"")</f>
        <v/>
      </c>
      <c r="E67" s="57" t="str">
        <f aca="false">IFERROR(DATE(("20"&amp;MID(C67,7,2))*1,MID(C67,4,2)*1,MID(C67,1,2)*1),"")</f>
        <v/>
      </c>
      <c r="F67" s="58" t="n">
        <f aca="false">MAX(D67,IF(E67="none",D67,E67))</f>
        <v>0</v>
      </c>
      <c r="G67" s="59" t="n">
        <f aca="false">IFERROR(DAYS360(D67,F67),0)</f>
        <v>0</v>
      </c>
      <c r="H67" s="59" t="n">
        <f aca="false">((LEN($AE67)-LEN(SUBSTITUTE($AE67,CHAR(10)&amp;". ","")))/3)+IF(LEFT(TRIM($AE67),2)=". ",1,0)</f>
        <v>0</v>
      </c>
      <c r="I67" s="59" t="n">
        <f aca="false">((LEN($AE67)-LEN(SUBSTITUTE($AE67,CHAR(10)&amp;"/ ","")))/3)+IF(LEFT(TRIM($AE67),2)="/ ",1,0)</f>
        <v>0</v>
      </c>
      <c r="J67" s="59" t="n">
        <f aca="false">((LEN($AE67)-LEN(SUBSTITUTE($AE67,CHAR(10)&amp;"~ ","")))/3)+IF(LEFT(TRIM($AE67),2)="~ ",1,0)</f>
        <v>0</v>
      </c>
      <c r="K67" s="59" t="n">
        <f aca="false">((LEN($AE67)-LEN(SUBSTITUTE($AE67,CHAR(10)&amp;"! ","")))/3)+IF(LEFT(TRIM($AE67),2)="! ",1,0)</f>
        <v>0</v>
      </c>
      <c r="L67" s="59" t="n">
        <f aca="false">((LEN($AE67)-LEN(SUBSTITUTE($AE67,CHAR(10)&amp;"x ","")))/3)+IF(LEFT(TRIM($AE67),2)="x ",1,0)</f>
        <v>0</v>
      </c>
      <c r="M67" s="59" t="n">
        <f aca="false">SUM(H67:L67)</f>
        <v>0</v>
      </c>
      <c r="N67" s="60" t="str">
        <f aca="false">IF(F67&gt;(($A$21-WEEKDAY($A$21,2))-7*$F$22),"Y","N")</f>
        <v>N</v>
      </c>
      <c r="O67" s="61" t="str">
        <f aca="false">IF(AB67="","  -  ZZZ","  -  "&amp;X67&amp;Y67&amp;AB67)</f>
        <v>  -  ZZZ</v>
      </c>
      <c r="P67" s="58" t="str">
        <f aca="false">IF(AB67="","",(IF(OR(Q67="Y",Q67="N"),Q67,IF(N67="Y","Y","N"))))</f>
        <v/>
      </c>
      <c r="Q67" s="40"/>
      <c r="R67" s="40"/>
      <c r="S67" s="62"/>
      <c r="T67" s="62"/>
      <c r="U67" s="62"/>
      <c r="V67" s="62"/>
      <c r="W67" s="40"/>
      <c r="X67" s="63"/>
      <c r="Y67" s="64"/>
      <c r="Z67" s="62"/>
      <c r="AA67" s="62"/>
      <c r="AB67" s="64"/>
      <c r="AC67" s="65"/>
      <c r="AD67" s="64"/>
      <c r="AE67" s="64"/>
      <c r="AF67" s="60" t="str">
        <f aca="false">IF(AB67="","",SUM(H67:K67))</f>
        <v/>
      </c>
      <c r="AG67" s="66" t="str">
        <f aca="false">IF(AB67="","",IF(M67&lt;&gt;0,(I67*0.5+L67)/M67,1))</f>
        <v/>
      </c>
      <c r="AH67" s="40"/>
      <c r="AI67" s="67"/>
      <c r="AJ67" s="68"/>
      <c r="AK67" s="69" t="str">
        <f aca="false">IF(AB67="","",AI67*AJ67/8)</f>
        <v/>
      </c>
      <c r="AL67" s="66"/>
      <c r="AM67" s="66"/>
      <c r="AN67" s="66"/>
      <c r="AO67" s="66"/>
      <c r="AP67" s="66"/>
      <c r="AQ67" s="66"/>
      <c r="AR67" s="66"/>
      <c r="AS67" s="66"/>
      <c r="AT67" s="66"/>
      <c r="AU67" s="66"/>
      <c r="AV67" s="66"/>
      <c r="AW67" s="66"/>
      <c r="AX67" s="66"/>
      <c r="AY67" s="66"/>
      <c r="AZ67" s="66"/>
      <c r="BA67" s="66"/>
      <c r="BB67" s="66"/>
      <c r="BC67" s="66"/>
      <c r="BD67" s="66"/>
      <c r="BE67" s="66"/>
      <c r="BF67" s="66"/>
      <c r="BG67" s="66"/>
      <c r="BH67" s="66"/>
      <c r="BI67" s="66"/>
      <c r="BJ67" s="66"/>
      <c r="BK67" s="66"/>
      <c r="BL67" s="66"/>
      <c r="BM67" s="66"/>
      <c r="BN67" s="66"/>
      <c r="BO67" s="66"/>
      <c r="BP67" s="66"/>
      <c r="BQ67" s="66"/>
      <c r="BR67" s="66"/>
      <c r="BS67" s="66"/>
      <c r="BT67" s="66"/>
      <c r="BU67" s="66"/>
      <c r="BV67" s="66"/>
      <c r="BW67" s="64" t="s">
        <v>469</v>
      </c>
    </row>
    <row r="68" customFormat="false" ht="12.75" hidden="false" customHeight="true" outlineLevel="0" collapsed="false">
      <c r="A68" s="54"/>
      <c r="B68" s="55" t="str">
        <f aca="false">IF(AD68="","",IF(ISERROR(FIND(CHAR(10),AD68,1)),AD68,LEFT(AD68,FIND(CHAR(10),AD68,1))))</f>
        <v/>
      </c>
      <c r="C68" s="56" t="str">
        <f aca="false">IF(AD68="","",IFERROR(RIGHT(AD68,LEN(AD68)-FIND("@@@",SUBSTITUTE(AD68,CHAR(10),"@@@",LEN(AD68)-LEN(SUBSTITUTE(AD68,CHAR(10),""))),1)),AD68))</f>
        <v/>
      </c>
      <c r="D68" s="57" t="str">
        <f aca="false">IFERROR(DATE(("20"&amp;MID(B68,7,2))*1,MID(B68,4,2)*1,MID(B68,1,2)*1),"")</f>
        <v/>
      </c>
      <c r="E68" s="57" t="str">
        <f aca="false">IFERROR(DATE(("20"&amp;MID(C68,7,2))*1,MID(C68,4,2)*1,MID(C68,1,2)*1),"")</f>
        <v/>
      </c>
      <c r="F68" s="58" t="n">
        <f aca="false">MAX(D68,IF(E68="none",D68,E68))</f>
        <v>0</v>
      </c>
      <c r="G68" s="59" t="n">
        <f aca="false">IFERROR(DAYS360(D68,F68),0)</f>
        <v>0</v>
      </c>
      <c r="H68" s="59" t="n">
        <f aca="false">((LEN($AE68)-LEN(SUBSTITUTE($AE68,CHAR(10)&amp;". ","")))/3)+IF(LEFT(TRIM($AE68),2)=". ",1,0)</f>
        <v>0</v>
      </c>
      <c r="I68" s="59" t="n">
        <f aca="false">((LEN($AE68)-LEN(SUBSTITUTE($AE68,CHAR(10)&amp;"/ ","")))/3)+IF(LEFT(TRIM($AE68),2)="/ ",1,0)</f>
        <v>0</v>
      </c>
      <c r="J68" s="59" t="n">
        <f aca="false">((LEN($AE68)-LEN(SUBSTITUTE($AE68,CHAR(10)&amp;"~ ","")))/3)+IF(LEFT(TRIM($AE68),2)="~ ",1,0)</f>
        <v>0</v>
      </c>
      <c r="K68" s="59" t="n">
        <f aca="false">((LEN($AE68)-LEN(SUBSTITUTE($AE68,CHAR(10)&amp;"! ","")))/3)+IF(LEFT(TRIM($AE68),2)="! ",1,0)</f>
        <v>0</v>
      </c>
      <c r="L68" s="59" t="n">
        <f aca="false">((LEN($AE68)-LEN(SUBSTITUTE($AE68,CHAR(10)&amp;"x ","")))/3)+IF(LEFT(TRIM($AE68),2)="x ",1,0)</f>
        <v>0</v>
      </c>
      <c r="M68" s="59" t="n">
        <f aca="false">SUM(H68:L68)</f>
        <v>0</v>
      </c>
      <c r="N68" s="60" t="str">
        <f aca="false">IF(F68&gt;(($A$21-WEEKDAY($A$21,2))-7*$F$22),"Y","N")</f>
        <v>N</v>
      </c>
      <c r="O68" s="61" t="str">
        <f aca="false">IF(AB68="","  -  ZZZ","  -  "&amp;X68&amp;Y68&amp;AB68)</f>
        <v>  -  ZZZ</v>
      </c>
      <c r="P68" s="58" t="str">
        <f aca="false">IF(AB68="","",(IF(OR(Q68="Y",Q68="N"),Q68,IF(N68="Y","Y","N"))))</f>
        <v/>
      </c>
      <c r="Q68" s="40"/>
      <c r="R68" s="40"/>
      <c r="S68" s="62"/>
      <c r="T68" s="62"/>
      <c r="U68" s="62"/>
      <c r="V68" s="62"/>
      <c r="W68" s="40"/>
      <c r="X68" s="63"/>
      <c r="Y68" s="64"/>
      <c r="Z68" s="62"/>
      <c r="AA68" s="62"/>
      <c r="AB68" s="64"/>
      <c r="AC68" s="65"/>
      <c r="AD68" s="64"/>
      <c r="AE68" s="64"/>
      <c r="AF68" s="60" t="str">
        <f aca="false">IF(AB68="","",SUM(H68:K68))</f>
        <v/>
      </c>
      <c r="AG68" s="66" t="str">
        <f aca="false">IF(AB68="","",IF(M68&lt;&gt;0,(I68*0.5+L68)/M68,1))</f>
        <v/>
      </c>
      <c r="AH68" s="40"/>
      <c r="AI68" s="67"/>
      <c r="AJ68" s="68"/>
      <c r="AK68" s="69" t="str">
        <f aca="false">IF(AB68="","",AI68*AJ68/8)</f>
        <v/>
      </c>
      <c r="AL68" s="66"/>
      <c r="AM68" s="66"/>
      <c r="AN68" s="66"/>
      <c r="AO68" s="66"/>
      <c r="AP68" s="66"/>
      <c r="AQ68" s="66"/>
      <c r="AR68" s="66"/>
      <c r="AS68" s="66"/>
      <c r="AT68" s="66"/>
      <c r="AU68" s="66"/>
      <c r="AV68" s="66"/>
      <c r="AW68" s="66"/>
      <c r="AX68" s="66"/>
      <c r="AY68" s="66"/>
      <c r="AZ68" s="66"/>
      <c r="BA68" s="66"/>
      <c r="BB68" s="66"/>
      <c r="BC68" s="66"/>
      <c r="BD68" s="66"/>
      <c r="BE68" s="66"/>
      <c r="BF68" s="66"/>
      <c r="BG68" s="66"/>
      <c r="BH68" s="66"/>
      <c r="BI68" s="66"/>
      <c r="BJ68" s="66"/>
      <c r="BK68" s="66"/>
      <c r="BL68" s="66"/>
      <c r="BM68" s="66"/>
      <c r="BN68" s="66"/>
      <c r="BO68" s="66"/>
      <c r="BP68" s="66"/>
      <c r="BQ68" s="66"/>
      <c r="BR68" s="66"/>
      <c r="BS68" s="66"/>
      <c r="BT68" s="66"/>
      <c r="BU68" s="66"/>
      <c r="BV68" s="66"/>
      <c r="BW68" s="64" t="s">
        <v>469</v>
      </c>
    </row>
    <row r="69" customFormat="false" ht="12.75" hidden="false" customHeight="true" outlineLevel="0" collapsed="false">
      <c r="A69" s="54"/>
      <c r="B69" s="55" t="str">
        <f aca="false">IF(AD69="","",IF(ISERROR(FIND(CHAR(10),AD69,1)),AD69,LEFT(AD69,FIND(CHAR(10),AD69,1))))</f>
        <v/>
      </c>
      <c r="C69" s="56" t="str">
        <f aca="false">IF(AD69="","",IFERROR(RIGHT(AD69,LEN(AD69)-FIND("@@@",SUBSTITUTE(AD69,CHAR(10),"@@@",LEN(AD69)-LEN(SUBSTITUTE(AD69,CHAR(10),""))),1)),AD69))</f>
        <v/>
      </c>
      <c r="D69" s="57" t="str">
        <f aca="false">IFERROR(DATE(("20"&amp;MID(B69,7,2))*1,MID(B69,4,2)*1,MID(B69,1,2)*1),"")</f>
        <v/>
      </c>
      <c r="E69" s="57" t="str">
        <f aca="false">IFERROR(DATE(("20"&amp;MID(C69,7,2))*1,MID(C69,4,2)*1,MID(C69,1,2)*1),"")</f>
        <v/>
      </c>
      <c r="F69" s="58" t="n">
        <f aca="false">MAX(D69,IF(E69="none",D69,E69))</f>
        <v>0</v>
      </c>
      <c r="G69" s="59" t="n">
        <f aca="false">IFERROR(DAYS360(D69,F69),0)</f>
        <v>0</v>
      </c>
      <c r="H69" s="59" t="n">
        <f aca="false">((LEN($AE69)-LEN(SUBSTITUTE($AE69,CHAR(10)&amp;". ","")))/3)+IF(LEFT(TRIM($AE69),2)=". ",1,0)</f>
        <v>0</v>
      </c>
      <c r="I69" s="59" t="n">
        <f aca="false">((LEN($AE69)-LEN(SUBSTITUTE($AE69,CHAR(10)&amp;"/ ","")))/3)+IF(LEFT(TRIM($AE69),2)="/ ",1,0)</f>
        <v>0</v>
      </c>
      <c r="J69" s="59" t="n">
        <f aca="false">((LEN($AE69)-LEN(SUBSTITUTE($AE69,CHAR(10)&amp;"~ ","")))/3)+IF(LEFT(TRIM($AE69),2)="~ ",1,0)</f>
        <v>0</v>
      </c>
      <c r="K69" s="59" t="n">
        <f aca="false">((LEN($AE69)-LEN(SUBSTITUTE($AE69,CHAR(10)&amp;"! ","")))/3)+IF(LEFT(TRIM($AE69),2)="! ",1,0)</f>
        <v>0</v>
      </c>
      <c r="L69" s="59" t="n">
        <f aca="false">((LEN($AE69)-LEN(SUBSTITUTE($AE69,CHAR(10)&amp;"x ","")))/3)+IF(LEFT(TRIM($AE69),2)="x ",1,0)</f>
        <v>0</v>
      </c>
      <c r="M69" s="59" t="n">
        <f aca="false">SUM(H69:L69)</f>
        <v>0</v>
      </c>
      <c r="N69" s="60" t="str">
        <f aca="false">IF(F69&gt;(($A$21-WEEKDAY($A$21,2))-7*$F$22),"Y","N")</f>
        <v>N</v>
      </c>
      <c r="O69" s="61" t="str">
        <f aca="false">IF(AB69="","  -  ZZZ","  -  "&amp;X69&amp;Y69&amp;AB69)</f>
        <v>  -  ZZZ</v>
      </c>
      <c r="P69" s="58" t="str">
        <f aca="false">IF(AB69="","",(IF(OR(Q69="Y",Q69="N"),Q69,IF(N69="Y","Y","N"))))</f>
        <v/>
      </c>
      <c r="Q69" s="40"/>
      <c r="R69" s="40"/>
      <c r="S69" s="62"/>
      <c r="T69" s="62"/>
      <c r="U69" s="62"/>
      <c r="V69" s="62"/>
      <c r="W69" s="40"/>
      <c r="X69" s="63"/>
      <c r="Y69" s="64"/>
      <c r="Z69" s="62"/>
      <c r="AA69" s="62"/>
      <c r="AB69" s="64"/>
      <c r="AC69" s="65"/>
      <c r="AD69" s="64"/>
      <c r="AE69" s="64"/>
      <c r="AF69" s="60" t="str">
        <f aca="false">IF(AB69="","",SUM(H69:K69))</f>
        <v/>
      </c>
      <c r="AG69" s="66" t="str">
        <f aca="false">IF(AB69="","",IF(M69&lt;&gt;0,(I69*0.5+L69)/M69,1))</f>
        <v/>
      </c>
      <c r="AH69" s="40"/>
      <c r="AI69" s="67"/>
      <c r="AJ69" s="68"/>
      <c r="AK69" s="69" t="str">
        <f aca="false">IF(AB69="","",AI69*AJ69/8)</f>
        <v/>
      </c>
      <c r="AL69" s="66"/>
      <c r="AM69" s="66"/>
      <c r="AN69" s="66"/>
      <c r="AO69" s="66"/>
      <c r="AP69" s="66"/>
      <c r="AQ69" s="66"/>
      <c r="AR69" s="66"/>
      <c r="AS69" s="66"/>
      <c r="AT69" s="66"/>
      <c r="AU69" s="66"/>
      <c r="AV69" s="66"/>
      <c r="AW69" s="66"/>
      <c r="AX69" s="66"/>
      <c r="AY69" s="66"/>
      <c r="AZ69" s="66"/>
      <c r="BA69" s="66"/>
      <c r="BB69" s="66"/>
      <c r="BC69" s="66"/>
      <c r="BD69" s="66"/>
      <c r="BE69" s="66"/>
      <c r="BF69" s="66"/>
      <c r="BG69" s="66"/>
      <c r="BH69" s="66"/>
      <c r="BI69" s="66"/>
      <c r="BJ69" s="66"/>
      <c r="BK69" s="66"/>
      <c r="BL69" s="66"/>
      <c r="BM69" s="66"/>
      <c r="BN69" s="66"/>
      <c r="BO69" s="66"/>
      <c r="BP69" s="66"/>
      <c r="BQ69" s="66"/>
      <c r="BR69" s="66"/>
      <c r="BS69" s="66"/>
      <c r="BT69" s="66"/>
      <c r="BU69" s="66"/>
      <c r="BV69" s="66"/>
      <c r="BW69" s="64" t="s">
        <v>469</v>
      </c>
    </row>
    <row r="70" customFormat="false" ht="12.75" hidden="false" customHeight="true" outlineLevel="0" collapsed="false">
      <c r="A70" s="54"/>
      <c r="B70" s="55" t="str">
        <f aca="false">IF(AD70="","",IF(ISERROR(FIND(CHAR(10),AD70,1)),AD70,LEFT(AD70,FIND(CHAR(10),AD70,1))))</f>
        <v/>
      </c>
      <c r="C70" s="56" t="str">
        <f aca="false">IF(AD70="","",IFERROR(RIGHT(AD70,LEN(AD70)-FIND("@@@",SUBSTITUTE(AD70,CHAR(10),"@@@",LEN(AD70)-LEN(SUBSTITUTE(AD70,CHAR(10),""))),1)),AD70))</f>
        <v/>
      </c>
      <c r="D70" s="57" t="str">
        <f aca="false">IFERROR(DATE(("20"&amp;MID(B70,7,2))*1,MID(B70,4,2)*1,MID(B70,1,2)*1),"")</f>
        <v/>
      </c>
      <c r="E70" s="57" t="str">
        <f aca="false">IFERROR(DATE(("20"&amp;MID(C70,7,2))*1,MID(C70,4,2)*1,MID(C70,1,2)*1),"")</f>
        <v/>
      </c>
      <c r="F70" s="58" t="n">
        <f aca="false">MAX(D70,IF(E70="none",D70,E70))</f>
        <v>0</v>
      </c>
      <c r="G70" s="59" t="n">
        <f aca="false">IFERROR(DAYS360(D70,F70),0)</f>
        <v>0</v>
      </c>
      <c r="H70" s="59" t="n">
        <f aca="false">((LEN($AE70)-LEN(SUBSTITUTE($AE70,CHAR(10)&amp;". ","")))/3)+IF(LEFT(TRIM($AE70),2)=". ",1,0)</f>
        <v>0</v>
      </c>
      <c r="I70" s="59" t="n">
        <f aca="false">((LEN($AE70)-LEN(SUBSTITUTE($AE70,CHAR(10)&amp;"/ ","")))/3)+IF(LEFT(TRIM($AE70),2)="/ ",1,0)</f>
        <v>0</v>
      </c>
      <c r="J70" s="59" t="n">
        <f aca="false">((LEN($AE70)-LEN(SUBSTITUTE($AE70,CHAR(10)&amp;"~ ","")))/3)+IF(LEFT(TRIM($AE70),2)="~ ",1,0)</f>
        <v>0</v>
      </c>
      <c r="K70" s="59" t="n">
        <f aca="false">((LEN($AE70)-LEN(SUBSTITUTE($AE70,CHAR(10)&amp;"! ","")))/3)+IF(LEFT(TRIM($AE70),2)="! ",1,0)</f>
        <v>0</v>
      </c>
      <c r="L70" s="59" t="n">
        <f aca="false">((LEN($AE70)-LEN(SUBSTITUTE($AE70,CHAR(10)&amp;"x ","")))/3)+IF(LEFT(TRIM($AE70),2)="x ",1,0)</f>
        <v>0</v>
      </c>
      <c r="M70" s="59" t="n">
        <f aca="false">SUM(H70:L70)</f>
        <v>0</v>
      </c>
      <c r="N70" s="60" t="str">
        <f aca="false">IF(F70&gt;(($A$21-WEEKDAY($A$21,2))-7*$F$22),"Y","N")</f>
        <v>N</v>
      </c>
      <c r="O70" s="61" t="str">
        <f aca="false">IF(AB70="","  -  ZZZ","  -  "&amp;X70&amp;Y70&amp;AB70)</f>
        <v>  -  ZZZ</v>
      </c>
      <c r="P70" s="58" t="str">
        <f aca="false">IF(AB70="","",(IF(OR(Q70="Y",Q70="N"),Q70,IF(N70="Y","Y","N"))))</f>
        <v/>
      </c>
      <c r="Q70" s="40"/>
      <c r="R70" s="40"/>
      <c r="S70" s="62"/>
      <c r="T70" s="62"/>
      <c r="U70" s="62"/>
      <c r="V70" s="62"/>
      <c r="W70" s="40"/>
      <c r="X70" s="63"/>
      <c r="Y70" s="64"/>
      <c r="Z70" s="62"/>
      <c r="AA70" s="62"/>
      <c r="AB70" s="64"/>
      <c r="AC70" s="65"/>
      <c r="AD70" s="64"/>
      <c r="AE70" s="64"/>
      <c r="AF70" s="60" t="str">
        <f aca="false">IF(AB70="","",SUM(H70:K70))</f>
        <v/>
      </c>
      <c r="AG70" s="66" t="str">
        <f aca="false">IF(AB70="","",IF(M70&lt;&gt;0,(I70*0.5+L70)/M70,1))</f>
        <v/>
      </c>
      <c r="AH70" s="40"/>
      <c r="AI70" s="67"/>
      <c r="AJ70" s="68"/>
      <c r="AK70" s="69" t="str">
        <f aca="false">IF(AB70="","",AI70*AJ70/8)</f>
        <v/>
      </c>
      <c r="AL70" s="66"/>
      <c r="AM70" s="66"/>
      <c r="AN70" s="66"/>
      <c r="AO70" s="66"/>
      <c r="AP70" s="66"/>
      <c r="AQ70" s="66"/>
      <c r="AR70" s="66"/>
      <c r="AS70" s="66"/>
      <c r="AT70" s="66"/>
      <c r="AU70" s="66"/>
      <c r="AV70" s="66"/>
      <c r="AW70" s="66"/>
      <c r="AX70" s="66"/>
      <c r="AY70" s="66"/>
      <c r="AZ70" s="66"/>
      <c r="BA70" s="66"/>
      <c r="BB70" s="66"/>
      <c r="BC70" s="66"/>
      <c r="BD70" s="66"/>
      <c r="BE70" s="66"/>
      <c r="BF70" s="66"/>
      <c r="BG70" s="66"/>
      <c r="BH70" s="66"/>
      <c r="BI70" s="66"/>
      <c r="BJ70" s="66"/>
      <c r="BK70" s="66"/>
      <c r="BL70" s="66"/>
      <c r="BM70" s="66"/>
      <c r="BN70" s="66"/>
      <c r="BO70" s="66"/>
      <c r="BP70" s="66"/>
      <c r="BQ70" s="66"/>
      <c r="BR70" s="66"/>
      <c r="BS70" s="66"/>
      <c r="BT70" s="66"/>
      <c r="BU70" s="66"/>
      <c r="BV70" s="66"/>
      <c r="BW70" s="64" t="s">
        <v>469</v>
      </c>
    </row>
    <row r="71" customFormat="false" ht="12.75" hidden="false" customHeight="true" outlineLevel="0" collapsed="false">
      <c r="A71" s="54"/>
      <c r="B71" s="55" t="str">
        <f aca="false">IF(AD71="","",IF(ISERROR(FIND(CHAR(10),AD71,1)),AD71,LEFT(AD71,FIND(CHAR(10),AD71,1))))</f>
        <v/>
      </c>
      <c r="C71" s="56" t="str">
        <f aca="false">IF(AD71="","",IFERROR(RIGHT(AD71,LEN(AD71)-FIND("@@@",SUBSTITUTE(AD71,CHAR(10),"@@@",LEN(AD71)-LEN(SUBSTITUTE(AD71,CHAR(10),""))),1)),AD71))</f>
        <v/>
      </c>
      <c r="D71" s="57" t="str">
        <f aca="false">IFERROR(DATE(("20"&amp;MID(B71,7,2))*1,MID(B71,4,2)*1,MID(B71,1,2)*1),"")</f>
        <v/>
      </c>
      <c r="E71" s="57" t="str">
        <f aca="false">IFERROR(DATE(("20"&amp;MID(C71,7,2))*1,MID(C71,4,2)*1,MID(C71,1,2)*1),"")</f>
        <v/>
      </c>
      <c r="F71" s="58" t="n">
        <f aca="false">MAX(D71,IF(E71="none",D71,E71))</f>
        <v>0</v>
      </c>
      <c r="G71" s="59" t="n">
        <f aca="false">IFERROR(DAYS360(D71,F71),0)</f>
        <v>0</v>
      </c>
      <c r="H71" s="59" t="n">
        <f aca="false">((LEN($AE71)-LEN(SUBSTITUTE($AE71,CHAR(10)&amp;". ","")))/3)+IF(LEFT(TRIM($AE71),2)=". ",1,0)</f>
        <v>0</v>
      </c>
      <c r="I71" s="59" t="n">
        <f aca="false">((LEN($AE71)-LEN(SUBSTITUTE($AE71,CHAR(10)&amp;"/ ","")))/3)+IF(LEFT(TRIM($AE71),2)="/ ",1,0)</f>
        <v>0</v>
      </c>
      <c r="J71" s="59" t="n">
        <f aca="false">((LEN($AE71)-LEN(SUBSTITUTE($AE71,CHAR(10)&amp;"~ ","")))/3)+IF(LEFT(TRIM($AE71),2)="~ ",1,0)</f>
        <v>0</v>
      </c>
      <c r="K71" s="59" t="n">
        <f aca="false">((LEN($AE71)-LEN(SUBSTITUTE($AE71,CHAR(10)&amp;"! ","")))/3)+IF(LEFT(TRIM($AE71),2)="! ",1,0)</f>
        <v>0</v>
      </c>
      <c r="L71" s="59" t="n">
        <f aca="false">((LEN($AE71)-LEN(SUBSTITUTE($AE71,CHAR(10)&amp;"x ","")))/3)+IF(LEFT(TRIM($AE71),2)="x ",1,0)</f>
        <v>0</v>
      </c>
      <c r="M71" s="59" t="n">
        <f aca="false">SUM(H71:L71)</f>
        <v>0</v>
      </c>
      <c r="N71" s="60" t="str">
        <f aca="false">IF(F71&gt;(($A$21-WEEKDAY($A$21,2))-7*$F$22),"Y","N")</f>
        <v>N</v>
      </c>
      <c r="O71" s="61" t="str">
        <f aca="false">IF(AB71="","  -  ZZZ","  -  "&amp;X71&amp;Y71&amp;AB71)</f>
        <v>  -  ZZZ</v>
      </c>
      <c r="P71" s="58" t="str">
        <f aca="false">IF(AB71="","",(IF(OR(Q71="Y",Q71="N"),Q71,IF(N71="Y","Y","N"))))</f>
        <v/>
      </c>
      <c r="Q71" s="40"/>
      <c r="R71" s="40"/>
      <c r="S71" s="62"/>
      <c r="T71" s="62"/>
      <c r="U71" s="62"/>
      <c r="V71" s="62"/>
      <c r="W71" s="40"/>
      <c r="X71" s="63"/>
      <c r="Y71" s="64"/>
      <c r="Z71" s="62"/>
      <c r="AA71" s="62"/>
      <c r="AB71" s="64"/>
      <c r="AC71" s="65"/>
      <c r="AD71" s="64"/>
      <c r="AE71" s="64"/>
      <c r="AF71" s="60" t="str">
        <f aca="false">IF(AB71="","",SUM(H71:K71))</f>
        <v/>
      </c>
      <c r="AG71" s="66" t="str">
        <f aca="false">IF(AB71="","",IF(M71&lt;&gt;0,(I71*0.5+L71)/M71,1))</f>
        <v/>
      </c>
      <c r="AH71" s="40"/>
      <c r="AI71" s="67"/>
      <c r="AJ71" s="68"/>
      <c r="AK71" s="69" t="str">
        <f aca="false">IF(AB71="","",AI71*AJ71/8)</f>
        <v/>
      </c>
      <c r="AL71" s="66"/>
      <c r="AM71" s="66"/>
      <c r="AN71" s="66"/>
      <c r="AO71" s="66"/>
      <c r="AP71" s="66"/>
      <c r="AQ71" s="66"/>
      <c r="AR71" s="66"/>
      <c r="AS71" s="66"/>
      <c r="AT71" s="66"/>
      <c r="AU71" s="66"/>
      <c r="AV71" s="66"/>
      <c r="AW71" s="66"/>
      <c r="AX71" s="66"/>
      <c r="AY71" s="66"/>
      <c r="AZ71" s="66"/>
      <c r="BA71" s="66"/>
      <c r="BB71" s="66"/>
      <c r="BC71" s="66"/>
      <c r="BD71" s="66"/>
      <c r="BE71" s="66"/>
      <c r="BF71" s="66"/>
      <c r="BG71" s="66"/>
      <c r="BH71" s="66"/>
      <c r="BI71" s="66"/>
      <c r="BJ71" s="66"/>
      <c r="BK71" s="66"/>
      <c r="BL71" s="66"/>
      <c r="BM71" s="66"/>
      <c r="BN71" s="66"/>
      <c r="BO71" s="66"/>
      <c r="BP71" s="66"/>
      <c r="BQ71" s="66"/>
      <c r="BR71" s="66"/>
      <c r="BS71" s="66"/>
      <c r="BT71" s="66"/>
      <c r="BU71" s="66"/>
      <c r="BV71" s="66"/>
      <c r="BW71" s="64" t="s">
        <v>469</v>
      </c>
    </row>
    <row r="72" customFormat="false" ht="12.75" hidden="false" customHeight="true" outlineLevel="0" collapsed="false">
      <c r="A72" s="54"/>
      <c r="B72" s="55" t="str">
        <f aca="false">IF(AD72="","",IF(ISERROR(FIND(CHAR(10),AD72,1)),AD72,LEFT(AD72,FIND(CHAR(10),AD72,1))))</f>
        <v/>
      </c>
      <c r="C72" s="56" t="str">
        <f aca="false">IF(AD72="","",IFERROR(RIGHT(AD72,LEN(AD72)-FIND("@@@",SUBSTITUTE(AD72,CHAR(10),"@@@",LEN(AD72)-LEN(SUBSTITUTE(AD72,CHAR(10),""))),1)),AD72))</f>
        <v/>
      </c>
      <c r="D72" s="57" t="str">
        <f aca="false">IFERROR(DATE(("20"&amp;MID(B72,7,2))*1,MID(B72,4,2)*1,MID(B72,1,2)*1),"")</f>
        <v/>
      </c>
      <c r="E72" s="57" t="str">
        <f aca="false">IFERROR(DATE(("20"&amp;MID(C72,7,2))*1,MID(C72,4,2)*1,MID(C72,1,2)*1),"")</f>
        <v/>
      </c>
      <c r="F72" s="58" t="n">
        <f aca="false">MAX(D72,IF(E72="none",D72,E72))</f>
        <v>0</v>
      </c>
      <c r="G72" s="59" t="n">
        <f aca="false">IFERROR(DAYS360(D72,F72),0)</f>
        <v>0</v>
      </c>
      <c r="H72" s="59" t="n">
        <f aca="false">((LEN($AE72)-LEN(SUBSTITUTE($AE72,CHAR(10)&amp;". ","")))/3)+IF(LEFT(TRIM($AE72),2)=". ",1,0)</f>
        <v>0</v>
      </c>
      <c r="I72" s="59" t="n">
        <f aca="false">((LEN($AE72)-LEN(SUBSTITUTE($AE72,CHAR(10)&amp;"/ ","")))/3)+IF(LEFT(TRIM($AE72),2)="/ ",1,0)</f>
        <v>0</v>
      </c>
      <c r="J72" s="59" t="n">
        <f aca="false">((LEN($AE72)-LEN(SUBSTITUTE($AE72,CHAR(10)&amp;"~ ","")))/3)+IF(LEFT(TRIM($AE72),2)="~ ",1,0)</f>
        <v>0</v>
      </c>
      <c r="K72" s="59" t="n">
        <f aca="false">((LEN($AE72)-LEN(SUBSTITUTE($AE72,CHAR(10)&amp;"! ","")))/3)+IF(LEFT(TRIM($AE72),2)="! ",1,0)</f>
        <v>0</v>
      </c>
      <c r="L72" s="59" t="n">
        <f aca="false">((LEN($AE72)-LEN(SUBSTITUTE($AE72,CHAR(10)&amp;"x ","")))/3)+IF(LEFT(TRIM($AE72),2)="x ",1,0)</f>
        <v>0</v>
      </c>
      <c r="M72" s="59" t="n">
        <f aca="false">SUM(H72:L72)</f>
        <v>0</v>
      </c>
      <c r="N72" s="60" t="str">
        <f aca="false">IF(F72&gt;(($A$21-WEEKDAY($A$21,2))-7*$F$22),"Y","N")</f>
        <v>N</v>
      </c>
      <c r="O72" s="61" t="str">
        <f aca="false">IF(AB72="","  -  ZZZ","  -  "&amp;X72&amp;Y72&amp;AB72)</f>
        <v>  -  ZZZ</v>
      </c>
      <c r="P72" s="58" t="str">
        <f aca="false">IF(AB72="","",(IF(OR(Q72="Y",Q72="N"),Q72,IF(N72="Y","Y","N"))))</f>
        <v/>
      </c>
      <c r="Q72" s="40"/>
      <c r="R72" s="40"/>
      <c r="S72" s="62"/>
      <c r="T72" s="62"/>
      <c r="U72" s="62"/>
      <c r="V72" s="62"/>
      <c r="W72" s="40"/>
      <c r="X72" s="63"/>
      <c r="Y72" s="64"/>
      <c r="Z72" s="62"/>
      <c r="AA72" s="62"/>
      <c r="AB72" s="64"/>
      <c r="AC72" s="65"/>
      <c r="AD72" s="64"/>
      <c r="AE72" s="64"/>
      <c r="AF72" s="60" t="str">
        <f aca="false">IF(AB72="","",SUM(H72:K72))</f>
        <v/>
      </c>
      <c r="AG72" s="66" t="str">
        <f aca="false">IF(AB72="","",IF(M72&lt;&gt;0,(I72*0.5+L72)/M72,1))</f>
        <v/>
      </c>
      <c r="AH72" s="40"/>
      <c r="AI72" s="67"/>
      <c r="AJ72" s="68"/>
      <c r="AK72" s="69" t="str">
        <f aca="false">IF(AB72="","",AI72*AJ72/8)</f>
        <v/>
      </c>
      <c r="AL72" s="66"/>
      <c r="AM72" s="66"/>
      <c r="AN72" s="66"/>
      <c r="AO72" s="66"/>
      <c r="AP72" s="66"/>
      <c r="AQ72" s="66"/>
      <c r="AR72" s="66"/>
      <c r="AS72" s="66"/>
      <c r="AT72" s="66"/>
      <c r="AU72" s="66"/>
      <c r="AV72" s="66"/>
      <c r="AW72" s="66"/>
      <c r="AX72" s="66"/>
      <c r="AY72" s="66"/>
      <c r="AZ72" s="66"/>
      <c r="BA72" s="66"/>
      <c r="BB72" s="66"/>
      <c r="BC72" s="66"/>
      <c r="BD72" s="66"/>
      <c r="BE72" s="66"/>
      <c r="BF72" s="66"/>
      <c r="BG72" s="66"/>
      <c r="BH72" s="66"/>
      <c r="BI72" s="66"/>
      <c r="BJ72" s="66"/>
      <c r="BK72" s="66"/>
      <c r="BL72" s="66"/>
      <c r="BM72" s="66"/>
      <c r="BN72" s="66"/>
      <c r="BO72" s="66"/>
      <c r="BP72" s="66"/>
      <c r="BQ72" s="66"/>
      <c r="BR72" s="66"/>
      <c r="BS72" s="66"/>
      <c r="BT72" s="66"/>
      <c r="BU72" s="66"/>
      <c r="BV72" s="66"/>
      <c r="BW72" s="64" t="s">
        <v>469</v>
      </c>
    </row>
    <row r="73" customFormat="false" ht="12.75" hidden="false" customHeight="true" outlineLevel="0" collapsed="false">
      <c r="A73" s="54"/>
      <c r="B73" s="55" t="str">
        <f aca="false">IF(AD73="","",IF(ISERROR(FIND(CHAR(10),AD73,1)),AD73,LEFT(AD73,FIND(CHAR(10),AD73,1))))</f>
        <v/>
      </c>
      <c r="C73" s="56" t="str">
        <f aca="false">IF(AD73="","",IFERROR(RIGHT(AD73,LEN(AD73)-FIND("@@@",SUBSTITUTE(AD73,CHAR(10),"@@@",LEN(AD73)-LEN(SUBSTITUTE(AD73,CHAR(10),""))),1)),AD73))</f>
        <v/>
      </c>
      <c r="D73" s="57" t="str">
        <f aca="false">IFERROR(DATE(("20"&amp;MID(B73,7,2))*1,MID(B73,4,2)*1,MID(B73,1,2)*1),"")</f>
        <v/>
      </c>
      <c r="E73" s="57" t="str">
        <f aca="false">IFERROR(DATE(("20"&amp;MID(C73,7,2))*1,MID(C73,4,2)*1,MID(C73,1,2)*1),"")</f>
        <v/>
      </c>
      <c r="F73" s="58" t="n">
        <f aca="false">MAX(D73,IF(E73="none",D73,E73))</f>
        <v>0</v>
      </c>
      <c r="G73" s="59" t="n">
        <f aca="false">IFERROR(DAYS360(D73,F73),0)</f>
        <v>0</v>
      </c>
      <c r="H73" s="59" t="n">
        <f aca="false">((LEN($AE73)-LEN(SUBSTITUTE($AE73,CHAR(10)&amp;". ","")))/3)+IF(LEFT(TRIM($AE73),2)=". ",1,0)</f>
        <v>0</v>
      </c>
      <c r="I73" s="59" t="n">
        <f aca="false">((LEN($AE73)-LEN(SUBSTITUTE($AE73,CHAR(10)&amp;"/ ","")))/3)+IF(LEFT(TRIM($AE73),2)="/ ",1,0)</f>
        <v>0</v>
      </c>
      <c r="J73" s="59" t="n">
        <f aca="false">((LEN($AE73)-LEN(SUBSTITUTE($AE73,CHAR(10)&amp;"~ ","")))/3)+IF(LEFT(TRIM($AE73),2)="~ ",1,0)</f>
        <v>0</v>
      </c>
      <c r="K73" s="59" t="n">
        <f aca="false">((LEN($AE73)-LEN(SUBSTITUTE($AE73,CHAR(10)&amp;"! ","")))/3)+IF(LEFT(TRIM($AE73),2)="! ",1,0)</f>
        <v>0</v>
      </c>
      <c r="L73" s="59" t="n">
        <f aca="false">((LEN($AE73)-LEN(SUBSTITUTE($AE73,CHAR(10)&amp;"x ","")))/3)+IF(LEFT(TRIM($AE73),2)="x ",1,0)</f>
        <v>0</v>
      </c>
      <c r="M73" s="59" t="n">
        <f aca="false">SUM(H73:L73)</f>
        <v>0</v>
      </c>
      <c r="N73" s="60" t="str">
        <f aca="false">IF(F73&gt;(($A$21-WEEKDAY($A$21,2))-7*$F$22),"Y","N")</f>
        <v>N</v>
      </c>
      <c r="O73" s="61" t="str">
        <f aca="false">IF(AB73="","  -  ZZZ","  -  "&amp;X73&amp;Y73&amp;AB73)</f>
        <v>  -  ZZZ</v>
      </c>
      <c r="P73" s="58" t="str">
        <f aca="false">IF(AB73="","",(IF(OR(Q73="Y",Q73="N"),Q73,IF(N73="Y","Y","N"))))</f>
        <v/>
      </c>
      <c r="Q73" s="40"/>
      <c r="R73" s="40"/>
      <c r="S73" s="62"/>
      <c r="T73" s="62"/>
      <c r="U73" s="62"/>
      <c r="V73" s="62"/>
      <c r="W73" s="40"/>
      <c r="X73" s="63"/>
      <c r="Y73" s="64"/>
      <c r="Z73" s="62"/>
      <c r="AA73" s="62"/>
      <c r="AB73" s="64"/>
      <c r="AC73" s="65"/>
      <c r="AD73" s="64"/>
      <c r="AE73" s="64"/>
      <c r="AF73" s="60" t="str">
        <f aca="false">IF(AB73="","",SUM(H73:K73))</f>
        <v/>
      </c>
      <c r="AG73" s="66" t="str">
        <f aca="false">IF(AB73="","",IF(M73&lt;&gt;0,(I73*0.5+L73)/M73,1))</f>
        <v/>
      </c>
      <c r="AH73" s="40"/>
      <c r="AI73" s="67"/>
      <c r="AJ73" s="68"/>
      <c r="AK73" s="69" t="str">
        <f aca="false">IF(AB73="","",AI73*AJ73/8)</f>
        <v/>
      </c>
      <c r="AL73" s="66"/>
      <c r="AM73" s="66"/>
      <c r="AN73" s="66"/>
      <c r="AO73" s="66"/>
      <c r="AP73" s="66"/>
      <c r="AQ73" s="66"/>
      <c r="AR73" s="66"/>
      <c r="AS73" s="66"/>
      <c r="AT73" s="66"/>
      <c r="AU73" s="66"/>
      <c r="AV73" s="66"/>
      <c r="AW73" s="66"/>
      <c r="AX73" s="66"/>
      <c r="AY73" s="66"/>
      <c r="AZ73" s="66"/>
      <c r="BA73" s="66"/>
      <c r="BB73" s="66"/>
      <c r="BC73" s="66"/>
      <c r="BD73" s="66"/>
      <c r="BE73" s="66"/>
      <c r="BF73" s="66"/>
      <c r="BG73" s="66"/>
      <c r="BH73" s="66"/>
      <c r="BI73" s="66"/>
      <c r="BJ73" s="66"/>
      <c r="BK73" s="66"/>
      <c r="BL73" s="66"/>
      <c r="BM73" s="66"/>
      <c r="BN73" s="66"/>
      <c r="BO73" s="66"/>
      <c r="BP73" s="66"/>
      <c r="BQ73" s="66"/>
      <c r="BR73" s="66"/>
      <c r="BS73" s="66"/>
      <c r="BT73" s="66"/>
      <c r="BU73" s="66"/>
      <c r="BV73" s="66"/>
      <c r="BW73" s="64" t="s">
        <v>469</v>
      </c>
    </row>
    <row r="74" customFormat="false" ht="12.75" hidden="false" customHeight="true" outlineLevel="0" collapsed="false">
      <c r="A74" s="54"/>
      <c r="B74" s="55" t="str">
        <f aca="false">IF(AD74="","",IF(ISERROR(FIND(CHAR(10),AD74,1)),AD74,LEFT(AD74,FIND(CHAR(10),AD74,1))))</f>
        <v/>
      </c>
      <c r="C74" s="56" t="str">
        <f aca="false">IF(AD74="","",IFERROR(RIGHT(AD74,LEN(AD74)-FIND("@@@",SUBSTITUTE(AD74,CHAR(10),"@@@",LEN(AD74)-LEN(SUBSTITUTE(AD74,CHAR(10),""))),1)),AD74))</f>
        <v/>
      </c>
      <c r="D74" s="57" t="str">
        <f aca="false">IFERROR(DATE(("20"&amp;MID(B74,7,2))*1,MID(B74,4,2)*1,MID(B74,1,2)*1),"")</f>
        <v/>
      </c>
      <c r="E74" s="57" t="str">
        <f aca="false">IFERROR(DATE(("20"&amp;MID(C74,7,2))*1,MID(C74,4,2)*1,MID(C74,1,2)*1),"")</f>
        <v/>
      </c>
      <c r="F74" s="58" t="n">
        <f aca="false">MAX(D74,IF(E74="none",D74,E74))</f>
        <v>0</v>
      </c>
      <c r="G74" s="59" t="n">
        <f aca="false">IFERROR(DAYS360(D74,F74),0)</f>
        <v>0</v>
      </c>
      <c r="H74" s="59" t="n">
        <f aca="false">((LEN($AE74)-LEN(SUBSTITUTE($AE74,CHAR(10)&amp;". ","")))/3)+IF(LEFT(TRIM($AE74),2)=". ",1,0)</f>
        <v>0</v>
      </c>
      <c r="I74" s="59" t="n">
        <f aca="false">((LEN($AE74)-LEN(SUBSTITUTE($AE74,CHAR(10)&amp;"/ ","")))/3)+IF(LEFT(TRIM($AE74),2)="/ ",1,0)</f>
        <v>0</v>
      </c>
      <c r="J74" s="59" t="n">
        <f aca="false">((LEN($AE74)-LEN(SUBSTITUTE($AE74,CHAR(10)&amp;"~ ","")))/3)+IF(LEFT(TRIM($AE74),2)="~ ",1,0)</f>
        <v>0</v>
      </c>
      <c r="K74" s="59" t="n">
        <f aca="false">((LEN($AE74)-LEN(SUBSTITUTE($AE74,CHAR(10)&amp;"! ","")))/3)+IF(LEFT(TRIM($AE74),2)="! ",1,0)</f>
        <v>0</v>
      </c>
      <c r="L74" s="59" t="n">
        <f aca="false">((LEN($AE74)-LEN(SUBSTITUTE($AE74,CHAR(10)&amp;"x ","")))/3)+IF(LEFT(TRIM($AE74),2)="x ",1,0)</f>
        <v>0</v>
      </c>
      <c r="M74" s="59" t="n">
        <f aca="false">SUM(H74:L74)</f>
        <v>0</v>
      </c>
      <c r="N74" s="60" t="str">
        <f aca="false">IF(F74&gt;(($A$21-WEEKDAY($A$21,2))-7*$F$22),"Y","N")</f>
        <v>N</v>
      </c>
      <c r="O74" s="61" t="str">
        <f aca="false">IF(AB74="","  -  ZZZ","  -  "&amp;X74&amp;Y74&amp;AB74)</f>
        <v>  -  ZZZ</v>
      </c>
      <c r="P74" s="58" t="str">
        <f aca="false">IF(AB74="","",(IF(OR(Q74="Y",Q74="N"),Q74,IF(N74="Y","Y","N"))))</f>
        <v/>
      </c>
      <c r="Q74" s="40"/>
      <c r="R74" s="40"/>
      <c r="S74" s="62"/>
      <c r="T74" s="62"/>
      <c r="U74" s="62"/>
      <c r="V74" s="62"/>
      <c r="W74" s="40"/>
      <c r="X74" s="63"/>
      <c r="Y74" s="64"/>
      <c r="Z74" s="62"/>
      <c r="AA74" s="62"/>
      <c r="AB74" s="64"/>
      <c r="AC74" s="65"/>
      <c r="AD74" s="64"/>
      <c r="AE74" s="64"/>
      <c r="AF74" s="60" t="str">
        <f aca="false">IF(AB74="","",SUM(H74:K74))</f>
        <v/>
      </c>
      <c r="AG74" s="66" t="str">
        <f aca="false">IF(AB74="","",IF(M74&lt;&gt;0,(I74*0.5+L74)/M74,1))</f>
        <v/>
      </c>
      <c r="AH74" s="40"/>
      <c r="AI74" s="67"/>
      <c r="AJ74" s="68"/>
      <c r="AK74" s="69" t="str">
        <f aca="false">IF(AB74="","",AI74*AJ74/8)</f>
        <v/>
      </c>
      <c r="AL74" s="66"/>
      <c r="AM74" s="66"/>
      <c r="AN74" s="66"/>
      <c r="AO74" s="66"/>
      <c r="AP74" s="66"/>
      <c r="AQ74" s="66"/>
      <c r="AR74" s="66"/>
      <c r="AS74" s="66"/>
      <c r="AT74" s="66"/>
      <c r="AU74" s="66"/>
      <c r="AV74" s="66"/>
      <c r="AW74" s="66"/>
      <c r="AX74" s="66"/>
      <c r="AY74" s="66"/>
      <c r="AZ74" s="66"/>
      <c r="BA74" s="66"/>
      <c r="BB74" s="66"/>
      <c r="BC74" s="66"/>
      <c r="BD74" s="66"/>
      <c r="BE74" s="66"/>
      <c r="BF74" s="66"/>
      <c r="BG74" s="66"/>
      <c r="BH74" s="66"/>
      <c r="BI74" s="66"/>
      <c r="BJ74" s="66"/>
      <c r="BK74" s="66"/>
      <c r="BL74" s="66"/>
      <c r="BM74" s="66"/>
      <c r="BN74" s="66"/>
      <c r="BO74" s="66"/>
      <c r="BP74" s="66"/>
      <c r="BQ74" s="66"/>
      <c r="BR74" s="66"/>
      <c r="BS74" s="66"/>
      <c r="BT74" s="66"/>
      <c r="BU74" s="66"/>
      <c r="BV74" s="66"/>
      <c r="BW74" s="64" t="s">
        <v>469</v>
      </c>
    </row>
    <row r="75" customFormat="false" ht="12.75" hidden="false" customHeight="true" outlineLevel="0" collapsed="false">
      <c r="A75" s="54"/>
      <c r="B75" s="55" t="str">
        <f aca="false">IF(AD75="","",IF(ISERROR(FIND(CHAR(10),AD75,1)),AD75,LEFT(AD75,FIND(CHAR(10),AD75,1))))</f>
        <v/>
      </c>
      <c r="C75" s="56" t="str">
        <f aca="false">IF(AD75="","",IFERROR(RIGHT(AD75,LEN(AD75)-FIND("@@@",SUBSTITUTE(AD75,CHAR(10),"@@@",LEN(AD75)-LEN(SUBSTITUTE(AD75,CHAR(10),""))),1)),AD75))</f>
        <v/>
      </c>
      <c r="D75" s="57" t="str">
        <f aca="false">IFERROR(DATE(("20"&amp;MID(B75,7,2))*1,MID(B75,4,2)*1,MID(B75,1,2)*1),"")</f>
        <v/>
      </c>
      <c r="E75" s="57" t="str">
        <f aca="false">IFERROR(DATE(("20"&amp;MID(C75,7,2))*1,MID(C75,4,2)*1,MID(C75,1,2)*1),"")</f>
        <v/>
      </c>
      <c r="F75" s="58" t="n">
        <f aca="false">MAX(D75,IF(E75="none",D75,E75))</f>
        <v>0</v>
      </c>
      <c r="G75" s="59" t="n">
        <f aca="false">IFERROR(DAYS360(D75,F75),0)</f>
        <v>0</v>
      </c>
      <c r="H75" s="59" t="n">
        <f aca="false">((LEN($AE75)-LEN(SUBSTITUTE($AE75,CHAR(10)&amp;". ","")))/3)+IF(LEFT(TRIM($AE75),2)=". ",1,0)</f>
        <v>0</v>
      </c>
      <c r="I75" s="59" t="n">
        <f aca="false">((LEN($AE75)-LEN(SUBSTITUTE($AE75,CHAR(10)&amp;"/ ","")))/3)+IF(LEFT(TRIM($AE75),2)="/ ",1,0)</f>
        <v>0</v>
      </c>
      <c r="J75" s="59" t="n">
        <f aca="false">((LEN($AE75)-LEN(SUBSTITUTE($AE75,CHAR(10)&amp;"~ ","")))/3)+IF(LEFT(TRIM($AE75),2)="~ ",1,0)</f>
        <v>0</v>
      </c>
      <c r="K75" s="59" t="n">
        <f aca="false">((LEN($AE75)-LEN(SUBSTITUTE($AE75,CHAR(10)&amp;"! ","")))/3)+IF(LEFT(TRIM($AE75),2)="! ",1,0)</f>
        <v>0</v>
      </c>
      <c r="L75" s="59" t="n">
        <f aca="false">((LEN($AE75)-LEN(SUBSTITUTE($AE75,CHAR(10)&amp;"x ","")))/3)+IF(LEFT(TRIM($AE75),2)="x ",1,0)</f>
        <v>0</v>
      </c>
      <c r="M75" s="59" t="n">
        <f aca="false">SUM(H75:L75)</f>
        <v>0</v>
      </c>
      <c r="N75" s="60" t="str">
        <f aca="false">IF(F75&gt;(($A$21-WEEKDAY($A$21,2))-7*$F$22),"Y","N")</f>
        <v>N</v>
      </c>
      <c r="O75" s="61" t="str">
        <f aca="false">IF(AB75="","  -  ZZZ","  -  "&amp;X75&amp;Y75&amp;AB75)</f>
        <v>  -  ZZZ</v>
      </c>
      <c r="P75" s="58" t="str">
        <f aca="false">IF(AB75="","",(IF(OR(Q75="Y",Q75="N"),Q75,IF(N75="Y","Y","N"))))</f>
        <v/>
      </c>
      <c r="Q75" s="40"/>
      <c r="R75" s="40"/>
      <c r="S75" s="62"/>
      <c r="T75" s="62"/>
      <c r="U75" s="62"/>
      <c r="V75" s="62"/>
      <c r="W75" s="40"/>
      <c r="X75" s="63"/>
      <c r="Y75" s="64"/>
      <c r="Z75" s="62"/>
      <c r="AA75" s="62"/>
      <c r="AB75" s="64"/>
      <c r="AC75" s="65"/>
      <c r="AD75" s="64"/>
      <c r="AE75" s="64"/>
      <c r="AF75" s="60" t="str">
        <f aca="false">IF(AB75="","",SUM(H75:K75))</f>
        <v/>
      </c>
      <c r="AG75" s="66" t="str">
        <f aca="false">IF(AB75="","",IF(M75&lt;&gt;0,(I75*0.5+L75)/M75,1))</f>
        <v/>
      </c>
      <c r="AH75" s="40"/>
      <c r="AI75" s="67"/>
      <c r="AJ75" s="68"/>
      <c r="AK75" s="69" t="str">
        <f aca="false">IF(AB75="","",AI75*AJ75/8)</f>
        <v/>
      </c>
      <c r="AL75" s="66"/>
      <c r="AM75" s="66"/>
      <c r="AN75" s="66"/>
      <c r="AO75" s="66"/>
      <c r="AP75" s="66"/>
      <c r="AQ75" s="66"/>
      <c r="AR75" s="66"/>
      <c r="AS75" s="66"/>
      <c r="AT75" s="66"/>
      <c r="AU75" s="66"/>
      <c r="AV75" s="66"/>
      <c r="AW75" s="66"/>
      <c r="AX75" s="66"/>
      <c r="AY75" s="66"/>
      <c r="AZ75" s="66"/>
      <c r="BA75" s="66"/>
      <c r="BB75" s="66"/>
      <c r="BC75" s="66"/>
      <c r="BD75" s="66"/>
      <c r="BE75" s="66"/>
      <c r="BF75" s="66"/>
      <c r="BG75" s="66"/>
      <c r="BH75" s="66"/>
      <c r="BI75" s="66"/>
      <c r="BJ75" s="66"/>
      <c r="BK75" s="66"/>
      <c r="BL75" s="66"/>
      <c r="BM75" s="66"/>
      <c r="BN75" s="66"/>
      <c r="BO75" s="66"/>
      <c r="BP75" s="66"/>
      <c r="BQ75" s="66"/>
      <c r="BR75" s="66"/>
      <c r="BS75" s="66"/>
      <c r="BT75" s="66"/>
      <c r="BU75" s="66"/>
      <c r="BV75" s="66"/>
      <c r="BW75" s="64" t="s">
        <v>469</v>
      </c>
    </row>
    <row r="76" customFormat="false" ht="12.75" hidden="false" customHeight="true" outlineLevel="0" collapsed="false">
      <c r="A76" s="54"/>
      <c r="B76" s="55" t="str">
        <f aca="false">IF(AD76="","",IF(ISERROR(FIND(CHAR(10),AD76,1)),AD76,LEFT(AD76,FIND(CHAR(10),AD76,1))))</f>
        <v/>
      </c>
      <c r="C76" s="56" t="str">
        <f aca="false">IF(AD76="","",IFERROR(RIGHT(AD76,LEN(AD76)-FIND("@@@",SUBSTITUTE(AD76,CHAR(10),"@@@",LEN(AD76)-LEN(SUBSTITUTE(AD76,CHAR(10),""))),1)),AD76))</f>
        <v/>
      </c>
      <c r="D76" s="57" t="str">
        <f aca="false">IFERROR(DATE(("20"&amp;MID(B76,7,2))*1,MID(B76,4,2)*1,MID(B76,1,2)*1),"")</f>
        <v/>
      </c>
      <c r="E76" s="57" t="str">
        <f aca="false">IFERROR(DATE(("20"&amp;MID(C76,7,2))*1,MID(C76,4,2)*1,MID(C76,1,2)*1),"")</f>
        <v/>
      </c>
      <c r="F76" s="58" t="n">
        <f aca="false">MAX(D76,IF(E76="none",D76,E76))</f>
        <v>0</v>
      </c>
      <c r="G76" s="59" t="n">
        <f aca="false">IFERROR(DAYS360(D76,F76),0)</f>
        <v>0</v>
      </c>
      <c r="H76" s="59" t="n">
        <f aca="false">((LEN($AE76)-LEN(SUBSTITUTE($AE76,CHAR(10)&amp;". ","")))/3)+IF(LEFT(TRIM($AE76),2)=". ",1,0)</f>
        <v>0</v>
      </c>
      <c r="I76" s="59" t="n">
        <f aca="false">((LEN($AE76)-LEN(SUBSTITUTE($AE76,CHAR(10)&amp;"/ ","")))/3)+IF(LEFT(TRIM($AE76),2)="/ ",1,0)</f>
        <v>0</v>
      </c>
      <c r="J76" s="59" t="n">
        <f aca="false">((LEN($AE76)-LEN(SUBSTITUTE($AE76,CHAR(10)&amp;"~ ","")))/3)+IF(LEFT(TRIM($AE76),2)="~ ",1,0)</f>
        <v>0</v>
      </c>
      <c r="K76" s="59" t="n">
        <f aca="false">((LEN($AE76)-LEN(SUBSTITUTE($AE76,CHAR(10)&amp;"! ","")))/3)+IF(LEFT(TRIM($AE76),2)="! ",1,0)</f>
        <v>0</v>
      </c>
      <c r="L76" s="59" t="n">
        <f aca="false">((LEN($AE76)-LEN(SUBSTITUTE($AE76,CHAR(10)&amp;"x ","")))/3)+IF(LEFT(TRIM($AE76),2)="x ",1,0)</f>
        <v>0</v>
      </c>
      <c r="M76" s="59" t="n">
        <f aca="false">SUM(H76:L76)</f>
        <v>0</v>
      </c>
      <c r="N76" s="60" t="str">
        <f aca="false">IF(F76&gt;(($A$21-WEEKDAY($A$21,2))-7*$F$22),"Y","N")</f>
        <v>N</v>
      </c>
      <c r="O76" s="61" t="str">
        <f aca="false">IF(AB76="","  -  ZZZ","  -  "&amp;X76&amp;Y76&amp;AB76)</f>
        <v>  -  ZZZ</v>
      </c>
      <c r="P76" s="58" t="str">
        <f aca="false">IF(AB76="","",(IF(OR(Q76="Y",Q76="N"),Q76,IF(N76="Y","Y","N"))))</f>
        <v/>
      </c>
      <c r="Q76" s="40"/>
      <c r="R76" s="40"/>
      <c r="S76" s="62"/>
      <c r="T76" s="62"/>
      <c r="U76" s="62"/>
      <c r="V76" s="62"/>
      <c r="W76" s="40"/>
      <c r="X76" s="63"/>
      <c r="Y76" s="64"/>
      <c r="Z76" s="62"/>
      <c r="AA76" s="62"/>
      <c r="AB76" s="64"/>
      <c r="AC76" s="65"/>
      <c r="AD76" s="64"/>
      <c r="AE76" s="64"/>
      <c r="AF76" s="60" t="str">
        <f aca="false">IF(AB76="","",SUM(H76:K76))</f>
        <v/>
      </c>
      <c r="AG76" s="66" t="str">
        <f aca="false">IF(AB76="","",IF(M76&lt;&gt;0,(I76*0.5+L76)/M76,1))</f>
        <v/>
      </c>
      <c r="AH76" s="40"/>
      <c r="AI76" s="67"/>
      <c r="AJ76" s="68"/>
      <c r="AK76" s="69" t="str">
        <f aca="false">IF(AB76="","",AI76*AJ76/8)</f>
        <v/>
      </c>
      <c r="AL76" s="66"/>
      <c r="AM76" s="66"/>
      <c r="AN76" s="66"/>
      <c r="AO76" s="66"/>
      <c r="AP76" s="66"/>
      <c r="AQ76" s="66"/>
      <c r="AR76" s="66"/>
      <c r="AS76" s="66"/>
      <c r="AT76" s="66"/>
      <c r="AU76" s="66"/>
      <c r="AV76" s="66"/>
      <c r="AW76" s="66"/>
      <c r="AX76" s="66"/>
      <c r="AY76" s="66"/>
      <c r="AZ76" s="66"/>
      <c r="BA76" s="66"/>
      <c r="BB76" s="66"/>
      <c r="BC76" s="66"/>
      <c r="BD76" s="66"/>
      <c r="BE76" s="66"/>
      <c r="BF76" s="66"/>
      <c r="BG76" s="66"/>
      <c r="BH76" s="66"/>
      <c r="BI76" s="66"/>
      <c r="BJ76" s="66"/>
      <c r="BK76" s="66"/>
      <c r="BL76" s="66"/>
      <c r="BM76" s="66"/>
      <c r="BN76" s="66"/>
      <c r="BO76" s="66"/>
      <c r="BP76" s="66"/>
      <c r="BQ76" s="66"/>
      <c r="BR76" s="66"/>
      <c r="BS76" s="66"/>
      <c r="BT76" s="66"/>
      <c r="BU76" s="66"/>
      <c r="BV76" s="66"/>
      <c r="BW76" s="64" t="s">
        <v>469</v>
      </c>
    </row>
    <row r="77" customFormat="false" ht="12.75" hidden="false" customHeight="true" outlineLevel="0" collapsed="false">
      <c r="A77" s="54"/>
      <c r="B77" s="55" t="str">
        <f aca="false">IF(AD77="","",IF(ISERROR(FIND(CHAR(10),AD77,1)),AD77,LEFT(AD77,FIND(CHAR(10),AD77,1))))</f>
        <v/>
      </c>
      <c r="C77" s="56" t="str">
        <f aca="false">IF(AD77="","",IFERROR(RIGHT(AD77,LEN(AD77)-FIND("@@@",SUBSTITUTE(AD77,CHAR(10),"@@@",LEN(AD77)-LEN(SUBSTITUTE(AD77,CHAR(10),""))),1)),AD77))</f>
        <v/>
      </c>
      <c r="D77" s="57" t="str">
        <f aca="false">IFERROR(DATE(("20"&amp;MID(B77,7,2))*1,MID(B77,4,2)*1,MID(B77,1,2)*1),"")</f>
        <v/>
      </c>
      <c r="E77" s="57" t="str">
        <f aca="false">IFERROR(DATE(("20"&amp;MID(C77,7,2))*1,MID(C77,4,2)*1,MID(C77,1,2)*1),"")</f>
        <v/>
      </c>
      <c r="F77" s="58" t="n">
        <f aca="false">MAX(D77,IF(E77="none",D77,E77))</f>
        <v>0</v>
      </c>
      <c r="G77" s="59" t="n">
        <f aca="false">IFERROR(DAYS360(D77,F77),0)</f>
        <v>0</v>
      </c>
      <c r="H77" s="59" t="n">
        <f aca="false">((LEN($AE77)-LEN(SUBSTITUTE($AE77,CHAR(10)&amp;". ","")))/3)+IF(LEFT(TRIM($AE77),2)=". ",1,0)</f>
        <v>0</v>
      </c>
      <c r="I77" s="59" t="n">
        <f aca="false">((LEN($AE77)-LEN(SUBSTITUTE($AE77,CHAR(10)&amp;"/ ","")))/3)+IF(LEFT(TRIM($AE77),2)="/ ",1,0)</f>
        <v>0</v>
      </c>
      <c r="J77" s="59" t="n">
        <f aca="false">((LEN($AE77)-LEN(SUBSTITUTE($AE77,CHAR(10)&amp;"~ ","")))/3)+IF(LEFT(TRIM($AE77),2)="~ ",1,0)</f>
        <v>0</v>
      </c>
      <c r="K77" s="59" t="n">
        <f aca="false">((LEN($AE77)-LEN(SUBSTITUTE($AE77,CHAR(10)&amp;"! ","")))/3)+IF(LEFT(TRIM($AE77),2)="! ",1,0)</f>
        <v>0</v>
      </c>
      <c r="L77" s="59" t="n">
        <f aca="false">((LEN($AE77)-LEN(SUBSTITUTE($AE77,CHAR(10)&amp;"x ","")))/3)+IF(LEFT(TRIM($AE77),2)="x ",1,0)</f>
        <v>0</v>
      </c>
      <c r="M77" s="59" t="n">
        <f aca="false">SUM(H77:L77)</f>
        <v>0</v>
      </c>
      <c r="N77" s="60" t="str">
        <f aca="false">IF(F77&gt;(($A$21-WEEKDAY($A$21,2))-7*$F$22),"Y","N")</f>
        <v>N</v>
      </c>
      <c r="O77" s="61" t="str">
        <f aca="false">IF(AB77="","  -  ZZZ","  -  "&amp;X77&amp;Y77&amp;AB77)</f>
        <v>  -  ZZZ</v>
      </c>
      <c r="P77" s="58" t="str">
        <f aca="false">IF(AB77="","",(IF(OR(Q77="Y",Q77="N"),Q77,IF(N77="Y","Y","N"))))</f>
        <v/>
      </c>
      <c r="Q77" s="40"/>
      <c r="R77" s="40"/>
      <c r="S77" s="62"/>
      <c r="T77" s="62"/>
      <c r="U77" s="62"/>
      <c r="V77" s="62"/>
      <c r="W77" s="40"/>
      <c r="X77" s="63"/>
      <c r="Y77" s="64"/>
      <c r="Z77" s="62"/>
      <c r="AA77" s="62"/>
      <c r="AB77" s="64"/>
      <c r="AC77" s="65"/>
      <c r="AD77" s="64"/>
      <c r="AE77" s="64"/>
      <c r="AF77" s="60" t="str">
        <f aca="false">IF(AB77="","",SUM(H77:K77))</f>
        <v/>
      </c>
      <c r="AG77" s="66" t="str">
        <f aca="false">IF(AB77="","",IF(M77&lt;&gt;0,(I77*0.5+L77)/M77,1))</f>
        <v/>
      </c>
      <c r="AH77" s="40"/>
      <c r="AI77" s="67"/>
      <c r="AJ77" s="68"/>
      <c r="AK77" s="69" t="str">
        <f aca="false">IF(AB77="","",AI77*AJ77/8)</f>
        <v/>
      </c>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66"/>
      <c r="BL77" s="66"/>
      <c r="BM77" s="66"/>
      <c r="BN77" s="66"/>
      <c r="BO77" s="66"/>
      <c r="BP77" s="66"/>
      <c r="BQ77" s="66"/>
      <c r="BR77" s="66"/>
      <c r="BS77" s="66"/>
      <c r="BT77" s="66"/>
      <c r="BU77" s="66"/>
      <c r="BV77" s="66"/>
      <c r="BW77" s="64" t="s">
        <v>469</v>
      </c>
    </row>
    <row r="78" customFormat="false" ht="12.75" hidden="false" customHeight="true" outlineLevel="0" collapsed="false">
      <c r="A78" s="54"/>
      <c r="B78" s="55" t="str">
        <f aca="false">IF(AD78="","",IF(ISERROR(FIND(CHAR(10),AD78,1)),AD78,LEFT(AD78,FIND(CHAR(10),AD78,1))))</f>
        <v/>
      </c>
      <c r="C78" s="56" t="str">
        <f aca="false">IF(AD78="","",IFERROR(RIGHT(AD78,LEN(AD78)-FIND("@@@",SUBSTITUTE(AD78,CHAR(10),"@@@",LEN(AD78)-LEN(SUBSTITUTE(AD78,CHAR(10),""))),1)),AD78))</f>
        <v/>
      </c>
      <c r="D78" s="57" t="str">
        <f aca="false">IFERROR(DATE(("20"&amp;MID(B78,7,2))*1,MID(B78,4,2)*1,MID(B78,1,2)*1),"")</f>
        <v/>
      </c>
      <c r="E78" s="57" t="str">
        <f aca="false">IFERROR(DATE(("20"&amp;MID(C78,7,2))*1,MID(C78,4,2)*1,MID(C78,1,2)*1),"")</f>
        <v/>
      </c>
      <c r="F78" s="58" t="n">
        <f aca="false">MAX(D78,IF(E78="none",D78,E78))</f>
        <v>0</v>
      </c>
      <c r="G78" s="59" t="n">
        <f aca="false">IFERROR(DAYS360(D78,F78),0)</f>
        <v>0</v>
      </c>
      <c r="H78" s="59" t="n">
        <f aca="false">((LEN($AE78)-LEN(SUBSTITUTE($AE78,CHAR(10)&amp;". ","")))/3)+IF(LEFT(TRIM($AE78),2)=". ",1,0)</f>
        <v>0</v>
      </c>
      <c r="I78" s="59" t="n">
        <f aca="false">((LEN($AE78)-LEN(SUBSTITUTE($AE78,CHAR(10)&amp;"/ ","")))/3)+IF(LEFT(TRIM($AE78),2)="/ ",1,0)</f>
        <v>0</v>
      </c>
      <c r="J78" s="59" t="n">
        <f aca="false">((LEN($AE78)-LEN(SUBSTITUTE($AE78,CHAR(10)&amp;"~ ","")))/3)+IF(LEFT(TRIM($AE78),2)="~ ",1,0)</f>
        <v>0</v>
      </c>
      <c r="K78" s="59" t="n">
        <f aca="false">((LEN($AE78)-LEN(SUBSTITUTE($AE78,CHAR(10)&amp;"! ","")))/3)+IF(LEFT(TRIM($AE78),2)="! ",1,0)</f>
        <v>0</v>
      </c>
      <c r="L78" s="59" t="n">
        <f aca="false">((LEN($AE78)-LEN(SUBSTITUTE($AE78,CHAR(10)&amp;"x ","")))/3)+IF(LEFT(TRIM($AE78),2)="x ",1,0)</f>
        <v>0</v>
      </c>
      <c r="M78" s="59" t="n">
        <f aca="false">SUM(H78:L78)</f>
        <v>0</v>
      </c>
      <c r="N78" s="60" t="str">
        <f aca="false">IF(F78&gt;(($A$21-WEEKDAY($A$21,2))-7*$F$22),"Y","N")</f>
        <v>N</v>
      </c>
      <c r="O78" s="61" t="str">
        <f aca="false">IF(AB78="","  -  ZZZ","  -  "&amp;X78&amp;Y78&amp;AB78)</f>
        <v>  -  ZZZ</v>
      </c>
      <c r="P78" s="58" t="str">
        <f aca="false">IF(AB78="","",(IF(OR(Q78="Y",Q78="N"),Q78,IF(N78="Y","Y","N"))))</f>
        <v/>
      </c>
      <c r="Q78" s="40"/>
      <c r="R78" s="40"/>
      <c r="S78" s="62"/>
      <c r="T78" s="62"/>
      <c r="U78" s="62"/>
      <c r="V78" s="62"/>
      <c r="W78" s="40"/>
      <c r="X78" s="63"/>
      <c r="Y78" s="64"/>
      <c r="Z78" s="62"/>
      <c r="AA78" s="62"/>
      <c r="AB78" s="64"/>
      <c r="AC78" s="65"/>
      <c r="AD78" s="64"/>
      <c r="AE78" s="64"/>
      <c r="AF78" s="60" t="str">
        <f aca="false">IF(AB78="","",SUM(H78:K78))</f>
        <v/>
      </c>
      <c r="AG78" s="66" t="str">
        <f aca="false">IF(AB78="","",IF(M78&lt;&gt;0,(I78*0.5+L78)/M78,1))</f>
        <v/>
      </c>
      <c r="AH78" s="40"/>
      <c r="AI78" s="67"/>
      <c r="AJ78" s="68"/>
      <c r="AK78" s="69" t="str">
        <f aca="false">IF(AB78="","",AI78*AJ78/8)</f>
        <v/>
      </c>
      <c r="AL78" s="66"/>
      <c r="AM78" s="66"/>
      <c r="AN78" s="66"/>
      <c r="AO78" s="66"/>
      <c r="AP78" s="66"/>
      <c r="AQ78" s="66"/>
      <c r="AR78" s="66"/>
      <c r="AS78" s="66"/>
      <c r="AT78" s="66"/>
      <c r="AU78" s="66"/>
      <c r="AV78" s="66"/>
      <c r="AW78" s="66"/>
      <c r="AX78" s="66"/>
      <c r="AY78" s="66"/>
      <c r="AZ78" s="66"/>
      <c r="BA78" s="66"/>
      <c r="BB78" s="66"/>
      <c r="BC78" s="66"/>
      <c r="BD78" s="66"/>
      <c r="BE78" s="66"/>
      <c r="BF78" s="66"/>
      <c r="BG78" s="66"/>
      <c r="BH78" s="66"/>
      <c r="BI78" s="66"/>
      <c r="BJ78" s="66"/>
      <c r="BK78" s="66"/>
      <c r="BL78" s="66"/>
      <c r="BM78" s="66"/>
      <c r="BN78" s="66"/>
      <c r="BO78" s="66"/>
      <c r="BP78" s="66"/>
      <c r="BQ78" s="66"/>
      <c r="BR78" s="66"/>
      <c r="BS78" s="66"/>
      <c r="BT78" s="66"/>
      <c r="BU78" s="66"/>
      <c r="BV78" s="66"/>
      <c r="BW78" s="64" t="s">
        <v>469</v>
      </c>
    </row>
    <row r="79" customFormat="false" ht="12.75" hidden="false" customHeight="true" outlineLevel="0" collapsed="false">
      <c r="A79" s="54"/>
      <c r="B79" s="55" t="str">
        <f aca="false">IF(AD79="","",IF(ISERROR(FIND(CHAR(10),AD79,1)),AD79,LEFT(AD79,FIND(CHAR(10),AD79,1))))</f>
        <v/>
      </c>
      <c r="C79" s="56" t="str">
        <f aca="false">IF(AD79="","",IFERROR(RIGHT(AD79,LEN(AD79)-FIND("@@@",SUBSTITUTE(AD79,CHAR(10),"@@@",LEN(AD79)-LEN(SUBSTITUTE(AD79,CHAR(10),""))),1)),AD79))</f>
        <v/>
      </c>
      <c r="D79" s="57" t="str">
        <f aca="false">IFERROR(DATE(("20"&amp;MID(B79,7,2))*1,MID(B79,4,2)*1,MID(B79,1,2)*1),"")</f>
        <v/>
      </c>
      <c r="E79" s="57" t="str">
        <f aca="false">IFERROR(DATE(("20"&amp;MID(C79,7,2))*1,MID(C79,4,2)*1,MID(C79,1,2)*1),"")</f>
        <v/>
      </c>
      <c r="F79" s="58" t="n">
        <f aca="false">MAX(D79,IF(E79="none",D79,E79))</f>
        <v>0</v>
      </c>
      <c r="G79" s="59" t="n">
        <f aca="false">IFERROR(DAYS360(D79,F79),0)</f>
        <v>0</v>
      </c>
      <c r="H79" s="59" t="n">
        <f aca="false">((LEN($AE79)-LEN(SUBSTITUTE($AE79,CHAR(10)&amp;". ","")))/3)+IF(LEFT(TRIM($AE79),2)=". ",1,0)</f>
        <v>0</v>
      </c>
      <c r="I79" s="59" t="n">
        <f aca="false">((LEN($AE79)-LEN(SUBSTITUTE($AE79,CHAR(10)&amp;"/ ","")))/3)+IF(LEFT(TRIM($AE79),2)="/ ",1,0)</f>
        <v>0</v>
      </c>
      <c r="J79" s="59" t="n">
        <f aca="false">((LEN($AE79)-LEN(SUBSTITUTE($AE79,CHAR(10)&amp;"~ ","")))/3)+IF(LEFT(TRIM($AE79),2)="~ ",1,0)</f>
        <v>0</v>
      </c>
      <c r="K79" s="59" t="n">
        <f aca="false">((LEN($AE79)-LEN(SUBSTITUTE($AE79,CHAR(10)&amp;"! ","")))/3)+IF(LEFT(TRIM($AE79),2)="! ",1,0)</f>
        <v>0</v>
      </c>
      <c r="L79" s="59" t="n">
        <f aca="false">((LEN($AE79)-LEN(SUBSTITUTE($AE79,CHAR(10)&amp;"x ","")))/3)+IF(LEFT(TRIM($AE79),2)="x ",1,0)</f>
        <v>0</v>
      </c>
      <c r="M79" s="59" t="n">
        <f aca="false">SUM(H79:L79)</f>
        <v>0</v>
      </c>
      <c r="N79" s="60" t="str">
        <f aca="false">IF(F79&gt;(($A$21-WEEKDAY($A$21,2))-7*$F$22),"Y","N")</f>
        <v>N</v>
      </c>
      <c r="O79" s="61" t="str">
        <f aca="false">IF(AB79="","  -  ZZZ","  -  "&amp;X79&amp;Y79&amp;AB79)</f>
        <v>  -  ZZZ</v>
      </c>
      <c r="P79" s="58" t="str">
        <f aca="false">IF(AB79="","",(IF(OR(Q79="Y",Q79="N"),Q79,IF(N79="Y","Y","N"))))</f>
        <v/>
      </c>
      <c r="Q79" s="40"/>
      <c r="R79" s="40"/>
      <c r="S79" s="62"/>
      <c r="T79" s="62"/>
      <c r="U79" s="62"/>
      <c r="V79" s="62"/>
      <c r="W79" s="40"/>
      <c r="X79" s="63"/>
      <c r="Y79" s="64"/>
      <c r="Z79" s="62"/>
      <c r="AA79" s="62"/>
      <c r="AB79" s="64"/>
      <c r="AC79" s="65"/>
      <c r="AD79" s="64"/>
      <c r="AE79" s="65"/>
      <c r="AF79" s="60" t="str">
        <f aca="false">IF(AB79="","",SUM(H79:K79))</f>
        <v/>
      </c>
      <c r="AG79" s="66" t="str">
        <f aca="false">IF(AB79="","",IF(M79&lt;&gt;0,(I79*0.5+L79)/M79,1))</f>
        <v/>
      </c>
      <c r="AH79" s="40"/>
      <c r="AI79" s="67"/>
      <c r="AJ79" s="68"/>
      <c r="AK79" s="69" t="str">
        <f aca="false">IF(AB79="","",AI79*AJ79/8)</f>
        <v/>
      </c>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66"/>
      <c r="BL79" s="66"/>
      <c r="BM79" s="66"/>
      <c r="BN79" s="66"/>
      <c r="BO79" s="66"/>
      <c r="BP79" s="66"/>
      <c r="BQ79" s="66"/>
      <c r="BR79" s="66"/>
      <c r="BS79" s="66"/>
      <c r="BT79" s="66"/>
      <c r="BU79" s="66"/>
      <c r="BV79" s="66"/>
      <c r="BW79" s="64" t="s">
        <v>469</v>
      </c>
    </row>
    <row r="80" customFormat="false" ht="12.75" hidden="false" customHeight="true" outlineLevel="0" collapsed="false">
      <c r="A80" s="54"/>
      <c r="B80" s="55" t="str">
        <f aca="false">IF(AD80="","",IF(ISERROR(FIND(CHAR(10),AD80,1)),AD80,LEFT(AD80,FIND(CHAR(10),AD80,1))))</f>
        <v/>
      </c>
      <c r="C80" s="56" t="str">
        <f aca="false">IF(AD80="","",IFERROR(RIGHT(AD80,LEN(AD80)-FIND("@@@",SUBSTITUTE(AD80,CHAR(10),"@@@",LEN(AD80)-LEN(SUBSTITUTE(AD80,CHAR(10),""))),1)),AD80))</f>
        <v/>
      </c>
      <c r="D80" s="57" t="str">
        <f aca="false">IFERROR(DATE(("20"&amp;MID(B80,7,2))*1,MID(B80,4,2)*1,MID(B80,1,2)*1),"")</f>
        <v/>
      </c>
      <c r="E80" s="57" t="str">
        <f aca="false">IFERROR(DATE(("20"&amp;MID(C80,7,2))*1,MID(C80,4,2)*1,MID(C80,1,2)*1),"")</f>
        <v/>
      </c>
      <c r="F80" s="58" t="n">
        <f aca="false">MAX(D80,IF(E80="none",D80,E80))</f>
        <v>0</v>
      </c>
      <c r="G80" s="59" t="n">
        <f aca="false">IFERROR(DAYS360(D80,F80),0)</f>
        <v>0</v>
      </c>
      <c r="H80" s="59" t="n">
        <f aca="false">((LEN($AE80)-LEN(SUBSTITUTE($AE80,CHAR(10)&amp;". ","")))/3)+IF(LEFT(TRIM($AE80),2)=". ",1,0)</f>
        <v>0</v>
      </c>
      <c r="I80" s="59" t="n">
        <f aca="false">((LEN($AE80)-LEN(SUBSTITUTE($AE80,CHAR(10)&amp;"/ ","")))/3)+IF(LEFT(TRIM($AE80),2)="/ ",1,0)</f>
        <v>0</v>
      </c>
      <c r="J80" s="59" t="n">
        <f aca="false">((LEN($AE80)-LEN(SUBSTITUTE($AE80,CHAR(10)&amp;"~ ","")))/3)+IF(LEFT(TRIM($AE80),2)="~ ",1,0)</f>
        <v>0</v>
      </c>
      <c r="K80" s="59" t="n">
        <f aca="false">((LEN($AE80)-LEN(SUBSTITUTE($AE80,CHAR(10)&amp;"! ","")))/3)+IF(LEFT(TRIM($AE80),2)="! ",1,0)</f>
        <v>0</v>
      </c>
      <c r="L80" s="59" t="n">
        <f aca="false">((LEN($AE80)-LEN(SUBSTITUTE($AE80,CHAR(10)&amp;"x ","")))/3)+IF(LEFT(TRIM($AE80),2)="x ",1,0)</f>
        <v>0</v>
      </c>
      <c r="M80" s="59" t="n">
        <f aca="false">SUM(H80:L80)</f>
        <v>0</v>
      </c>
      <c r="N80" s="60" t="str">
        <f aca="false">IF(F80&gt;(($A$21-WEEKDAY($A$21,2))-7*$F$22),"Y","N")</f>
        <v>N</v>
      </c>
      <c r="O80" s="61" t="str">
        <f aca="false">IF(AB80="","  -  ZZZ","  -  "&amp;X80&amp;Y80&amp;AB80)</f>
        <v>  -  ZZZ</v>
      </c>
      <c r="P80" s="58" t="str">
        <f aca="false">IF(AB80="","",(IF(OR(Q80="Y",Q80="N"),Q80,IF(N80="Y","Y","N"))))</f>
        <v/>
      </c>
      <c r="Q80" s="40"/>
      <c r="R80" s="40"/>
      <c r="S80" s="62"/>
      <c r="T80" s="62"/>
      <c r="U80" s="62"/>
      <c r="V80" s="62"/>
      <c r="W80" s="40"/>
      <c r="X80" s="63"/>
      <c r="Y80" s="64"/>
      <c r="Z80" s="62"/>
      <c r="AA80" s="62"/>
      <c r="AB80" s="64"/>
      <c r="AC80" s="65"/>
      <c r="AD80" s="64"/>
      <c r="AE80" s="65"/>
      <c r="AF80" s="60" t="str">
        <f aca="false">IF(AB80="","",SUM(H80:K80))</f>
        <v/>
      </c>
      <c r="AG80" s="66" t="str">
        <f aca="false">IF(AB80="","",IF(M80&lt;&gt;0,(I80*0.5+L80)/M80,1))</f>
        <v/>
      </c>
      <c r="AH80" s="40"/>
      <c r="AI80" s="67"/>
      <c r="AJ80" s="68"/>
      <c r="AK80" s="69" t="str">
        <f aca="false">IF(AB80="","",AI80*AJ80/8)</f>
        <v/>
      </c>
      <c r="AL80" s="66"/>
      <c r="AM80" s="66"/>
      <c r="AN80" s="66"/>
      <c r="AO80" s="66"/>
      <c r="AP80" s="66"/>
      <c r="AQ80" s="66"/>
      <c r="AR80" s="66"/>
      <c r="AS80" s="66"/>
      <c r="AT80" s="66"/>
      <c r="AU80" s="66"/>
      <c r="AV80" s="66"/>
      <c r="AW80" s="66"/>
      <c r="AX80" s="66"/>
      <c r="AY80" s="66"/>
      <c r="AZ80" s="66"/>
      <c r="BA80" s="66"/>
      <c r="BB80" s="66"/>
      <c r="BC80" s="66"/>
      <c r="BD80" s="66"/>
      <c r="BE80" s="66"/>
      <c r="BF80" s="66"/>
      <c r="BG80" s="66"/>
      <c r="BH80" s="66"/>
      <c r="BI80" s="66"/>
      <c r="BJ80" s="66"/>
      <c r="BK80" s="66"/>
      <c r="BL80" s="66"/>
      <c r="BM80" s="66"/>
      <c r="BN80" s="66"/>
      <c r="BO80" s="66"/>
      <c r="BP80" s="66"/>
      <c r="BQ80" s="66"/>
      <c r="BR80" s="66"/>
      <c r="BS80" s="66"/>
      <c r="BT80" s="66"/>
      <c r="BU80" s="66"/>
      <c r="BV80" s="66"/>
      <c r="BW80" s="64" t="s">
        <v>469</v>
      </c>
    </row>
    <row r="81" customFormat="false" ht="12.75" hidden="false" customHeight="true" outlineLevel="0" collapsed="false">
      <c r="B81" s="55" t="str">
        <f aca="false">IF(AD81="","",IF(ISERROR(FIND(CHAR(10),AD81,1)),AD81,LEFT(AD81,FIND(CHAR(10),AD81,1))))</f>
        <v/>
      </c>
      <c r="C81" s="56" t="str">
        <f aca="false">IF(AD81="","",IFERROR(RIGHT(AD81,LEN(AD81)-FIND("@@@",SUBSTITUTE(AD81,CHAR(10),"@@@",LEN(AD81)-LEN(SUBSTITUTE(AD81,CHAR(10),""))),1)),AD81))</f>
        <v/>
      </c>
      <c r="D81" s="57" t="str">
        <f aca="false">IFERROR(DATE(("20"&amp;MID(B81,7,2))*1,MID(B81,4,2)*1,MID(B81,1,2)*1),"")</f>
        <v/>
      </c>
      <c r="E81" s="57" t="str">
        <f aca="false">IFERROR(DATE(("20"&amp;MID(C81,7,2))*1,MID(C81,4,2)*1,MID(C81,1,2)*1),"")</f>
        <v/>
      </c>
      <c r="F81" s="58" t="n">
        <f aca="false">MAX(D81,IF(E81="none",D81,E81))</f>
        <v>0</v>
      </c>
      <c r="G81" s="59" t="n">
        <f aca="false">IFERROR(DAYS360(D81,F81),0)</f>
        <v>0</v>
      </c>
      <c r="H81" s="59" t="n">
        <f aca="false">((LEN($AE81)-LEN(SUBSTITUTE($AE81,CHAR(10)&amp;". ","")))/3)+IF(LEFT(TRIM($AE81),2)=". ",1,0)</f>
        <v>0</v>
      </c>
      <c r="I81" s="59" t="n">
        <f aca="false">((LEN($AE81)-LEN(SUBSTITUTE($AE81,CHAR(10)&amp;"/ ","")))/3)+IF(LEFT(TRIM($AE81),2)="/ ",1,0)</f>
        <v>0</v>
      </c>
      <c r="J81" s="59" t="n">
        <f aca="false">((LEN($AE81)-LEN(SUBSTITUTE($AE81,CHAR(10)&amp;"~ ","")))/3)+IF(LEFT(TRIM($AE81),2)="~ ",1,0)</f>
        <v>0</v>
      </c>
      <c r="K81" s="59" t="n">
        <f aca="false">((LEN($AE81)-LEN(SUBSTITUTE($AE81,CHAR(10)&amp;"! ","")))/3)+IF(LEFT(TRIM($AE81),2)="! ",1,0)</f>
        <v>0</v>
      </c>
      <c r="L81" s="59" t="n">
        <f aca="false">((LEN($AE81)-LEN(SUBSTITUTE($AE81,CHAR(10)&amp;"x ","")))/3)+IF(LEFT(TRIM($AE81),2)="x ",1,0)</f>
        <v>0</v>
      </c>
      <c r="M81" s="59" t="n">
        <f aca="false">SUM(H81:L81)</f>
        <v>0</v>
      </c>
      <c r="N81" s="60" t="str">
        <f aca="false">IF(F81&gt;(($A$21-WEEKDAY($A$21,2))-7*$F$22),"Y","N")</f>
        <v>N</v>
      </c>
      <c r="O81" s="61" t="str">
        <f aca="false">IF(AB81="","  -  ZZZ","  -  "&amp;X81&amp;Y81&amp;AB81)</f>
        <v>  -  ZZZ</v>
      </c>
      <c r="P81" s="58" t="str">
        <f aca="false">IF(AB81="","",(IF(OR(Q81="Y",Q81="N"),Q81,IF(N81="Y","Y","N"))))</f>
        <v/>
      </c>
      <c r="Q81" s="40"/>
      <c r="R81" s="40"/>
      <c r="S81" s="62"/>
      <c r="T81" s="62"/>
      <c r="U81" s="62"/>
      <c r="V81" s="62"/>
      <c r="W81" s="40"/>
      <c r="X81" s="63"/>
      <c r="Y81" s="64"/>
      <c r="Z81" s="62"/>
      <c r="AA81" s="62"/>
      <c r="AB81" s="64"/>
      <c r="AC81" s="65"/>
      <c r="AD81" s="65"/>
      <c r="AE81" s="65"/>
      <c r="AF81" s="60" t="str">
        <f aca="false">IF(AB81="","",SUM(H81:K81))</f>
        <v/>
      </c>
      <c r="AG81" s="66" t="str">
        <f aca="false">IF(AB81="","",IF(M81&lt;&gt;0,(I81*0.5+L81)/M81,1))</f>
        <v/>
      </c>
      <c r="AH81" s="40"/>
      <c r="AI81" s="67"/>
      <c r="AJ81" s="68"/>
      <c r="AK81" s="69" t="str">
        <f aca="false">IF(AB81="","",AI81*AJ81/8)</f>
        <v/>
      </c>
      <c r="AL81" s="66"/>
      <c r="AM81" s="66"/>
      <c r="AN81" s="66"/>
      <c r="AO81" s="66"/>
      <c r="AP81" s="66"/>
      <c r="AQ81" s="66"/>
      <c r="AR81" s="66"/>
      <c r="AS81" s="66"/>
      <c r="AT81" s="66"/>
      <c r="AU81" s="66"/>
      <c r="AV81" s="66"/>
      <c r="AW81" s="66"/>
      <c r="AX81" s="66"/>
      <c r="AY81" s="66"/>
      <c r="AZ81" s="66"/>
      <c r="BA81" s="66"/>
      <c r="BB81" s="66"/>
      <c r="BC81" s="66"/>
      <c r="BD81" s="66"/>
      <c r="BE81" s="66"/>
      <c r="BF81" s="66"/>
      <c r="BG81" s="66"/>
      <c r="BH81" s="66"/>
      <c r="BI81" s="66"/>
      <c r="BJ81" s="66"/>
      <c r="BK81" s="66"/>
      <c r="BL81" s="66"/>
      <c r="BM81" s="66"/>
      <c r="BN81" s="66"/>
      <c r="BO81" s="66"/>
      <c r="BP81" s="66"/>
      <c r="BQ81" s="66"/>
      <c r="BR81" s="66"/>
      <c r="BS81" s="66"/>
      <c r="BT81" s="66"/>
      <c r="BU81" s="66"/>
      <c r="BV81" s="66"/>
      <c r="BW81" s="64" t="s">
        <v>469</v>
      </c>
    </row>
    <row r="82" customFormat="false" ht="12.75" hidden="false" customHeight="true" outlineLevel="0" collapsed="false">
      <c r="B82" s="55" t="str">
        <f aca="false">IF(AD82="","",IF(ISERROR(FIND(CHAR(10),AD82,1)),AD82,LEFT(AD82,FIND(CHAR(10),AD82,1))))</f>
        <v/>
      </c>
      <c r="C82" s="56" t="str">
        <f aca="false">IF(AD82="","",IFERROR(RIGHT(AD82,LEN(AD82)-FIND("@@@",SUBSTITUTE(AD82,CHAR(10),"@@@",LEN(AD82)-LEN(SUBSTITUTE(AD82,CHAR(10),""))),1)),AD82))</f>
        <v/>
      </c>
      <c r="D82" s="57" t="str">
        <f aca="false">IFERROR(DATE(("20"&amp;MID(B82,7,2))*1,MID(B82,4,2)*1,MID(B82,1,2)*1),"")</f>
        <v/>
      </c>
      <c r="E82" s="57" t="str">
        <f aca="false">IFERROR(DATE(("20"&amp;MID(C82,7,2))*1,MID(C82,4,2)*1,MID(C82,1,2)*1),"")</f>
        <v/>
      </c>
      <c r="F82" s="58" t="n">
        <f aca="false">MAX(D82,IF(E82="none",D82,E82))</f>
        <v>0</v>
      </c>
      <c r="G82" s="59" t="n">
        <f aca="false">IFERROR(DAYS360(D82,F82),0)</f>
        <v>0</v>
      </c>
      <c r="H82" s="59" t="n">
        <f aca="false">((LEN($AE82)-LEN(SUBSTITUTE($AE82,CHAR(10)&amp;". ","")))/3)+IF(LEFT(TRIM($AE82),2)=". ",1,0)</f>
        <v>0</v>
      </c>
      <c r="I82" s="59" t="n">
        <f aca="false">((LEN($AE82)-LEN(SUBSTITUTE($AE82,CHAR(10)&amp;"/ ","")))/3)+IF(LEFT(TRIM($AE82),2)="/ ",1,0)</f>
        <v>0</v>
      </c>
      <c r="J82" s="59" t="n">
        <f aca="false">((LEN($AE82)-LEN(SUBSTITUTE($AE82,CHAR(10)&amp;"~ ","")))/3)+IF(LEFT(TRIM($AE82),2)="~ ",1,0)</f>
        <v>0</v>
      </c>
      <c r="K82" s="59" t="n">
        <f aca="false">((LEN($AE82)-LEN(SUBSTITUTE($AE82,CHAR(10)&amp;"! ","")))/3)+IF(LEFT(TRIM($AE82),2)="! ",1,0)</f>
        <v>0</v>
      </c>
      <c r="L82" s="59" t="n">
        <f aca="false">((LEN($AE82)-LEN(SUBSTITUTE($AE82,CHAR(10)&amp;"x ","")))/3)+IF(LEFT(TRIM($AE82),2)="x ",1,0)</f>
        <v>0</v>
      </c>
      <c r="M82" s="59" t="n">
        <f aca="false">SUM(H82:L82)</f>
        <v>0</v>
      </c>
      <c r="N82" s="60" t="str">
        <f aca="false">IF(F82&gt;(($A$21-WEEKDAY($A$21,2))-7*$F$22),"Y","N")</f>
        <v>N</v>
      </c>
      <c r="O82" s="61" t="str">
        <f aca="false">IF(AB82="","  -  ZZZ","  -  "&amp;X82&amp;Y82&amp;AB82)</f>
        <v>  -  ZZZ</v>
      </c>
      <c r="P82" s="58" t="str">
        <f aca="false">IF(AB82="","",(IF(OR(Q82="Y",Q82="N"),Q82,IF(N82="Y","Y","N"))))</f>
        <v/>
      </c>
      <c r="Q82" s="40"/>
      <c r="R82" s="40"/>
      <c r="S82" s="62"/>
      <c r="T82" s="62"/>
      <c r="U82" s="62"/>
      <c r="V82" s="62"/>
      <c r="W82" s="40"/>
      <c r="X82" s="63"/>
      <c r="Y82" s="64"/>
      <c r="Z82" s="62"/>
      <c r="AA82" s="62"/>
      <c r="AB82" s="64"/>
      <c r="AC82" s="65"/>
      <c r="AD82" s="65"/>
      <c r="AE82" s="65"/>
      <c r="AF82" s="60" t="str">
        <f aca="false">IF(AB82="","",SUM(H82:K82))</f>
        <v/>
      </c>
      <c r="AG82" s="66" t="str">
        <f aca="false">IF(AB82="","",IF(M82&lt;&gt;0,(I82*0.5+L82)/M82,1))</f>
        <v/>
      </c>
      <c r="AH82" s="40"/>
      <c r="AI82" s="67"/>
      <c r="AJ82" s="68"/>
      <c r="AK82" s="69" t="str">
        <f aca="false">IF(AB82="","",AI82*AJ82/8)</f>
        <v/>
      </c>
      <c r="AL82" s="66"/>
      <c r="AM82" s="66"/>
      <c r="AN82" s="66"/>
      <c r="AO82" s="66"/>
      <c r="AP82" s="66"/>
      <c r="AQ82" s="66"/>
      <c r="AR82" s="66"/>
      <c r="AS82" s="66"/>
      <c r="AT82" s="66"/>
      <c r="AU82" s="66"/>
      <c r="AV82" s="66"/>
      <c r="AW82" s="66"/>
      <c r="AX82" s="66"/>
      <c r="AY82" s="66"/>
      <c r="AZ82" s="66"/>
      <c r="BA82" s="66"/>
      <c r="BB82" s="66"/>
      <c r="BC82" s="66"/>
      <c r="BD82" s="66"/>
      <c r="BE82" s="66"/>
      <c r="BF82" s="66"/>
      <c r="BG82" s="66"/>
      <c r="BH82" s="66"/>
      <c r="BI82" s="66"/>
      <c r="BJ82" s="66"/>
      <c r="BK82" s="66"/>
      <c r="BL82" s="66"/>
      <c r="BM82" s="66"/>
      <c r="BN82" s="66"/>
      <c r="BO82" s="66"/>
      <c r="BP82" s="66"/>
      <c r="BQ82" s="66"/>
      <c r="BR82" s="66"/>
      <c r="BS82" s="66"/>
      <c r="BT82" s="66"/>
      <c r="BU82" s="66"/>
      <c r="BV82" s="66"/>
      <c r="BW82" s="64" t="s">
        <v>469</v>
      </c>
    </row>
    <row r="83" customFormat="false" ht="12.75" hidden="false" customHeight="true" outlineLevel="0" collapsed="false">
      <c r="A83" s="54"/>
      <c r="B83" s="55" t="str">
        <f aca="false">IF(AD83="","",IF(ISERROR(FIND(CHAR(10),AD83,1)),AD83,LEFT(AD83,FIND(CHAR(10),AD83,1))))</f>
        <v/>
      </c>
      <c r="C83" s="56" t="str">
        <f aca="false">IF(AD83="","",IFERROR(RIGHT(AD83,LEN(AD83)-FIND("@@@",SUBSTITUTE(AD83,CHAR(10),"@@@",LEN(AD83)-LEN(SUBSTITUTE(AD83,CHAR(10),""))),1)),AD83))</f>
        <v/>
      </c>
      <c r="D83" s="57" t="str">
        <f aca="false">IFERROR(DATE(("20"&amp;MID(B83,7,2))*1,MID(B83,4,2)*1,MID(B83,1,2)*1),"")</f>
        <v/>
      </c>
      <c r="E83" s="57" t="str">
        <f aca="false">IFERROR(DATE(("20"&amp;MID(C83,7,2))*1,MID(C83,4,2)*1,MID(C83,1,2)*1),"")</f>
        <v/>
      </c>
      <c r="F83" s="58" t="n">
        <f aca="false">MAX(D83,IF(E83="none",D83,E83))</f>
        <v>0</v>
      </c>
      <c r="G83" s="59" t="n">
        <f aca="false">IFERROR(DAYS360(D83,F83),0)</f>
        <v>0</v>
      </c>
      <c r="H83" s="59" t="n">
        <f aca="false">((LEN($AE83)-LEN(SUBSTITUTE($AE83,CHAR(10)&amp;". ","")))/3)+IF(LEFT(TRIM($AE83),2)=". ",1,0)</f>
        <v>0</v>
      </c>
      <c r="I83" s="59" t="n">
        <f aca="false">((LEN($AE83)-LEN(SUBSTITUTE($AE83,CHAR(10)&amp;"/ ","")))/3)+IF(LEFT(TRIM($AE83),2)="/ ",1,0)</f>
        <v>0</v>
      </c>
      <c r="J83" s="59" t="n">
        <f aca="false">((LEN($AE83)-LEN(SUBSTITUTE($AE83,CHAR(10)&amp;"~ ","")))/3)+IF(LEFT(TRIM($AE83),2)="~ ",1,0)</f>
        <v>0</v>
      </c>
      <c r="K83" s="59" t="n">
        <f aca="false">((LEN($AE83)-LEN(SUBSTITUTE($AE83,CHAR(10)&amp;"! ","")))/3)+IF(LEFT(TRIM($AE83),2)="! ",1,0)</f>
        <v>0</v>
      </c>
      <c r="L83" s="59" t="n">
        <f aca="false">((LEN($AE83)-LEN(SUBSTITUTE($AE83,CHAR(10)&amp;"x ","")))/3)+IF(LEFT(TRIM($AE83),2)="x ",1,0)</f>
        <v>0</v>
      </c>
      <c r="M83" s="59" t="n">
        <f aca="false">SUM(H83:L83)</f>
        <v>0</v>
      </c>
      <c r="N83" s="60" t="str">
        <f aca="false">IF(F83&gt;(($A$21-WEEKDAY($A$21,2))-7*$F$22),"Y","N")</f>
        <v>N</v>
      </c>
      <c r="O83" s="61" t="str">
        <f aca="false">IF(AB83="","  -  ZZZ","  -  "&amp;X83&amp;Y83&amp;AB83)</f>
        <v>  -  ZZZ</v>
      </c>
      <c r="P83" s="58" t="str">
        <f aca="false">IF(AB83="","",(IF(OR(Q83="Y",Q83="N"),Q83,IF(N83="Y","Y","N"))))</f>
        <v/>
      </c>
      <c r="Q83" s="40"/>
      <c r="R83" s="40"/>
      <c r="S83" s="62"/>
      <c r="T83" s="62"/>
      <c r="U83" s="62"/>
      <c r="V83" s="62"/>
      <c r="W83" s="40"/>
      <c r="X83" s="63"/>
      <c r="Y83" s="64"/>
      <c r="Z83" s="62"/>
      <c r="AA83" s="62"/>
      <c r="AB83" s="64"/>
      <c r="AC83" s="65"/>
      <c r="AD83" s="64"/>
      <c r="AE83" s="65"/>
      <c r="AF83" s="60" t="str">
        <f aca="false">IF(AB83="","",SUM(H83:K83))</f>
        <v/>
      </c>
      <c r="AG83" s="66" t="str">
        <f aca="false">IF(AB83="","",IF(M83&lt;&gt;0,(I83*0.5+L83)/M83,1))</f>
        <v/>
      </c>
      <c r="AH83" s="40"/>
      <c r="AI83" s="67"/>
      <c r="AJ83" s="68"/>
      <c r="AK83" s="69" t="str">
        <f aca="false">IF(AB83="","",AI83*AJ83/8)</f>
        <v/>
      </c>
      <c r="AL83" s="66"/>
      <c r="AM83" s="66"/>
      <c r="AN83" s="66"/>
      <c r="AO83" s="66"/>
      <c r="AP83" s="66"/>
      <c r="AQ83" s="66"/>
      <c r="AR83" s="66"/>
      <c r="AS83" s="66"/>
      <c r="AT83" s="66"/>
      <c r="AU83" s="66"/>
      <c r="AV83" s="66"/>
      <c r="AW83" s="66"/>
      <c r="AX83" s="66"/>
      <c r="AY83" s="66"/>
      <c r="AZ83" s="66"/>
      <c r="BA83" s="66"/>
      <c r="BB83" s="66"/>
      <c r="BC83" s="66"/>
      <c r="BD83" s="66"/>
      <c r="BE83" s="66"/>
      <c r="BF83" s="66"/>
      <c r="BG83" s="66"/>
      <c r="BH83" s="66"/>
      <c r="BI83" s="66"/>
      <c r="BJ83" s="66"/>
      <c r="BK83" s="66"/>
      <c r="BL83" s="66"/>
      <c r="BM83" s="66"/>
      <c r="BN83" s="66"/>
      <c r="BO83" s="66"/>
      <c r="BP83" s="66"/>
      <c r="BQ83" s="66"/>
      <c r="BR83" s="66"/>
      <c r="BS83" s="66"/>
      <c r="BT83" s="66"/>
      <c r="BU83" s="66"/>
      <c r="BV83" s="66"/>
      <c r="BW83" s="64" t="s">
        <v>469</v>
      </c>
    </row>
    <row r="84" customFormat="false" ht="12.75" hidden="false" customHeight="true" outlineLevel="0" collapsed="false">
      <c r="A84" s="54"/>
      <c r="B84" s="55" t="str">
        <f aca="false">IF(AD84="","",IF(ISERROR(FIND(CHAR(10),AD84,1)),AD84,LEFT(AD84,FIND(CHAR(10),AD84,1))))</f>
        <v/>
      </c>
      <c r="C84" s="56" t="str">
        <f aca="false">IF(AD84="","",IFERROR(RIGHT(AD84,LEN(AD84)-FIND("@@@",SUBSTITUTE(AD84,CHAR(10),"@@@",LEN(AD84)-LEN(SUBSTITUTE(AD84,CHAR(10),""))),1)),AD84))</f>
        <v/>
      </c>
      <c r="D84" s="57" t="str">
        <f aca="false">IFERROR(DATE(("20"&amp;MID(B84,7,2))*1,MID(B84,4,2)*1,MID(B84,1,2)*1),"")</f>
        <v/>
      </c>
      <c r="E84" s="57" t="str">
        <f aca="false">IFERROR(DATE(("20"&amp;MID(C84,7,2))*1,MID(C84,4,2)*1,MID(C84,1,2)*1),"")</f>
        <v/>
      </c>
      <c r="F84" s="58" t="n">
        <f aca="false">MAX(D84,IF(E84="none",D84,E84))</f>
        <v>0</v>
      </c>
      <c r="G84" s="59" t="n">
        <f aca="false">IFERROR(DAYS360(D84,F84),0)</f>
        <v>0</v>
      </c>
      <c r="H84" s="59" t="n">
        <f aca="false">((LEN($AE84)-LEN(SUBSTITUTE($AE84,CHAR(10)&amp;". ","")))/3)+IF(LEFT(TRIM($AE84),2)=". ",1,0)</f>
        <v>0</v>
      </c>
      <c r="I84" s="59" t="n">
        <f aca="false">((LEN($AE84)-LEN(SUBSTITUTE($AE84,CHAR(10)&amp;"/ ","")))/3)+IF(LEFT(TRIM($AE84),2)="/ ",1,0)</f>
        <v>0</v>
      </c>
      <c r="J84" s="59" t="n">
        <f aca="false">((LEN($AE84)-LEN(SUBSTITUTE($AE84,CHAR(10)&amp;"~ ","")))/3)+IF(LEFT(TRIM($AE84),2)="~ ",1,0)</f>
        <v>0</v>
      </c>
      <c r="K84" s="59" t="n">
        <f aca="false">((LEN($AE84)-LEN(SUBSTITUTE($AE84,CHAR(10)&amp;"! ","")))/3)+IF(LEFT(TRIM($AE84),2)="! ",1,0)</f>
        <v>0</v>
      </c>
      <c r="L84" s="59" t="n">
        <f aca="false">((LEN($AE84)-LEN(SUBSTITUTE($AE84,CHAR(10)&amp;"x ","")))/3)+IF(LEFT(TRIM($AE84),2)="x ",1,0)</f>
        <v>0</v>
      </c>
      <c r="M84" s="59" t="n">
        <f aca="false">SUM(H84:L84)</f>
        <v>0</v>
      </c>
      <c r="N84" s="60" t="str">
        <f aca="false">IF(F84&gt;(($A$21-WEEKDAY($A$21,2))-7*$F$22),"Y","N")</f>
        <v>N</v>
      </c>
      <c r="O84" s="61" t="str">
        <f aca="false">IF(AB84="","  -  ZZZ","  -  "&amp;X84&amp;Y84&amp;AB84)</f>
        <v>  -  ZZZ</v>
      </c>
      <c r="P84" s="58" t="str">
        <f aca="false">IF(AB84="","",(IF(OR(Q84="Y",Q84="N"),Q84,IF(N84="Y","Y","N"))))</f>
        <v/>
      </c>
      <c r="Q84" s="40"/>
      <c r="R84" s="40"/>
      <c r="S84" s="62"/>
      <c r="T84" s="62"/>
      <c r="U84" s="62"/>
      <c r="V84" s="62"/>
      <c r="W84" s="40"/>
      <c r="X84" s="63"/>
      <c r="Y84" s="64"/>
      <c r="Z84" s="62"/>
      <c r="AA84" s="62"/>
      <c r="AB84" s="64"/>
      <c r="AC84" s="65"/>
      <c r="AD84" s="64"/>
      <c r="AE84" s="65"/>
      <c r="AF84" s="60" t="str">
        <f aca="false">IF(AB84="","",SUM(H84:K84))</f>
        <v/>
      </c>
      <c r="AG84" s="66" t="str">
        <f aca="false">IF(AB84="","",IF(M84&lt;&gt;0,(I84*0.5+L84)/M84,1))</f>
        <v/>
      </c>
      <c r="AH84" s="40"/>
      <c r="AI84" s="67"/>
      <c r="AJ84" s="68"/>
      <c r="AK84" s="69" t="str">
        <f aca="false">IF(AB84="","",AI84*AJ84/8)</f>
        <v/>
      </c>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66"/>
      <c r="BL84" s="66"/>
      <c r="BM84" s="66"/>
      <c r="BN84" s="66"/>
      <c r="BO84" s="66"/>
      <c r="BP84" s="66"/>
      <c r="BQ84" s="66"/>
      <c r="BR84" s="66"/>
      <c r="BS84" s="66"/>
      <c r="BT84" s="66"/>
      <c r="BU84" s="66"/>
      <c r="BV84" s="66"/>
      <c r="BW84" s="64" t="s">
        <v>469</v>
      </c>
    </row>
    <row r="85" customFormat="false" ht="12.75" hidden="false" customHeight="true" outlineLevel="0" collapsed="false">
      <c r="A85" s="54"/>
      <c r="B85" s="55" t="str">
        <f aca="false">IF(AD85="","",IF(ISERROR(FIND(CHAR(10),AD85,1)),AD85,LEFT(AD85,FIND(CHAR(10),AD85,1))))</f>
        <v/>
      </c>
      <c r="C85" s="56" t="str">
        <f aca="false">IF(AD85="","",IFERROR(RIGHT(AD85,LEN(AD85)-FIND("@@@",SUBSTITUTE(AD85,CHAR(10),"@@@",LEN(AD85)-LEN(SUBSTITUTE(AD85,CHAR(10),""))),1)),AD85))</f>
        <v/>
      </c>
      <c r="D85" s="57" t="str">
        <f aca="false">IFERROR(DATE(("20"&amp;MID(B85,7,2))*1,MID(B85,4,2)*1,MID(B85,1,2)*1),"")</f>
        <v/>
      </c>
      <c r="E85" s="57" t="str">
        <f aca="false">IFERROR(DATE(("20"&amp;MID(C85,7,2))*1,MID(C85,4,2)*1,MID(C85,1,2)*1),"")</f>
        <v/>
      </c>
      <c r="F85" s="58" t="n">
        <f aca="false">MAX(D85,IF(E85="none",D85,E85))</f>
        <v>0</v>
      </c>
      <c r="G85" s="59" t="n">
        <f aca="false">IFERROR(DAYS360(D85,F85),0)</f>
        <v>0</v>
      </c>
      <c r="H85" s="59" t="n">
        <f aca="false">((LEN($AE85)-LEN(SUBSTITUTE($AE85,CHAR(10)&amp;". ","")))/3)+IF(LEFT(TRIM($AE85),2)=". ",1,0)</f>
        <v>0</v>
      </c>
      <c r="I85" s="59" t="n">
        <f aca="false">((LEN($AE85)-LEN(SUBSTITUTE($AE85,CHAR(10)&amp;"/ ","")))/3)+IF(LEFT(TRIM($AE85),2)="/ ",1,0)</f>
        <v>0</v>
      </c>
      <c r="J85" s="59" t="n">
        <f aca="false">((LEN($AE85)-LEN(SUBSTITUTE($AE85,CHAR(10)&amp;"~ ","")))/3)+IF(LEFT(TRIM($AE85),2)="~ ",1,0)</f>
        <v>0</v>
      </c>
      <c r="K85" s="59" t="n">
        <f aca="false">((LEN($AE85)-LEN(SUBSTITUTE($AE85,CHAR(10)&amp;"! ","")))/3)+IF(LEFT(TRIM($AE85),2)="! ",1,0)</f>
        <v>0</v>
      </c>
      <c r="L85" s="59" t="n">
        <f aca="false">((LEN($AE85)-LEN(SUBSTITUTE($AE85,CHAR(10)&amp;"x ","")))/3)+IF(LEFT(TRIM($AE85),2)="x ",1,0)</f>
        <v>0</v>
      </c>
      <c r="M85" s="59" t="n">
        <f aca="false">SUM(H85:L85)</f>
        <v>0</v>
      </c>
      <c r="N85" s="60" t="str">
        <f aca="false">IF(F85&gt;(($A$21-WEEKDAY($A$21,2))-7*$F$22),"Y","N")</f>
        <v>N</v>
      </c>
      <c r="O85" s="61" t="str">
        <f aca="false">IF(AB85="","  -  ZZZ","  -  "&amp;X85&amp;Y85&amp;AB85)</f>
        <v>  -  ZZZ</v>
      </c>
      <c r="P85" s="58" t="str">
        <f aca="false">IF(AB85="","",(IF(OR(Q85="Y",Q85="N"),Q85,IF(N85="Y","Y","N"))))</f>
        <v/>
      </c>
      <c r="Q85" s="40"/>
      <c r="R85" s="40"/>
      <c r="S85" s="62"/>
      <c r="T85" s="62"/>
      <c r="U85" s="62"/>
      <c r="V85" s="62"/>
      <c r="W85" s="40"/>
      <c r="X85" s="63"/>
      <c r="Y85" s="64"/>
      <c r="Z85" s="62"/>
      <c r="AA85" s="62"/>
      <c r="AB85" s="64"/>
      <c r="AC85" s="65"/>
      <c r="AD85" s="64"/>
      <c r="AE85" s="65"/>
      <c r="AF85" s="60" t="str">
        <f aca="false">IF(AB85="","",SUM(H85:K85))</f>
        <v/>
      </c>
      <c r="AG85" s="66" t="str">
        <f aca="false">IF(AB85="","",IF(M85&lt;&gt;0,(I85*0.5+L85)/M85,1))</f>
        <v/>
      </c>
      <c r="AH85" s="40"/>
      <c r="AI85" s="67"/>
      <c r="AJ85" s="68"/>
      <c r="AK85" s="69" t="str">
        <f aca="false">IF(AB85="","",AI85*AJ85/8)</f>
        <v/>
      </c>
      <c r="AL85" s="66"/>
      <c r="AM85" s="66"/>
      <c r="AN85" s="66"/>
      <c r="AO85" s="66"/>
      <c r="AP85" s="66"/>
      <c r="AQ85" s="66"/>
      <c r="AR85" s="66"/>
      <c r="AS85" s="66"/>
      <c r="AT85" s="66"/>
      <c r="AU85" s="66"/>
      <c r="AV85" s="66"/>
      <c r="AW85" s="66"/>
      <c r="AX85" s="66"/>
      <c r="AY85" s="66"/>
      <c r="AZ85" s="66"/>
      <c r="BA85" s="66"/>
      <c r="BB85" s="66"/>
      <c r="BC85" s="66"/>
      <c r="BD85" s="66"/>
      <c r="BE85" s="66"/>
      <c r="BF85" s="66"/>
      <c r="BG85" s="66"/>
      <c r="BH85" s="66"/>
      <c r="BI85" s="66"/>
      <c r="BJ85" s="66"/>
      <c r="BK85" s="66"/>
      <c r="BL85" s="66"/>
      <c r="BM85" s="66"/>
      <c r="BN85" s="66"/>
      <c r="BO85" s="66"/>
      <c r="BP85" s="66"/>
      <c r="BQ85" s="66"/>
      <c r="BR85" s="66"/>
      <c r="BS85" s="66"/>
      <c r="BT85" s="66"/>
      <c r="BU85" s="66"/>
      <c r="BV85" s="66"/>
      <c r="BW85" s="64" t="s">
        <v>469</v>
      </c>
    </row>
    <row r="86" customFormat="false" ht="12.75" hidden="false" customHeight="true" outlineLevel="0" collapsed="false">
      <c r="A86" s="54"/>
      <c r="B86" s="55" t="str">
        <f aca="false">IF(AD86="","",IF(ISERROR(FIND(CHAR(10),AD86,1)),AD86,LEFT(AD86,FIND(CHAR(10),AD86,1))))</f>
        <v/>
      </c>
      <c r="C86" s="56" t="str">
        <f aca="false">IF(AD86="","",IFERROR(RIGHT(AD86,LEN(AD86)-FIND("@@@",SUBSTITUTE(AD86,CHAR(10),"@@@",LEN(AD86)-LEN(SUBSTITUTE(AD86,CHAR(10),""))),1)),AD86))</f>
        <v/>
      </c>
      <c r="D86" s="57" t="str">
        <f aca="false">IFERROR(DATE(("20"&amp;MID(B86,7,2))*1,MID(B86,4,2)*1,MID(B86,1,2)*1),"")</f>
        <v/>
      </c>
      <c r="E86" s="57" t="str">
        <f aca="false">IFERROR(DATE(("20"&amp;MID(C86,7,2))*1,MID(C86,4,2)*1,MID(C86,1,2)*1),"")</f>
        <v/>
      </c>
      <c r="F86" s="58" t="n">
        <f aca="false">MAX(D86,IF(E86="none",D86,E86))</f>
        <v>0</v>
      </c>
      <c r="G86" s="59" t="n">
        <f aca="false">IFERROR(DAYS360(D86,F86),0)</f>
        <v>0</v>
      </c>
      <c r="H86" s="59" t="n">
        <f aca="false">((LEN($AE86)-LEN(SUBSTITUTE($AE86,CHAR(10)&amp;". ","")))/3)+IF(LEFT(TRIM($AE86),2)=". ",1,0)</f>
        <v>0</v>
      </c>
      <c r="I86" s="59" t="n">
        <f aca="false">((LEN($AE86)-LEN(SUBSTITUTE($AE86,CHAR(10)&amp;"/ ","")))/3)+IF(LEFT(TRIM($AE86),2)="/ ",1,0)</f>
        <v>0</v>
      </c>
      <c r="J86" s="59" t="n">
        <f aca="false">((LEN($AE86)-LEN(SUBSTITUTE($AE86,CHAR(10)&amp;"~ ","")))/3)+IF(LEFT(TRIM($AE86),2)="~ ",1,0)</f>
        <v>0</v>
      </c>
      <c r="K86" s="59" t="n">
        <f aca="false">((LEN($AE86)-LEN(SUBSTITUTE($AE86,CHAR(10)&amp;"! ","")))/3)+IF(LEFT(TRIM($AE86),2)="! ",1,0)</f>
        <v>0</v>
      </c>
      <c r="L86" s="59" t="n">
        <f aca="false">((LEN($AE86)-LEN(SUBSTITUTE($AE86,CHAR(10)&amp;"x ","")))/3)+IF(LEFT(TRIM($AE86),2)="x ",1,0)</f>
        <v>0</v>
      </c>
      <c r="M86" s="59" t="n">
        <f aca="false">SUM(H86:L86)</f>
        <v>0</v>
      </c>
      <c r="N86" s="60" t="str">
        <f aca="false">IF(F86&gt;(($A$21-WEEKDAY($A$21,2))-7*$F$22),"Y","N")</f>
        <v>N</v>
      </c>
      <c r="O86" s="61" t="str">
        <f aca="false">IF(AB86="","  -  ZZZ","  -  "&amp;X86&amp;Y86&amp;AB86)</f>
        <v>  -  ZZZ</v>
      </c>
      <c r="P86" s="58" t="str">
        <f aca="false">IF(AB86="","",(IF(OR(Q86="Y",Q86="N"),Q86,IF(N86="Y","Y","N"))))</f>
        <v/>
      </c>
      <c r="Q86" s="40"/>
      <c r="R86" s="40"/>
      <c r="S86" s="62"/>
      <c r="T86" s="62"/>
      <c r="U86" s="62"/>
      <c r="V86" s="62"/>
      <c r="W86" s="40"/>
      <c r="X86" s="63"/>
      <c r="Y86" s="64"/>
      <c r="Z86" s="62"/>
      <c r="AA86" s="62"/>
      <c r="AB86" s="64"/>
      <c r="AC86" s="65"/>
      <c r="AD86" s="64"/>
      <c r="AE86" s="65"/>
      <c r="AF86" s="60" t="str">
        <f aca="false">IF(AB86="","",SUM(H86:K86))</f>
        <v/>
      </c>
      <c r="AG86" s="66" t="str">
        <f aca="false">IF(AB86="","",IF(M86&lt;&gt;0,(I86*0.5+L86)/M86,1))</f>
        <v/>
      </c>
      <c r="AH86" s="40"/>
      <c r="AI86" s="67"/>
      <c r="AJ86" s="68"/>
      <c r="AK86" s="69" t="str">
        <f aca="false">IF(AB86="","",AI86*AJ86/8)</f>
        <v/>
      </c>
      <c r="AL86" s="66"/>
      <c r="AM86" s="66"/>
      <c r="AN86" s="66"/>
      <c r="AO86" s="66"/>
      <c r="AP86" s="66"/>
      <c r="AQ86" s="66"/>
      <c r="AR86" s="66"/>
      <c r="AS86" s="66"/>
      <c r="AT86" s="66"/>
      <c r="AU86" s="66"/>
      <c r="AV86" s="66"/>
      <c r="AW86" s="66"/>
      <c r="AX86" s="66"/>
      <c r="AY86" s="66"/>
      <c r="AZ86" s="66"/>
      <c r="BA86" s="66"/>
      <c r="BB86" s="66"/>
      <c r="BC86" s="66"/>
      <c r="BD86" s="66"/>
      <c r="BE86" s="66"/>
      <c r="BF86" s="66"/>
      <c r="BG86" s="66"/>
      <c r="BH86" s="66"/>
      <c r="BI86" s="66"/>
      <c r="BJ86" s="66"/>
      <c r="BK86" s="66"/>
      <c r="BL86" s="66"/>
      <c r="BM86" s="66"/>
      <c r="BN86" s="66"/>
      <c r="BO86" s="66"/>
      <c r="BP86" s="66"/>
      <c r="BQ86" s="66"/>
      <c r="BR86" s="66"/>
      <c r="BS86" s="66"/>
      <c r="BT86" s="66"/>
      <c r="BU86" s="66"/>
      <c r="BV86" s="66"/>
      <c r="BW86" s="64" t="s">
        <v>469</v>
      </c>
    </row>
    <row r="87" customFormat="false" ht="12.75" hidden="false" customHeight="true" outlineLevel="0" collapsed="false">
      <c r="A87" s="54"/>
      <c r="B87" s="55" t="str">
        <f aca="false">IF(AD87="","",IF(ISERROR(FIND(CHAR(10),AD87,1)),AD87,LEFT(AD87,FIND(CHAR(10),AD87,1))))</f>
        <v/>
      </c>
      <c r="C87" s="56" t="str">
        <f aca="false">IF(AD87="","",IFERROR(RIGHT(AD87,LEN(AD87)-FIND("@@@",SUBSTITUTE(AD87,CHAR(10),"@@@",LEN(AD87)-LEN(SUBSTITUTE(AD87,CHAR(10),""))),1)),AD87))</f>
        <v/>
      </c>
      <c r="D87" s="57" t="str">
        <f aca="false">IFERROR(DATE(("20"&amp;MID(B87,7,2))*1,MID(B87,4,2)*1,MID(B87,1,2)*1),"")</f>
        <v/>
      </c>
      <c r="E87" s="57" t="str">
        <f aca="false">IFERROR(DATE(("20"&amp;MID(C87,7,2))*1,MID(C87,4,2)*1,MID(C87,1,2)*1),"")</f>
        <v/>
      </c>
      <c r="F87" s="58" t="n">
        <f aca="false">MAX(D87,IF(E87="none",D87,E87))</f>
        <v>0</v>
      </c>
      <c r="G87" s="59" t="n">
        <f aca="false">IFERROR(DAYS360(D87,F87),0)</f>
        <v>0</v>
      </c>
      <c r="H87" s="59" t="n">
        <f aca="false">((LEN($AE87)-LEN(SUBSTITUTE($AE87,CHAR(10)&amp;". ","")))/3)+IF(LEFT(TRIM($AE87),2)=". ",1,0)</f>
        <v>0</v>
      </c>
      <c r="I87" s="59" t="n">
        <f aca="false">((LEN($AE87)-LEN(SUBSTITUTE($AE87,CHAR(10)&amp;"/ ","")))/3)+IF(LEFT(TRIM($AE87),2)="/ ",1,0)</f>
        <v>0</v>
      </c>
      <c r="J87" s="59" t="n">
        <f aca="false">((LEN($AE87)-LEN(SUBSTITUTE($AE87,CHAR(10)&amp;"~ ","")))/3)+IF(LEFT(TRIM($AE87),2)="~ ",1,0)</f>
        <v>0</v>
      </c>
      <c r="K87" s="59" t="n">
        <f aca="false">((LEN($AE87)-LEN(SUBSTITUTE($AE87,CHAR(10)&amp;"! ","")))/3)+IF(LEFT(TRIM($AE87),2)="! ",1,0)</f>
        <v>0</v>
      </c>
      <c r="L87" s="59" t="n">
        <f aca="false">((LEN($AE87)-LEN(SUBSTITUTE($AE87,CHAR(10)&amp;"x ","")))/3)+IF(LEFT(TRIM($AE87),2)="x ",1,0)</f>
        <v>0</v>
      </c>
      <c r="M87" s="59" t="n">
        <f aca="false">SUM(H87:L87)</f>
        <v>0</v>
      </c>
      <c r="N87" s="60" t="str">
        <f aca="false">IF(F87&gt;(($A$21-WEEKDAY($A$21,2))-7*$F$22),"Y","N")</f>
        <v>N</v>
      </c>
      <c r="O87" s="61" t="str">
        <f aca="false">IF(AB87="","  -  ZZZ","  -  "&amp;X87&amp;Y87&amp;AB87)</f>
        <v>  -  ZZZ</v>
      </c>
      <c r="P87" s="58" t="str">
        <f aca="false">IF(AB87="","",(IF(OR(Q87="Y",Q87="N"),Q87,IF(N87="Y","Y","N"))))</f>
        <v/>
      </c>
      <c r="Q87" s="40"/>
      <c r="R87" s="40"/>
      <c r="S87" s="62"/>
      <c r="T87" s="62"/>
      <c r="U87" s="62"/>
      <c r="V87" s="62"/>
      <c r="W87" s="40"/>
      <c r="X87" s="63"/>
      <c r="Y87" s="64"/>
      <c r="Z87" s="62"/>
      <c r="AA87" s="62"/>
      <c r="AB87" s="64"/>
      <c r="AC87" s="65"/>
      <c r="AD87" s="64"/>
      <c r="AE87" s="65"/>
      <c r="AF87" s="60" t="str">
        <f aca="false">IF(AB87="","",SUM(H87:K87))</f>
        <v/>
      </c>
      <c r="AG87" s="66" t="str">
        <f aca="false">IF(AB87="","",IF(M87&lt;&gt;0,(I87*0.5+L87)/M87,1))</f>
        <v/>
      </c>
      <c r="AH87" s="40"/>
      <c r="AI87" s="67"/>
      <c r="AJ87" s="68"/>
      <c r="AK87" s="69" t="str">
        <f aca="false">IF(AB87="","",AI87*AJ87/8)</f>
        <v/>
      </c>
      <c r="AL87" s="66"/>
      <c r="AM87" s="66"/>
      <c r="AN87" s="66"/>
      <c r="AO87" s="66"/>
      <c r="AP87" s="66"/>
      <c r="AQ87" s="66"/>
      <c r="AR87" s="66"/>
      <c r="AS87" s="66"/>
      <c r="AT87" s="66"/>
      <c r="AU87" s="66"/>
      <c r="AV87" s="66"/>
      <c r="AW87" s="66"/>
      <c r="AX87" s="66"/>
      <c r="AY87" s="66"/>
      <c r="AZ87" s="66"/>
      <c r="BA87" s="66"/>
      <c r="BB87" s="66"/>
      <c r="BC87" s="66"/>
      <c r="BD87" s="66"/>
      <c r="BE87" s="66"/>
      <c r="BF87" s="66"/>
      <c r="BG87" s="66"/>
      <c r="BH87" s="66"/>
      <c r="BI87" s="66"/>
      <c r="BJ87" s="66"/>
      <c r="BK87" s="66"/>
      <c r="BL87" s="66"/>
      <c r="BM87" s="66"/>
      <c r="BN87" s="66"/>
      <c r="BO87" s="66"/>
      <c r="BP87" s="66"/>
      <c r="BQ87" s="66"/>
      <c r="BR87" s="66"/>
      <c r="BS87" s="66"/>
      <c r="BT87" s="66"/>
      <c r="BU87" s="66"/>
      <c r="BV87" s="66"/>
      <c r="BW87" s="64" t="s">
        <v>469</v>
      </c>
    </row>
    <row r="88" customFormat="false" ht="12.75" hidden="false" customHeight="true" outlineLevel="0" collapsed="false">
      <c r="A88" s="54"/>
      <c r="B88" s="55" t="str">
        <f aca="false">IF(AD88="","",IF(ISERROR(FIND(CHAR(10),AD88,1)),AD88,LEFT(AD88,FIND(CHAR(10),AD88,1))))</f>
        <v/>
      </c>
      <c r="C88" s="56" t="str">
        <f aca="false">IF(AD88="","",IFERROR(RIGHT(AD88,LEN(AD88)-FIND("@@@",SUBSTITUTE(AD88,CHAR(10),"@@@",LEN(AD88)-LEN(SUBSTITUTE(AD88,CHAR(10),""))),1)),AD88))</f>
        <v/>
      </c>
      <c r="D88" s="57" t="str">
        <f aca="false">IFERROR(DATE(("20"&amp;MID(B88,7,2))*1,MID(B88,4,2)*1,MID(B88,1,2)*1),"")</f>
        <v/>
      </c>
      <c r="E88" s="57" t="str">
        <f aca="false">IFERROR(DATE(("20"&amp;MID(C88,7,2))*1,MID(C88,4,2)*1,MID(C88,1,2)*1),"")</f>
        <v/>
      </c>
      <c r="F88" s="58" t="n">
        <f aca="false">MAX(D88,IF(E88="none",D88,E88))</f>
        <v>0</v>
      </c>
      <c r="G88" s="59" t="n">
        <f aca="false">IFERROR(DAYS360(D88,F88),0)</f>
        <v>0</v>
      </c>
      <c r="H88" s="59" t="n">
        <f aca="false">((LEN($AE88)-LEN(SUBSTITUTE($AE88,CHAR(10)&amp;". ","")))/3)+IF(LEFT(TRIM($AE88),2)=". ",1,0)</f>
        <v>0</v>
      </c>
      <c r="I88" s="59" t="n">
        <f aca="false">((LEN($AE88)-LEN(SUBSTITUTE($AE88,CHAR(10)&amp;"/ ","")))/3)+IF(LEFT(TRIM($AE88),2)="/ ",1,0)</f>
        <v>0</v>
      </c>
      <c r="J88" s="59" t="n">
        <f aca="false">((LEN($AE88)-LEN(SUBSTITUTE($AE88,CHAR(10)&amp;"~ ","")))/3)+IF(LEFT(TRIM($AE88),2)="~ ",1,0)</f>
        <v>0</v>
      </c>
      <c r="K88" s="59" t="n">
        <f aca="false">((LEN($AE88)-LEN(SUBSTITUTE($AE88,CHAR(10)&amp;"! ","")))/3)+IF(LEFT(TRIM($AE88),2)="! ",1,0)</f>
        <v>0</v>
      </c>
      <c r="L88" s="59" t="n">
        <f aca="false">((LEN($AE88)-LEN(SUBSTITUTE($AE88,CHAR(10)&amp;"x ","")))/3)+IF(LEFT(TRIM($AE88),2)="x ",1,0)</f>
        <v>0</v>
      </c>
      <c r="M88" s="59" t="n">
        <f aca="false">SUM(H88:L88)</f>
        <v>0</v>
      </c>
      <c r="N88" s="60" t="str">
        <f aca="false">IF(F88&gt;(($A$21-WEEKDAY($A$21,2))-7*$F$22),"Y","N")</f>
        <v>N</v>
      </c>
      <c r="O88" s="61" t="str">
        <f aca="false">IF(AB88="","  -  ZZZ","  -  "&amp;X88&amp;Y88&amp;AB88)</f>
        <v>  -  ZZZ</v>
      </c>
      <c r="P88" s="58" t="str">
        <f aca="false">IF(AB88="","",(IF(OR(Q88="Y",Q88="N"),Q88,IF(N88="Y","Y","N"))))</f>
        <v/>
      </c>
      <c r="Q88" s="40"/>
      <c r="R88" s="40"/>
      <c r="S88" s="62"/>
      <c r="T88" s="62"/>
      <c r="U88" s="62"/>
      <c r="V88" s="62"/>
      <c r="W88" s="40"/>
      <c r="X88" s="63"/>
      <c r="Y88" s="64"/>
      <c r="Z88" s="62"/>
      <c r="AA88" s="62"/>
      <c r="AB88" s="64"/>
      <c r="AC88" s="65"/>
      <c r="AD88" s="64"/>
      <c r="AE88" s="65"/>
      <c r="AF88" s="60" t="str">
        <f aca="false">IF(AB88="","",SUM(H88:K88))</f>
        <v/>
      </c>
      <c r="AG88" s="66" t="str">
        <f aca="false">IF(AB88="","",IF(M88&lt;&gt;0,(I88*0.5+L88)/M88,1))</f>
        <v/>
      </c>
      <c r="AH88" s="40"/>
      <c r="AI88" s="67"/>
      <c r="AJ88" s="68"/>
      <c r="AK88" s="69" t="str">
        <f aca="false">IF(AB88="","",AI88*AJ88/8)</f>
        <v/>
      </c>
      <c r="AL88" s="66"/>
      <c r="AM88" s="66"/>
      <c r="AN88" s="66"/>
      <c r="AO88" s="66"/>
      <c r="AP88" s="66"/>
      <c r="AQ88" s="66"/>
      <c r="AR88" s="66"/>
      <c r="AS88" s="66"/>
      <c r="AT88" s="66"/>
      <c r="AU88" s="66"/>
      <c r="AV88" s="66"/>
      <c r="AW88" s="66"/>
      <c r="AX88" s="66"/>
      <c r="AY88" s="66"/>
      <c r="AZ88" s="66"/>
      <c r="BA88" s="66"/>
      <c r="BB88" s="66"/>
      <c r="BC88" s="66"/>
      <c r="BD88" s="66"/>
      <c r="BE88" s="66"/>
      <c r="BF88" s="66"/>
      <c r="BG88" s="66"/>
      <c r="BH88" s="66"/>
      <c r="BI88" s="66"/>
      <c r="BJ88" s="66"/>
      <c r="BK88" s="66"/>
      <c r="BL88" s="66"/>
      <c r="BM88" s="66"/>
      <c r="BN88" s="66"/>
      <c r="BO88" s="66"/>
      <c r="BP88" s="66"/>
      <c r="BQ88" s="66"/>
      <c r="BR88" s="66"/>
      <c r="BS88" s="66"/>
      <c r="BT88" s="66"/>
      <c r="BU88" s="66"/>
      <c r="BV88" s="66"/>
      <c r="BW88" s="64" t="s">
        <v>469</v>
      </c>
    </row>
    <row r="89" customFormat="false" ht="12.75" hidden="false" customHeight="true" outlineLevel="0" collapsed="false">
      <c r="A89" s="54"/>
      <c r="B89" s="55" t="str">
        <f aca="false">IF(AD89="","",IF(ISERROR(FIND(CHAR(10),AD89,1)),AD89,LEFT(AD89,FIND(CHAR(10),AD89,1))))</f>
        <v/>
      </c>
      <c r="C89" s="56" t="str">
        <f aca="false">IF(AD89="","",IFERROR(RIGHT(AD89,LEN(AD89)-FIND("@@@",SUBSTITUTE(AD89,CHAR(10),"@@@",LEN(AD89)-LEN(SUBSTITUTE(AD89,CHAR(10),""))),1)),AD89))</f>
        <v/>
      </c>
      <c r="D89" s="57" t="str">
        <f aca="false">IFERROR(DATE(("20"&amp;MID(B89,7,2))*1,MID(B89,4,2)*1,MID(B89,1,2)*1),"")</f>
        <v/>
      </c>
      <c r="E89" s="57" t="str">
        <f aca="false">IFERROR(DATE(("20"&amp;MID(C89,7,2))*1,MID(C89,4,2)*1,MID(C89,1,2)*1),"")</f>
        <v/>
      </c>
      <c r="F89" s="58" t="n">
        <f aca="false">MAX(D89,IF(E89="none",D89,E89))</f>
        <v>0</v>
      </c>
      <c r="G89" s="59" t="n">
        <f aca="false">IFERROR(DAYS360(D89,F89),0)</f>
        <v>0</v>
      </c>
      <c r="H89" s="59" t="n">
        <f aca="false">((LEN($AE89)-LEN(SUBSTITUTE($AE89,CHAR(10)&amp;". ","")))/3)+IF(LEFT(TRIM($AE89),2)=". ",1,0)</f>
        <v>0</v>
      </c>
      <c r="I89" s="59" t="n">
        <f aca="false">((LEN($AE89)-LEN(SUBSTITUTE($AE89,CHAR(10)&amp;"/ ","")))/3)+IF(LEFT(TRIM($AE89),2)="/ ",1,0)</f>
        <v>0</v>
      </c>
      <c r="J89" s="59" t="n">
        <f aca="false">((LEN($AE89)-LEN(SUBSTITUTE($AE89,CHAR(10)&amp;"~ ","")))/3)+IF(LEFT(TRIM($AE89),2)="~ ",1,0)</f>
        <v>0</v>
      </c>
      <c r="K89" s="59" t="n">
        <f aca="false">((LEN($AE89)-LEN(SUBSTITUTE($AE89,CHAR(10)&amp;"! ","")))/3)+IF(LEFT(TRIM($AE89),2)="! ",1,0)</f>
        <v>0</v>
      </c>
      <c r="L89" s="59" t="n">
        <f aca="false">((LEN($AE89)-LEN(SUBSTITUTE($AE89,CHAR(10)&amp;"x ","")))/3)+IF(LEFT(TRIM($AE89),2)="x ",1,0)</f>
        <v>0</v>
      </c>
      <c r="M89" s="59" t="n">
        <f aca="false">SUM(H89:L89)</f>
        <v>0</v>
      </c>
      <c r="N89" s="60" t="str">
        <f aca="false">IF(F89&gt;(($A$21-WEEKDAY($A$21,2))-7*$F$22),"Y","N")</f>
        <v>N</v>
      </c>
      <c r="O89" s="61" t="str">
        <f aca="false">IF(AB89="","  -  ZZZ","  -  "&amp;X89&amp;Y89&amp;AB89)</f>
        <v>  -  ZZZ</v>
      </c>
      <c r="P89" s="58" t="str">
        <f aca="false">IF(AB89="","",(IF(OR(Q89="Y",Q89="N"),Q89,IF(N89="Y","Y","N"))))</f>
        <v/>
      </c>
      <c r="Q89" s="40"/>
      <c r="R89" s="40"/>
      <c r="S89" s="62"/>
      <c r="T89" s="62"/>
      <c r="U89" s="62"/>
      <c r="V89" s="62"/>
      <c r="W89" s="40"/>
      <c r="X89" s="63"/>
      <c r="Y89" s="64"/>
      <c r="Z89" s="62"/>
      <c r="AA89" s="62"/>
      <c r="AB89" s="64"/>
      <c r="AC89" s="65"/>
      <c r="AD89" s="65"/>
      <c r="AE89" s="64"/>
      <c r="AF89" s="60" t="str">
        <f aca="false">IF(AB89="","",SUM(H89:K89))</f>
        <v/>
      </c>
      <c r="AG89" s="66" t="str">
        <f aca="false">IF(AB89="","",IF(M89&lt;&gt;0,(I89*0.5+L89)/M89,1))</f>
        <v/>
      </c>
      <c r="AH89" s="40"/>
      <c r="AI89" s="67"/>
      <c r="AJ89" s="68"/>
      <c r="AK89" s="69" t="str">
        <f aca="false">IF(AB89="","",AI89*AJ89/8)</f>
        <v/>
      </c>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c r="BO89" s="66"/>
      <c r="BP89" s="66"/>
      <c r="BQ89" s="66"/>
      <c r="BR89" s="66"/>
      <c r="BS89" s="66"/>
      <c r="BT89" s="66"/>
      <c r="BU89" s="66"/>
      <c r="BV89" s="66"/>
      <c r="BW89" s="64" t="s">
        <v>469</v>
      </c>
    </row>
    <row r="90" customFormat="false" ht="12.75" hidden="false" customHeight="true" outlineLevel="0" collapsed="false">
      <c r="A90" s="54"/>
      <c r="B90" s="55" t="str">
        <f aca="false">IF(AD90="","",IF(ISERROR(FIND(CHAR(10),AD90,1)),AD90,LEFT(AD90,FIND(CHAR(10),AD90,1))))</f>
        <v/>
      </c>
      <c r="C90" s="56" t="str">
        <f aca="false">IF(AD90="","",IFERROR(RIGHT(AD90,LEN(AD90)-FIND("@@@",SUBSTITUTE(AD90,CHAR(10),"@@@",LEN(AD90)-LEN(SUBSTITUTE(AD90,CHAR(10),""))),1)),AD90))</f>
        <v/>
      </c>
      <c r="D90" s="57" t="str">
        <f aca="false">IFERROR(DATE(("20"&amp;MID(B90,7,2))*1,MID(B90,4,2)*1,MID(B90,1,2)*1),"")</f>
        <v/>
      </c>
      <c r="E90" s="57" t="str">
        <f aca="false">IFERROR(DATE(("20"&amp;MID(C90,7,2))*1,MID(C90,4,2)*1,MID(C90,1,2)*1),"")</f>
        <v/>
      </c>
      <c r="F90" s="58" t="n">
        <f aca="false">MAX(D90,IF(E90="none",D90,E90))</f>
        <v>0</v>
      </c>
      <c r="G90" s="59" t="n">
        <f aca="false">IFERROR(DAYS360(D90,F90),0)</f>
        <v>0</v>
      </c>
      <c r="H90" s="59" t="n">
        <f aca="false">((LEN($AE90)-LEN(SUBSTITUTE($AE90,CHAR(10)&amp;". ","")))/3)+IF(LEFT(TRIM($AE90),2)=". ",1,0)</f>
        <v>0</v>
      </c>
      <c r="I90" s="59" t="n">
        <f aca="false">((LEN($AE90)-LEN(SUBSTITUTE($AE90,CHAR(10)&amp;"/ ","")))/3)+IF(LEFT(TRIM($AE90),2)="/ ",1,0)</f>
        <v>0</v>
      </c>
      <c r="J90" s="59" t="n">
        <f aca="false">((LEN($AE90)-LEN(SUBSTITUTE($AE90,CHAR(10)&amp;"~ ","")))/3)+IF(LEFT(TRIM($AE90),2)="~ ",1,0)</f>
        <v>0</v>
      </c>
      <c r="K90" s="59" t="n">
        <f aca="false">((LEN($AE90)-LEN(SUBSTITUTE($AE90,CHAR(10)&amp;"! ","")))/3)+IF(LEFT(TRIM($AE90),2)="! ",1,0)</f>
        <v>0</v>
      </c>
      <c r="L90" s="59" t="n">
        <f aca="false">((LEN($AE90)-LEN(SUBSTITUTE($AE90,CHAR(10)&amp;"x ","")))/3)+IF(LEFT(TRIM($AE90),2)="x ",1,0)</f>
        <v>0</v>
      </c>
      <c r="M90" s="59" t="n">
        <f aca="false">SUM(H90:L90)</f>
        <v>0</v>
      </c>
      <c r="N90" s="60" t="str">
        <f aca="false">IF(F90&gt;(($A$21-WEEKDAY($A$21,2))-7*$F$22),"Y","N")</f>
        <v>N</v>
      </c>
      <c r="O90" s="61" t="str">
        <f aca="false">IF(AB90="","  -  ZZZ","  -  "&amp;X90&amp;Y90&amp;AB90)</f>
        <v>  -  ZZZ</v>
      </c>
      <c r="P90" s="58" t="str">
        <f aca="false">IF(AB90="","",(IF(OR(Q90="Y",Q90="N"),Q90,IF(N90="Y","Y","N"))))</f>
        <v/>
      </c>
      <c r="Q90" s="40"/>
      <c r="R90" s="40"/>
      <c r="S90" s="62"/>
      <c r="T90" s="62"/>
      <c r="U90" s="62"/>
      <c r="V90" s="62"/>
      <c r="W90" s="40"/>
      <c r="X90" s="63"/>
      <c r="Y90" s="64"/>
      <c r="Z90" s="62"/>
      <c r="AA90" s="62"/>
      <c r="AB90" s="64"/>
      <c r="AC90" s="65"/>
      <c r="AD90" s="64"/>
      <c r="AE90" s="64"/>
      <c r="AF90" s="60" t="str">
        <f aca="false">IF(AB90="","",SUM(H90:K90))</f>
        <v/>
      </c>
      <c r="AG90" s="66" t="str">
        <f aca="false">IF(AB90="","",IF(M90&lt;&gt;0,(I90*0.5+L90)/M90,1))</f>
        <v/>
      </c>
      <c r="AH90" s="40"/>
      <c r="AI90" s="67"/>
      <c r="AJ90" s="68"/>
      <c r="AK90" s="69" t="str">
        <f aca="false">IF(AB90="","",AI90*AJ90/8)</f>
        <v/>
      </c>
      <c r="AL90" s="66"/>
      <c r="AM90" s="66"/>
      <c r="AN90" s="66"/>
      <c r="AO90" s="66"/>
      <c r="AP90" s="66"/>
      <c r="AQ90" s="66"/>
      <c r="AR90" s="66"/>
      <c r="AS90" s="66"/>
      <c r="AT90" s="66"/>
      <c r="AU90" s="66"/>
      <c r="AV90" s="66"/>
      <c r="AW90" s="66"/>
      <c r="AX90" s="66"/>
      <c r="AY90" s="66"/>
      <c r="AZ90" s="66"/>
      <c r="BA90" s="66"/>
      <c r="BB90" s="66"/>
      <c r="BC90" s="66"/>
      <c r="BD90" s="66"/>
      <c r="BE90" s="66"/>
      <c r="BF90" s="66"/>
      <c r="BG90" s="66"/>
      <c r="BH90" s="66"/>
      <c r="BI90" s="66"/>
      <c r="BJ90" s="66"/>
      <c r="BK90" s="66"/>
      <c r="BL90" s="66"/>
      <c r="BM90" s="66"/>
      <c r="BN90" s="66"/>
      <c r="BO90" s="66"/>
      <c r="BP90" s="66"/>
      <c r="BQ90" s="66"/>
      <c r="BR90" s="66"/>
      <c r="BS90" s="66"/>
      <c r="BT90" s="66"/>
      <c r="BU90" s="66"/>
      <c r="BV90" s="66"/>
      <c r="BW90" s="64" t="s">
        <v>469</v>
      </c>
    </row>
    <row r="91" customFormat="false" ht="12.75" hidden="false" customHeight="true" outlineLevel="0" collapsed="false">
      <c r="B91" s="55" t="str">
        <f aca="false">IF(AD91="","",IF(ISERROR(FIND(CHAR(10),AD91,1)),AD91,LEFT(AD91,FIND(CHAR(10),AD91,1))))</f>
        <v/>
      </c>
      <c r="C91" s="56" t="str">
        <f aca="false">IF(AD91="","",IFERROR(RIGHT(AD91,LEN(AD91)-FIND("@@@",SUBSTITUTE(AD91,CHAR(10),"@@@",LEN(AD91)-LEN(SUBSTITUTE(AD91,CHAR(10),""))),1)),AD91))</f>
        <v/>
      </c>
      <c r="D91" s="57" t="str">
        <f aca="false">IFERROR(DATE(("20"&amp;MID(B91,7,2))*1,MID(B91,4,2)*1,MID(B91,1,2)*1),"")</f>
        <v/>
      </c>
      <c r="E91" s="57" t="str">
        <f aca="false">IFERROR(DATE(("20"&amp;MID(C91,7,2))*1,MID(C91,4,2)*1,MID(C91,1,2)*1),"")</f>
        <v/>
      </c>
      <c r="F91" s="58" t="n">
        <f aca="false">MAX(D91,IF(E91="none",D91,E91))</f>
        <v>0</v>
      </c>
      <c r="G91" s="59" t="n">
        <f aca="false">IFERROR(DAYS360(D91,F91),0)</f>
        <v>0</v>
      </c>
      <c r="H91" s="59" t="n">
        <f aca="false">((LEN($AE91)-LEN(SUBSTITUTE($AE91,CHAR(10)&amp;". ","")))/3)+IF(LEFT(TRIM($AE91),2)=". ",1,0)</f>
        <v>0</v>
      </c>
      <c r="I91" s="59" t="n">
        <f aca="false">((LEN($AE91)-LEN(SUBSTITUTE($AE91,CHAR(10)&amp;"/ ","")))/3)+IF(LEFT(TRIM($AE91),2)="/ ",1,0)</f>
        <v>0</v>
      </c>
      <c r="J91" s="59" t="n">
        <f aca="false">((LEN($AE91)-LEN(SUBSTITUTE($AE91,CHAR(10)&amp;"~ ","")))/3)+IF(LEFT(TRIM($AE91),2)="~ ",1,0)</f>
        <v>0</v>
      </c>
      <c r="K91" s="59" t="n">
        <f aca="false">((LEN($AE91)-LEN(SUBSTITUTE($AE91,CHAR(10)&amp;"! ","")))/3)+IF(LEFT(TRIM($AE91),2)="! ",1,0)</f>
        <v>0</v>
      </c>
      <c r="L91" s="59" t="n">
        <f aca="false">((LEN($AE91)-LEN(SUBSTITUTE($AE91,CHAR(10)&amp;"x ","")))/3)+IF(LEFT(TRIM($AE91),2)="x ",1,0)</f>
        <v>0</v>
      </c>
      <c r="M91" s="59" t="n">
        <f aca="false">SUM(H91:L91)</f>
        <v>0</v>
      </c>
      <c r="N91" s="60" t="str">
        <f aca="false">IF(F91&gt;(($A$21-WEEKDAY($A$21,2))-7*$F$22),"Y","N")</f>
        <v>N</v>
      </c>
      <c r="O91" s="61" t="str">
        <f aca="false">IF(AB91="","  -  ZZZ","  -  "&amp;X91&amp;Y91&amp;AB91)</f>
        <v>  -  ZZZ</v>
      </c>
      <c r="P91" s="58" t="str">
        <f aca="false">IF(AB91="","",(IF(OR(Q91="Y",Q91="N"),Q91,IF(N91="Y","Y","N"))))</f>
        <v/>
      </c>
      <c r="Q91" s="40"/>
      <c r="R91" s="40"/>
      <c r="S91" s="62"/>
      <c r="T91" s="62"/>
      <c r="U91" s="62"/>
      <c r="V91" s="62"/>
      <c r="W91" s="40"/>
      <c r="X91" s="63"/>
      <c r="Y91" s="64"/>
      <c r="Z91" s="62"/>
      <c r="AA91" s="62"/>
      <c r="AB91" s="64"/>
      <c r="AC91" s="64"/>
      <c r="AD91" s="64"/>
      <c r="AE91" s="65"/>
      <c r="AF91" s="60" t="str">
        <f aca="false">IF(AB91="","",SUM(H91:K91))</f>
        <v/>
      </c>
      <c r="AG91" s="66" t="str">
        <f aca="false">IF(AB91="","",IF(M91&lt;&gt;0,(I91*0.5+L91)/M91,1))</f>
        <v/>
      </c>
      <c r="AH91" s="40"/>
      <c r="AI91" s="67"/>
      <c r="AJ91" s="68"/>
      <c r="AK91" s="69" t="str">
        <f aca="false">IF(AB91="","",AI91*AJ91/8)</f>
        <v/>
      </c>
      <c r="AL91" s="66"/>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66"/>
      <c r="BK91" s="66"/>
      <c r="BL91" s="66"/>
      <c r="BM91" s="66"/>
      <c r="BN91" s="66"/>
      <c r="BO91" s="66"/>
      <c r="BP91" s="66"/>
      <c r="BQ91" s="66"/>
      <c r="BR91" s="66"/>
      <c r="BS91" s="66"/>
      <c r="BT91" s="66"/>
      <c r="BU91" s="66"/>
      <c r="BV91" s="66"/>
      <c r="BW91" s="64" t="s">
        <v>469</v>
      </c>
    </row>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sheetData>
  <autoFilter ref="A24:BW92"/>
  <conditionalFormatting sqref="BK25:BV92">
    <cfRule type="cellIs" priority="2" operator="equal" aboveAverage="0" equalAverage="0" bottom="0" percent="0" rank="0" text="" dxfId="5">
      <formula>""</formula>
    </cfRule>
    <cfRule type="expression" priority="3" aboveAverage="0" equalAverage="0" bottom="0" percent="0" rank="0" text="" dxfId="6">
      <formula>EXACT(BK25,LOWER(BK25))</formula>
    </cfRule>
    <cfRule type="expression" priority="4" aboveAverage="0" equalAverage="0" bottom="0" percent="0" rank="0" text="" dxfId="7">
      <formula>EXACT(BK25,UPPER(BK25))</formula>
    </cfRule>
  </conditionalFormatting>
  <conditionalFormatting sqref="BK23:BV23">
    <cfRule type="expression" priority="5" aboveAverage="0" equalAverage="0" bottom="0" percent="0" rank="0" text="" dxfId="8">
      <formula>(BK$22=1)</formula>
    </cfRule>
  </conditionalFormatting>
  <conditionalFormatting sqref="AG25:AG91">
    <cfRule type="colorScale" priority="6">
      <colorScale>
        <cfvo type="num" val="0"/>
        <cfvo type="num" val="1"/>
        <color rgb="FFFF0000"/>
        <color rgb="FF00A933"/>
      </colorScale>
    </cfRule>
  </conditionalFormatting>
  <dataValidations count="7">
    <dataValidation allowBlank="true" errorStyle="stop" operator="equal" showDropDown="false" showErrorMessage="true" showInputMessage="false" sqref="Q25:Q91" type="list">
      <formula1>Static!$AI$5:$AI$7</formula1>
      <formula2>0</formula2>
    </dataValidation>
    <dataValidation allowBlank="true" errorStyle="stop" operator="equal" showDropDown="false" showErrorMessage="true" showInputMessage="false" sqref="Z25:Z91" type="list">
      <formula1>Static!$D$5:$D$14</formula1>
      <formula2>0</formula2>
    </dataValidation>
    <dataValidation allowBlank="true" errorStyle="stop" operator="equal" showDropDown="false" showErrorMessage="true" showInputMessage="false" sqref="AH25:AH91" type="list">
      <formula1>Static!$G$5:$G$14</formula1>
      <formula2>0</formula2>
    </dataValidation>
    <dataValidation allowBlank="true" errorStyle="stop" operator="equal" showDropDown="false" showErrorMessage="true" showInputMessage="false" sqref="S25:V91" type="none">
      <formula1>Static!$D$5:$D$14</formula1>
      <formula2>0</formula2>
    </dataValidation>
    <dataValidation allowBlank="true" errorStyle="stop" operator="equal" showDropDown="false" showErrorMessage="true" showInputMessage="false" sqref="W25:W91" type="list">
      <formula1>Static!$M$5:$V$5</formula1>
      <formula2>0</formula2>
    </dataValidation>
    <dataValidation allowBlank="true" errorStyle="stop" operator="equal" showDropDown="false" showErrorMessage="true" showInputMessage="false" sqref="AA25:AA91" type="list">
      <formula1>Static!$B$5:$B$9</formula1>
      <formula2>0</formula2>
    </dataValidation>
    <dataValidation allowBlank="true" errorStyle="stop" operator="equal" showDropDown="false" showErrorMessage="true" showInputMessage="false" sqref="X25:X91" type="list">
      <formula1>INDIRECT(W25)</formula1>
      <formula2>0</formula2>
    </dataValidation>
  </dataValidation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AKU73"/>
  <sheetViews>
    <sheetView showFormulas="false" showGridLines="false" showRowColHeaders="true" showZeros="true" rightToLeft="false" tabSelected="true" showOutlineSymbols="true" defaultGridColor="true" view="normal" topLeftCell="G1" colorId="64" zoomScale="100" zoomScaleNormal="100" zoomScalePageLayoutView="100" workbookViewId="0">
      <selection pane="topLeft" activeCell="O14" activeCellId="0" sqref="O14"/>
    </sheetView>
  </sheetViews>
  <sheetFormatPr defaultColWidth="15.1015625" defaultRowHeight="12.8" zeroHeight="false" outlineLevelRow="1" outlineLevelCol="1"/>
  <cols>
    <col collapsed="false" customWidth="true" hidden="true" outlineLevel="1" max="1" min="1" style="3" width="1.8"/>
    <col collapsed="false" customWidth="true" hidden="true" outlineLevel="1" max="2" min="2" style="3" width="6.21"/>
    <col collapsed="false" customWidth="true" hidden="false" outlineLevel="0" max="3" min="3" style="1" width="3.47"/>
    <col collapsed="false" customWidth="true" hidden="false" outlineLevel="0" max="4" min="4" style="29" width="18.23"/>
    <col collapsed="false" customWidth="true" hidden="false" outlineLevel="0" max="5" min="5" style="3" width="31.67"/>
    <col collapsed="false" customWidth="true" hidden="false" outlineLevel="0" max="6" min="6" style="3" width="51.92"/>
    <col collapsed="false" customWidth="true" hidden="false" outlineLevel="0" max="7" min="7" style="29" width="11.53"/>
    <col collapsed="false" customWidth="true" hidden="false" outlineLevel="0" max="10" min="8" style="71" width="11.43"/>
    <col collapsed="false" customWidth="true" hidden="false" outlineLevel="0" max="11" min="11" style="3" width="11.56"/>
    <col collapsed="false" customWidth="true" hidden="false" outlineLevel="0" max="14" min="12" style="29" width="14.9"/>
    <col collapsed="false" customWidth="true" hidden="false" outlineLevel="0" max="15" min="15" style="29" width="7.95"/>
    <col collapsed="false" customWidth="true" hidden="false" outlineLevel="0" max="16" min="16" style="3" width="14.9"/>
    <col collapsed="false" customWidth="true" hidden="false" outlineLevel="0" max="17" min="17" style="1" width="2.54"/>
    <col collapsed="false" customWidth="false" hidden="true" outlineLevel="0" max="983" min="18" style="1" width="15.08"/>
    <col collapsed="false" customWidth="true" hidden="false" outlineLevel="0" max="994" min="984" style="1" width="11.52"/>
    <col collapsed="false" customWidth="true" hidden="false" outlineLevel="0" max="16384" min="16348" style="0" width="11.53"/>
  </cols>
  <sheetData>
    <row r="1" customFormat="false" ht="120.95" hidden="true" customHeight="true" outlineLevel="1" collapsed="false">
      <c r="A1" s="30"/>
      <c r="B1" s="30"/>
      <c r="C1" s="34"/>
      <c r="D1" s="31" t="s">
        <v>520</v>
      </c>
      <c r="E1" s="31" t="s">
        <v>521</v>
      </c>
      <c r="F1" s="31" t="s">
        <v>522</v>
      </c>
      <c r="G1" s="31" t="s">
        <v>523</v>
      </c>
      <c r="H1" s="72" t="s">
        <v>524</v>
      </c>
      <c r="I1" s="72" t="s">
        <v>525</v>
      </c>
      <c r="J1" s="72" t="s">
        <v>526</v>
      </c>
      <c r="K1" s="31" t="s">
        <v>527</v>
      </c>
      <c r="L1" s="31" t="s">
        <v>528</v>
      </c>
      <c r="M1" s="31" t="s">
        <v>529</v>
      </c>
      <c r="N1" s="31" t="s">
        <v>530</v>
      </c>
      <c r="O1" s="31" t="s">
        <v>531</v>
      </c>
      <c r="P1" s="31" t="s">
        <v>532</v>
      </c>
      <c r="Q1" s="31" t="s">
        <v>412</v>
      </c>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c r="CT1" s="35"/>
      <c r="CU1" s="35"/>
      <c r="CV1" s="35"/>
      <c r="CW1" s="35"/>
      <c r="CX1" s="35"/>
      <c r="CY1" s="35"/>
      <c r="CZ1" s="35"/>
      <c r="DA1" s="35"/>
      <c r="DB1" s="35"/>
      <c r="DC1" s="35"/>
      <c r="DD1" s="35"/>
      <c r="DE1" s="35"/>
      <c r="DF1" s="35"/>
      <c r="DG1" s="35"/>
      <c r="DH1" s="35"/>
      <c r="DI1" s="35"/>
      <c r="DJ1" s="35"/>
      <c r="DK1" s="35"/>
      <c r="DL1" s="35"/>
      <c r="DM1" s="35"/>
      <c r="DN1" s="35"/>
      <c r="DO1" s="35"/>
      <c r="DP1" s="35"/>
      <c r="DQ1" s="35"/>
      <c r="DR1" s="35"/>
      <c r="DS1" s="35"/>
      <c r="DT1" s="35"/>
      <c r="DU1" s="35"/>
      <c r="DV1" s="35"/>
      <c r="DW1" s="35"/>
      <c r="DX1" s="35"/>
      <c r="DY1" s="35"/>
      <c r="DZ1" s="35"/>
      <c r="EA1" s="35"/>
      <c r="EB1" s="35"/>
      <c r="EC1" s="35"/>
      <c r="ED1" s="35"/>
      <c r="EE1" s="35"/>
      <c r="EF1" s="35"/>
      <c r="EG1" s="35"/>
      <c r="EH1" s="35"/>
      <c r="EI1" s="35"/>
      <c r="EJ1" s="35"/>
      <c r="EK1" s="35"/>
      <c r="EL1" s="35"/>
      <c r="EM1" s="35"/>
      <c r="EN1" s="35"/>
      <c r="EO1" s="35"/>
      <c r="EP1" s="35"/>
      <c r="EQ1" s="35"/>
      <c r="ER1" s="35"/>
      <c r="ES1" s="35"/>
      <c r="ET1" s="35"/>
      <c r="EU1" s="35"/>
      <c r="EV1" s="35"/>
      <c r="EW1" s="35"/>
      <c r="EX1" s="35"/>
      <c r="EY1" s="35"/>
      <c r="EZ1" s="35"/>
      <c r="FA1" s="35"/>
      <c r="FB1" s="35"/>
      <c r="FC1" s="35"/>
      <c r="FD1" s="35"/>
      <c r="FE1" s="35"/>
      <c r="FF1" s="35"/>
      <c r="FG1" s="35"/>
      <c r="FH1" s="35"/>
      <c r="FI1" s="35"/>
      <c r="FJ1" s="35"/>
      <c r="FK1" s="35"/>
      <c r="FL1" s="35"/>
      <c r="FM1" s="35"/>
      <c r="FN1" s="35"/>
      <c r="FO1" s="35"/>
      <c r="FP1" s="35"/>
      <c r="FQ1" s="35"/>
      <c r="FR1" s="35"/>
      <c r="FS1" s="35"/>
      <c r="FT1" s="35"/>
      <c r="FU1" s="35"/>
      <c r="FV1" s="35"/>
      <c r="FW1" s="35"/>
      <c r="FX1" s="35"/>
      <c r="FY1" s="35"/>
      <c r="FZ1" s="35"/>
      <c r="GA1" s="35"/>
      <c r="GB1" s="35"/>
      <c r="GC1" s="35"/>
      <c r="GD1" s="35"/>
      <c r="GE1" s="35"/>
      <c r="GF1" s="35"/>
      <c r="GG1" s="35"/>
      <c r="GH1" s="35"/>
      <c r="GI1" s="35"/>
      <c r="GJ1" s="35"/>
      <c r="GK1" s="35"/>
      <c r="GL1" s="35"/>
      <c r="GM1" s="35"/>
      <c r="GN1" s="35"/>
      <c r="GO1" s="35"/>
      <c r="GP1" s="35"/>
      <c r="GQ1" s="35"/>
      <c r="GR1" s="35"/>
      <c r="GS1" s="35"/>
      <c r="GT1" s="35"/>
      <c r="GU1" s="35"/>
      <c r="GV1" s="35"/>
      <c r="GW1" s="35"/>
      <c r="GX1" s="35"/>
      <c r="GY1" s="35"/>
      <c r="GZ1" s="35"/>
      <c r="HA1" s="35"/>
      <c r="HB1" s="35"/>
      <c r="HC1" s="35"/>
      <c r="HD1" s="35"/>
      <c r="HE1" s="35"/>
      <c r="HF1" s="35"/>
      <c r="HG1" s="35"/>
      <c r="HH1" s="35"/>
      <c r="HI1" s="35"/>
      <c r="HJ1" s="35"/>
      <c r="HK1" s="35"/>
      <c r="HL1" s="35"/>
      <c r="HM1" s="35"/>
      <c r="HN1" s="35"/>
      <c r="HO1" s="35"/>
      <c r="HP1" s="35"/>
      <c r="HQ1" s="35"/>
      <c r="HR1" s="35"/>
      <c r="HS1" s="35"/>
      <c r="HT1" s="35"/>
      <c r="HU1" s="35"/>
      <c r="HV1" s="35"/>
      <c r="HW1" s="35"/>
      <c r="HX1" s="35"/>
      <c r="HY1" s="35"/>
      <c r="HZ1" s="35"/>
      <c r="IA1" s="35"/>
      <c r="IB1" s="35"/>
      <c r="IC1" s="35"/>
      <c r="ID1" s="35"/>
      <c r="IE1" s="35"/>
      <c r="IF1" s="35"/>
      <c r="IG1" s="35"/>
      <c r="IH1" s="35"/>
      <c r="II1" s="35"/>
      <c r="IJ1" s="35"/>
      <c r="IK1" s="35"/>
      <c r="IL1" s="35"/>
      <c r="IM1" s="35"/>
      <c r="IN1" s="35"/>
      <c r="IO1" s="35"/>
      <c r="IP1" s="35"/>
      <c r="IQ1" s="35"/>
      <c r="IR1" s="35"/>
      <c r="IS1" s="35"/>
      <c r="IT1" s="35"/>
      <c r="IU1" s="35"/>
      <c r="IV1" s="35"/>
      <c r="IW1" s="35"/>
      <c r="IX1" s="35"/>
      <c r="IY1" s="35"/>
      <c r="IZ1" s="35"/>
      <c r="JA1" s="35"/>
      <c r="JB1" s="35"/>
      <c r="JC1" s="35"/>
      <c r="JD1" s="35"/>
      <c r="JE1" s="35"/>
      <c r="JF1" s="35"/>
      <c r="JG1" s="35"/>
      <c r="JH1" s="35"/>
      <c r="JI1" s="35"/>
      <c r="JJ1" s="35"/>
      <c r="JK1" s="35"/>
      <c r="JL1" s="35"/>
      <c r="JM1" s="35"/>
      <c r="JN1" s="35"/>
      <c r="JO1" s="35"/>
      <c r="JP1" s="35"/>
      <c r="JQ1" s="35"/>
      <c r="JR1" s="35"/>
      <c r="JS1" s="35"/>
      <c r="JT1" s="35"/>
      <c r="JU1" s="35"/>
      <c r="JV1" s="35"/>
      <c r="JW1" s="35"/>
      <c r="JX1" s="35"/>
      <c r="JY1" s="35"/>
      <c r="JZ1" s="35"/>
      <c r="KA1" s="35"/>
      <c r="KB1" s="35"/>
      <c r="KC1" s="35"/>
      <c r="KD1" s="35"/>
      <c r="KE1" s="35"/>
      <c r="KF1" s="35"/>
      <c r="KG1" s="35"/>
      <c r="KH1" s="35"/>
      <c r="KI1" s="35"/>
      <c r="KJ1" s="35"/>
      <c r="KK1" s="35"/>
      <c r="KL1" s="35"/>
      <c r="KM1" s="35"/>
      <c r="KN1" s="35"/>
      <c r="KO1" s="35"/>
      <c r="KP1" s="35"/>
      <c r="KQ1" s="35"/>
      <c r="KR1" s="35"/>
      <c r="KS1" s="35"/>
      <c r="KT1" s="35"/>
      <c r="KU1" s="35"/>
      <c r="KV1" s="35"/>
      <c r="KW1" s="35"/>
      <c r="KX1" s="35"/>
      <c r="KY1" s="35"/>
      <c r="KZ1" s="35"/>
      <c r="LA1" s="35"/>
      <c r="LB1" s="35"/>
      <c r="LC1" s="35"/>
      <c r="LD1" s="35"/>
      <c r="LE1" s="35"/>
      <c r="LF1" s="35"/>
      <c r="LG1" s="35"/>
      <c r="LH1" s="35"/>
      <c r="LI1" s="35"/>
      <c r="LJ1" s="35"/>
      <c r="LK1" s="35"/>
      <c r="LL1" s="35"/>
      <c r="LM1" s="35"/>
      <c r="LN1" s="35"/>
      <c r="LO1" s="35"/>
      <c r="LP1" s="35"/>
      <c r="LQ1" s="35"/>
      <c r="LR1" s="35"/>
      <c r="LS1" s="35"/>
      <c r="LT1" s="35"/>
      <c r="LU1" s="35"/>
      <c r="LV1" s="35"/>
      <c r="LW1" s="35"/>
      <c r="LX1" s="35"/>
      <c r="LY1" s="35"/>
      <c r="LZ1" s="35"/>
      <c r="MA1" s="35"/>
      <c r="MB1" s="35"/>
      <c r="MC1" s="35"/>
      <c r="MD1" s="35"/>
      <c r="ME1" s="35"/>
      <c r="MF1" s="35"/>
      <c r="MG1" s="35"/>
      <c r="MH1" s="35"/>
      <c r="MI1" s="35"/>
      <c r="MJ1" s="35"/>
      <c r="MK1" s="35"/>
      <c r="ML1" s="35"/>
      <c r="MM1" s="35"/>
      <c r="MN1" s="35"/>
      <c r="MO1" s="35"/>
      <c r="MP1" s="35"/>
      <c r="MQ1" s="35"/>
      <c r="MR1" s="35"/>
      <c r="MS1" s="35"/>
      <c r="MT1" s="35"/>
      <c r="MU1" s="35"/>
      <c r="MV1" s="35"/>
      <c r="MW1" s="35"/>
      <c r="MX1" s="35"/>
      <c r="MY1" s="35"/>
      <c r="MZ1" s="35"/>
      <c r="NA1" s="35"/>
      <c r="NB1" s="35"/>
      <c r="NC1" s="35"/>
      <c r="ND1" s="35"/>
      <c r="NE1" s="35"/>
      <c r="NF1" s="35"/>
      <c r="NG1" s="35"/>
      <c r="NH1" s="35"/>
      <c r="NI1" s="35"/>
      <c r="NJ1" s="35"/>
      <c r="NK1" s="35"/>
      <c r="NL1" s="35"/>
      <c r="NM1" s="35"/>
      <c r="NN1" s="35"/>
      <c r="NO1" s="35"/>
      <c r="NP1" s="35"/>
      <c r="NQ1" s="35"/>
      <c r="NR1" s="35"/>
      <c r="NS1" s="35"/>
      <c r="NT1" s="35"/>
      <c r="NU1" s="35"/>
      <c r="NV1" s="35"/>
      <c r="NW1" s="35"/>
      <c r="NX1" s="35"/>
      <c r="NY1" s="35"/>
      <c r="NZ1" s="35"/>
      <c r="OA1" s="35"/>
      <c r="OB1" s="35"/>
      <c r="OC1" s="35"/>
      <c r="OD1" s="35"/>
      <c r="OE1" s="35"/>
      <c r="OF1" s="35"/>
      <c r="OG1" s="35"/>
      <c r="OH1" s="35"/>
      <c r="OI1" s="35"/>
      <c r="OJ1" s="35"/>
      <c r="OK1" s="35"/>
      <c r="OL1" s="35"/>
      <c r="OM1" s="35"/>
      <c r="ON1" s="35"/>
      <c r="OO1" s="35"/>
      <c r="OP1" s="35"/>
      <c r="OQ1" s="35"/>
      <c r="OR1" s="35"/>
      <c r="OS1" s="35"/>
      <c r="OT1" s="35"/>
      <c r="OU1" s="35"/>
      <c r="OV1" s="35"/>
      <c r="OW1" s="35"/>
      <c r="OX1" s="35"/>
      <c r="OY1" s="35"/>
      <c r="OZ1" s="35"/>
      <c r="PA1" s="35"/>
      <c r="PB1" s="35"/>
      <c r="PC1" s="35"/>
      <c r="PD1" s="35"/>
      <c r="PE1" s="35"/>
      <c r="PF1" s="35"/>
      <c r="PG1" s="35"/>
      <c r="PH1" s="35"/>
      <c r="PI1" s="35"/>
      <c r="PJ1" s="35"/>
      <c r="PK1" s="35"/>
      <c r="PL1" s="35"/>
      <c r="PM1" s="35"/>
      <c r="PN1" s="35"/>
      <c r="PO1" s="35"/>
      <c r="PP1" s="35"/>
      <c r="PQ1" s="35"/>
      <c r="PR1" s="35"/>
      <c r="PS1" s="35"/>
      <c r="PT1" s="35"/>
      <c r="PU1" s="35"/>
      <c r="PV1" s="35"/>
      <c r="PW1" s="35"/>
      <c r="PX1" s="35"/>
      <c r="PY1" s="35"/>
      <c r="PZ1" s="35"/>
      <c r="QA1" s="35"/>
      <c r="QB1" s="35"/>
      <c r="QC1" s="35"/>
      <c r="QD1" s="35"/>
      <c r="QE1" s="35"/>
      <c r="QF1" s="35"/>
      <c r="QG1" s="35"/>
      <c r="QH1" s="35"/>
      <c r="QI1" s="35"/>
      <c r="QJ1" s="35"/>
      <c r="QK1" s="35"/>
      <c r="QL1" s="35"/>
      <c r="QM1" s="35"/>
      <c r="QN1" s="35"/>
      <c r="QO1" s="35"/>
      <c r="QP1" s="35"/>
      <c r="QQ1" s="35"/>
      <c r="QR1" s="35"/>
      <c r="QS1" s="35"/>
      <c r="QT1" s="35"/>
      <c r="QU1" s="35"/>
      <c r="QV1" s="35"/>
      <c r="QW1" s="35"/>
      <c r="QX1" s="35"/>
      <c r="QY1" s="35"/>
      <c r="QZ1" s="35"/>
      <c r="RA1" s="35"/>
      <c r="RB1" s="35"/>
      <c r="RC1" s="35"/>
      <c r="RD1" s="35"/>
      <c r="RE1" s="35"/>
      <c r="RF1" s="35"/>
      <c r="RG1" s="35"/>
      <c r="RH1" s="35"/>
      <c r="RI1" s="35"/>
      <c r="RJ1" s="35"/>
      <c r="RK1" s="35"/>
      <c r="RL1" s="35"/>
      <c r="RM1" s="35"/>
      <c r="RN1" s="35"/>
      <c r="RO1" s="35"/>
      <c r="RP1" s="35"/>
      <c r="RQ1" s="35"/>
      <c r="RR1" s="35"/>
      <c r="RS1" s="35"/>
      <c r="RT1" s="35"/>
      <c r="RU1" s="35"/>
      <c r="RV1" s="35"/>
      <c r="RW1" s="35"/>
      <c r="RX1" s="35"/>
      <c r="RY1" s="35"/>
      <c r="RZ1" s="35"/>
      <c r="SA1" s="35"/>
      <c r="SB1" s="35"/>
      <c r="SC1" s="35"/>
      <c r="SD1" s="35"/>
      <c r="SE1" s="35"/>
      <c r="SF1" s="35"/>
      <c r="SG1" s="35"/>
      <c r="SH1" s="35"/>
      <c r="SI1" s="35"/>
      <c r="SJ1" s="35"/>
      <c r="SK1" s="35"/>
      <c r="SL1" s="35"/>
      <c r="SM1" s="35"/>
      <c r="SN1" s="35"/>
      <c r="SO1" s="35"/>
      <c r="SP1" s="35"/>
      <c r="SQ1" s="35"/>
      <c r="SR1" s="35"/>
      <c r="SS1" s="35"/>
      <c r="ST1" s="35"/>
      <c r="SU1" s="35"/>
      <c r="SV1" s="35"/>
      <c r="SW1" s="35"/>
      <c r="SX1" s="35"/>
      <c r="SY1" s="35"/>
      <c r="SZ1" s="35"/>
      <c r="TA1" s="35"/>
      <c r="TB1" s="35"/>
      <c r="TC1" s="35"/>
      <c r="TD1" s="35"/>
      <c r="TE1" s="35"/>
      <c r="TF1" s="35"/>
      <c r="TG1" s="35"/>
      <c r="TH1" s="35"/>
      <c r="TI1" s="35"/>
      <c r="TJ1" s="35"/>
      <c r="TK1" s="35"/>
      <c r="TL1" s="35"/>
      <c r="TM1" s="35"/>
      <c r="TN1" s="35"/>
      <c r="TO1" s="35"/>
      <c r="TP1" s="35"/>
      <c r="TQ1" s="35"/>
      <c r="TR1" s="35"/>
      <c r="TS1" s="35"/>
      <c r="TT1" s="35"/>
      <c r="TU1" s="35"/>
      <c r="TV1" s="35"/>
      <c r="TW1" s="35"/>
      <c r="TX1" s="35"/>
      <c r="TY1" s="35"/>
      <c r="TZ1" s="35"/>
      <c r="UA1" s="35"/>
      <c r="UB1" s="35"/>
      <c r="UC1" s="35"/>
      <c r="UD1" s="35"/>
      <c r="UE1" s="35"/>
      <c r="UF1" s="35"/>
      <c r="UG1" s="35"/>
      <c r="UH1" s="35"/>
      <c r="UI1" s="35"/>
      <c r="UJ1" s="35"/>
      <c r="UK1" s="35"/>
      <c r="UL1" s="35"/>
      <c r="UM1" s="35"/>
      <c r="UN1" s="35"/>
      <c r="UO1" s="35"/>
      <c r="UP1" s="35"/>
      <c r="UQ1" s="35"/>
      <c r="UR1" s="35"/>
      <c r="US1" s="35"/>
      <c r="UT1" s="35"/>
      <c r="UU1" s="35"/>
      <c r="UV1" s="35"/>
      <c r="UW1" s="35"/>
      <c r="UX1" s="35"/>
      <c r="UY1" s="35"/>
      <c r="UZ1" s="35"/>
      <c r="VA1" s="35"/>
      <c r="VB1" s="35"/>
      <c r="VC1" s="35"/>
      <c r="VD1" s="35"/>
      <c r="VE1" s="35"/>
      <c r="VF1" s="35"/>
      <c r="VG1" s="35"/>
      <c r="VH1" s="35"/>
      <c r="VI1" s="35"/>
      <c r="VJ1" s="35"/>
      <c r="VK1" s="35"/>
      <c r="VL1" s="35"/>
      <c r="VM1" s="35"/>
      <c r="VN1" s="35"/>
      <c r="VO1" s="35"/>
      <c r="VP1" s="35"/>
      <c r="VQ1" s="35"/>
      <c r="VR1" s="35"/>
      <c r="VS1" s="35"/>
      <c r="VT1" s="35"/>
      <c r="VU1" s="35"/>
      <c r="VV1" s="35"/>
      <c r="VW1" s="35"/>
      <c r="VX1" s="35"/>
      <c r="VY1" s="35"/>
      <c r="VZ1" s="35"/>
      <c r="WA1" s="35"/>
      <c r="WB1" s="35"/>
      <c r="WC1" s="35"/>
      <c r="WD1" s="35"/>
      <c r="WE1" s="35"/>
      <c r="WF1" s="35"/>
      <c r="WG1" s="35"/>
      <c r="WH1" s="35"/>
      <c r="WI1" s="35"/>
      <c r="WJ1" s="35"/>
      <c r="WK1" s="35"/>
      <c r="WL1" s="35"/>
      <c r="WM1" s="35"/>
      <c r="WN1" s="35"/>
      <c r="WO1" s="35"/>
      <c r="WP1" s="35"/>
      <c r="WQ1" s="35"/>
      <c r="WR1" s="35"/>
      <c r="WS1" s="35"/>
      <c r="WT1" s="35"/>
      <c r="WU1" s="35"/>
      <c r="WV1" s="35"/>
      <c r="WW1" s="35"/>
      <c r="WX1" s="35"/>
      <c r="WY1" s="35"/>
      <c r="WZ1" s="35"/>
      <c r="XA1" s="35"/>
      <c r="XB1" s="35"/>
      <c r="XC1" s="35"/>
      <c r="XD1" s="35"/>
      <c r="XE1" s="35"/>
      <c r="XF1" s="35"/>
      <c r="XG1" s="35"/>
      <c r="XH1" s="35"/>
      <c r="XI1" s="35"/>
      <c r="XJ1" s="35"/>
      <c r="XK1" s="35"/>
      <c r="XL1" s="35"/>
      <c r="XM1" s="35"/>
      <c r="XN1" s="35"/>
      <c r="XO1" s="35"/>
      <c r="XP1" s="35"/>
      <c r="XQ1" s="35"/>
      <c r="XR1" s="35"/>
      <c r="XS1" s="35"/>
      <c r="XT1" s="35"/>
      <c r="XU1" s="35"/>
      <c r="XV1" s="35"/>
      <c r="XW1" s="35"/>
      <c r="XX1" s="35"/>
      <c r="XY1" s="35"/>
      <c r="XZ1" s="35"/>
      <c r="YA1" s="35"/>
      <c r="YB1" s="35"/>
      <c r="YC1" s="35"/>
      <c r="YD1" s="35"/>
      <c r="YE1" s="35"/>
      <c r="YF1" s="35"/>
      <c r="YG1" s="35"/>
      <c r="YH1" s="35"/>
      <c r="YI1" s="35"/>
      <c r="YJ1" s="35"/>
      <c r="YK1" s="35"/>
      <c r="YL1" s="35"/>
      <c r="YM1" s="35"/>
      <c r="YN1" s="35"/>
      <c r="YO1" s="35"/>
      <c r="YP1" s="35"/>
      <c r="YQ1" s="35"/>
      <c r="YR1" s="35"/>
      <c r="YS1" s="35"/>
      <c r="YT1" s="35"/>
      <c r="YU1" s="35"/>
      <c r="YV1" s="35"/>
      <c r="YW1" s="35"/>
      <c r="YX1" s="35"/>
      <c r="YY1" s="35"/>
      <c r="YZ1" s="35"/>
      <c r="ZA1" s="35"/>
      <c r="ZB1" s="35"/>
      <c r="ZC1" s="35"/>
      <c r="ZD1" s="35"/>
      <c r="ZE1" s="35"/>
      <c r="ZF1" s="35"/>
      <c r="ZG1" s="35"/>
      <c r="ZH1" s="35"/>
      <c r="ZI1" s="35"/>
      <c r="ZJ1" s="35"/>
      <c r="ZK1" s="35"/>
      <c r="ZL1" s="35"/>
      <c r="ZM1" s="35"/>
      <c r="ZN1" s="35"/>
      <c r="ZO1" s="35"/>
      <c r="ZP1" s="35"/>
      <c r="ZQ1" s="35"/>
      <c r="ZR1" s="35"/>
      <c r="ZS1" s="35"/>
      <c r="ZT1" s="35"/>
      <c r="ZU1" s="35"/>
      <c r="ZV1" s="35"/>
      <c r="ZW1" s="35"/>
      <c r="ZX1" s="35"/>
      <c r="ZY1" s="35"/>
      <c r="ZZ1" s="35"/>
      <c r="AAA1" s="35"/>
      <c r="AAB1" s="35"/>
      <c r="AAC1" s="35"/>
      <c r="AAD1" s="35"/>
      <c r="AAE1" s="35"/>
      <c r="AAF1" s="35"/>
      <c r="AAG1" s="35"/>
      <c r="AAH1" s="35"/>
      <c r="AAI1" s="35"/>
      <c r="AAJ1" s="35"/>
      <c r="AAK1" s="35"/>
      <c r="AAL1" s="35"/>
      <c r="AAM1" s="35"/>
      <c r="AAN1" s="35"/>
      <c r="AAO1" s="35"/>
      <c r="AAP1" s="35"/>
      <c r="AAQ1" s="35"/>
      <c r="AAR1" s="35"/>
      <c r="AAS1" s="35"/>
      <c r="AAT1" s="35"/>
      <c r="AAU1" s="35"/>
      <c r="AAV1" s="35"/>
      <c r="AAW1" s="35"/>
      <c r="AAX1" s="35"/>
      <c r="AAY1" s="35"/>
      <c r="AAZ1" s="35"/>
      <c r="ABA1" s="35"/>
      <c r="ABB1" s="35"/>
      <c r="ABC1" s="35"/>
      <c r="ABD1" s="35"/>
      <c r="ABE1" s="35"/>
      <c r="ABF1" s="35"/>
      <c r="ABG1" s="35"/>
      <c r="ABH1" s="35"/>
      <c r="ABI1" s="35"/>
      <c r="ABJ1" s="35"/>
      <c r="ABK1" s="35"/>
      <c r="ABL1" s="35"/>
      <c r="ABM1" s="35"/>
      <c r="ABN1" s="35"/>
      <c r="ABO1" s="35"/>
      <c r="ABP1" s="35"/>
      <c r="ABQ1" s="35"/>
      <c r="ABR1" s="35"/>
      <c r="ABS1" s="35"/>
      <c r="ABT1" s="35"/>
      <c r="ABU1" s="35"/>
      <c r="ABV1" s="35"/>
      <c r="ABW1" s="35"/>
      <c r="ABX1" s="35"/>
      <c r="ABY1" s="35"/>
      <c r="ABZ1" s="35"/>
      <c r="ACA1" s="35"/>
      <c r="ACB1" s="35"/>
      <c r="ACC1" s="35"/>
      <c r="ACD1" s="35"/>
      <c r="ACE1" s="35"/>
      <c r="ACF1" s="35"/>
      <c r="ACG1" s="35"/>
      <c r="ACH1" s="35"/>
      <c r="ACI1" s="35"/>
      <c r="ACJ1" s="35"/>
      <c r="ACK1" s="35"/>
      <c r="ACL1" s="35"/>
      <c r="ACM1" s="35"/>
      <c r="ACN1" s="35"/>
      <c r="ACO1" s="35"/>
      <c r="ACP1" s="35"/>
      <c r="ACQ1" s="35"/>
      <c r="ACR1" s="35"/>
      <c r="ACS1" s="35"/>
      <c r="ACT1" s="35"/>
      <c r="ACU1" s="35"/>
      <c r="ACV1" s="35"/>
      <c r="ACW1" s="35"/>
      <c r="ACX1" s="35"/>
      <c r="ACY1" s="35"/>
      <c r="ACZ1" s="35"/>
      <c r="ADA1" s="35"/>
      <c r="ADB1" s="35"/>
      <c r="ADC1" s="35"/>
      <c r="ADD1" s="35"/>
      <c r="ADE1" s="35"/>
      <c r="ADF1" s="35"/>
      <c r="ADG1" s="35"/>
      <c r="ADH1" s="35"/>
      <c r="ADI1" s="35"/>
      <c r="ADJ1" s="35"/>
      <c r="ADK1" s="35"/>
      <c r="ADL1" s="35"/>
      <c r="ADM1" s="35"/>
      <c r="ADN1" s="35"/>
      <c r="ADO1" s="35"/>
      <c r="ADP1" s="35"/>
      <c r="ADQ1" s="35"/>
      <c r="ADR1" s="35"/>
      <c r="ADS1" s="35"/>
      <c r="ADT1" s="35"/>
      <c r="ADU1" s="35"/>
      <c r="ADV1" s="35"/>
      <c r="ADW1" s="35"/>
      <c r="ADX1" s="35"/>
      <c r="ADY1" s="35"/>
      <c r="ADZ1" s="35"/>
      <c r="AEA1" s="35"/>
      <c r="AEB1" s="35"/>
      <c r="AEC1" s="35"/>
      <c r="AED1" s="35"/>
      <c r="AEE1" s="35"/>
      <c r="AEF1" s="35"/>
      <c r="AEG1" s="35"/>
      <c r="AEH1" s="35"/>
      <c r="AEI1" s="35"/>
      <c r="AEJ1" s="35"/>
      <c r="AEK1" s="35"/>
      <c r="AEL1" s="35"/>
      <c r="AEM1" s="35"/>
      <c r="AEN1" s="35"/>
      <c r="AEO1" s="35"/>
      <c r="AEP1" s="35"/>
      <c r="AEQ1" s="35"/>
      <c r="AER1" s="35"/>
      <c r="AES1" s="35"/>
      <c r="AET1" s="35"/>
      <c r="AEU1" s="35"/>
      <c r="AEV1" s="35"/>
      <c r="AEW1" s="35"/>
      <c r="AEX1" s="35"/>
      <c r="AEY1" s="35"/>
      <c r="AEZ1" s="35"/>
      <c r="AFA1" s="35"/>
      <c r="AFB1" s="35"/>
      <c r="AFC1" s="35"/>
      <c r="AFD1" s="35"/>
      <c r="AFE1" s="35"/>
      <c r="AFF1" s="35"/>
      <c r="AFG1" s="35"/>
      <c r="AFH1" s="35"/>
      <c r="AFI1" s="35"/>
      <c r="AFJ1" s="35"/>
      <c r="AFK1" s="35"/>
      <c r="AFL1" s="35"/>
      <c r="AFM1" s="35"/>
      <c r="AFN1" s="35"/>
      <c r="AFO1" s="35"/>
      <c r="AFP1" s="35"/>
      <c r="AFQ1" s="35"/>
      <c r="AFR1" s="35"/>
      <c r="AFS1" s="35"/>
      <c r="AFT1" s="35"/>
      <c r="AFU1" s="35"/>
      <c r="AFV1" s="35"/>
      <c r="AFW1" s="35"/>
      <c r="AFX1" s="35"/>
      <c r="AFY1" s="35"/>
      <c r="AFZ1" s="35"/>
      <c r="AGA1" s="35"/>
      <c r="AGB1" s="35"/>
      <c r="AGC1" s="35"/>
      <c r="AGD1" s="35"/>
      <c r="AGE1" s="35"/>
      <c r="AGF1" s="35"/>
      <c r="AGG1" s="35"/>
      <c r="AGH1" s="35"/>
      <c r="AGI1" s="35"/>
      <c r="AGJ1" s="35"/>
      <c r="AGK1" s="35"/>
      <c r="AGL1" s="35"/>
      <c r="AGM1" s="35"/>
      <c r="AGN1" s="35"/>
      <c r="AGO1" s="35"/>
      <c r="AGP1" s="35"/>
      <c r="AGQ1" s="35"/>
      <c r="AGR1" s="35"/>
      <c r="AGS1" s="35"/>
      <c r="AGT1" s="35"/>
      <c r="AGU1" s="35"/>
      <c r="AGV1" s="35"/>
      <c r="AGW1" s="35"/>
      <c r="AGX1" s="35"/>
      <c r="AGY1" s="35"/>
      <c r="AGZ1" s="35"/>
      <c r="AHA1" s="35"/>
      <c r="AHB1" s="35"/>
      <c r="AHC1" s="35"/>
      <c r="AHD1" s="35"/>
      <c r="AHE1" s="35"/>
      <c r="AHF1" s="35"/>
      <c r="AHG1" s="35"/>
      <c r="AHH1" s="35"/>
      <c r="AHI1" s="35"/>
      <c r="AHJ1" s="35"/>
      <c r="AHK1" s="35"/>
      <c r="AHL1" s="35"/>
      <c r="AHM1" s="35"/>
      <c r="AHN1" s="35"/>
      <c r="AHO1" s="35"/>
      <c r="AHP1" s="35"/>
      <c r="AHQ1" s="35"/>
      <c r="AHR1" s="35"/>
      <c r="AHS1" s="35"/>
      <c r="AHT1" s="35"/>
      <c r="AHU1" s="35"/>
      <c r="AHV1" s="35"/>
      <c r="AHW1" s="35"/>
      <c r="AHX1" s="35"/>
      <c r="AHY1" s="35"/>
      <c r="AHZ1" s="35"/>
      <c r="AIA1" s="35"/>
      <c r="AIB1" s="35"/>
      <c r="AIC1" s="35"/>
      <c r="AID1" s="35"/>
      <c r="AIE1" s="35"/>
      <c r="AIF1" s="35"/>
      <c r="AIG1" s="35"/>
      <c r="AIH1" s="35"/>
      <c r="AII1" s="35"/>
      <c r="AIJ1" s="35"/>
      <c r="AIK1" s="35"/>
      <c r="AIL1" s="35"/>
      <c r="AIM1" s="35"/>
      <c r="AIN1" s="35"/>
      <c r="AIO1" s="35"/>
      <c r="AIP1" s="35"/>
      <c r="AIQ1" s="35"/>
      <c r="AIR1" s="35"/>
      <c r="AIS1" s="35"/>
      <c r="AIT1" s="35"/>
      <c r="AIU1" s="35"/>
      <c r="AIV1" s="35"/>
      <c r="AIW1" s="35"/>
      <c r="AIX1" s="35"/>
      <c r="AIY1" s="35"/>
      <c r="AIZ1" s="35"/>
      <c r="AJA1" s="35"/>
      <c r="AJB1" s="35"/>
      <c r="AJC1" s="35"/>
      <c r="AJD1" s="35"/>
      <c r="AJE1" s="35"/>
      <c r="AJF1" s="35"/>
      <c r="AJG1" s="35"/>
      <c r="AJH1" s="35"/>
      <c r="AJI1" s="35"/>
      <c r="AJJ1" s="35"/>
      <c r="AJK1" s="35"/>
      <c r="AJL1" s="35"/>
      <c r="AJM1" s="35"/>
      <c r="AJN1" s="35"/>
      <c r="AJO1" s="35"/>
      <c r="AJP1" s="35"/>
      <c r="AJQ1" s="35"/>
      <c r="AJR1" s="35"/>
      <c r="AJS1" s="35"/>
      <c r="AJT1" s="35"/>
      <c r="AJU1" s="35"/>
      <c r="AJV1" s="35"/>
      <c r="AJW1" s="35"/>
      <c r="AJX1" s="35"/>
      <c r="AJY1" s="35"/>
      <c r="AJZ1" s="35"/>
      <c r="AKA1" s="35"/>
      <c r="AKB1" s="35"/>
      <c r="AKC1" s="35"/>
      <c r="AKD1" s="35"/>
      <c r="AKE1" s="35"/>
      <c r="AKF1" s="35"/>
      <c r="AKG1" s="35"/>
      <c r="AKH1" s="35"/>
      <c r="AKI1" s="35"/>
      <c r="AKJ1" s="35"/>
      <c r="AKK1" s="35"/>
      <c r="AKL1" s="35"/>
      <c r="AKM1" s="35"/>
      <c r="AKN1" s="35"/>
      <c r="AKO1" s="35"/>
      <c r="AKP1" s="35"/>
      <c r="AKQ1" s="35"/>
      <c r="AKR1" s="35"/>
      <c r="AKS1" s="35"/>
      <c r="AKT1" s="35"/>
      <c r="AKU1" s="35"/>
    </row>
    <row r="2" customFormat="false" ht="14.15" hidden="true" customHeight="true" outlineLevel="1" collapsed="false">
      <c r="A2" s="30" t="n">
        <f aca="true">TODAY()</f>
        <v>46321</v>
      </c>
      <c r="B2" s="33" t="n">
        <v>1</v>
      </c>
      <c r="C2" s="34"/>
      <c r="D2" s="33" t="s">
        <v>533</v>
      </c>
      <c r="E2" s="31" t="s">
        <v>533</v>
      </c>
      <c r="F2" s="31" t="s">
        <v>533</v>
      </c>
      <c r="G2" s="31" t="s">
        <v>533</v>
      </c>
      <c r="H2" s="31" t="s">
        <v>533</v>
      </c>
      <c r="I2" s="31" t="s">
        <v>533</v>
      </c>
      <c r="J2" s="31" t="s">
        <v>533</v>
      </c>
      <c r="K2" s="31" t="s">
        <v>533</v>
      </c>
      <c r="L2" s="33" t="s">
        <v>534</v>
      </c>
      <c r="M2" s="33" t="s">
        <v>534</v>
      </c>
      <c r="N2" s="33" t="s">
        <v>534</v>
      </c>
      <c r="O2" s="33" t="s">
        <v>534</v>
      </c>
      <c r="P2" s="33" t="s">
        <v>534</v>
      </c>
      <c r="Q2" s="31"/>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c r="CF2" s="35"/>
      <c r="CG2" s="35"/>
      <c r="CH2" s="35"/>
      <c r="CI2" s="35"/>
      <c r="CJ2" s="35"/>
      <c r="CK2" s="35"/>
      <c r="CL2" s="35"/>
      <c r="CM2" s="35"/>
      <c r="CN2" s="35"/>
      <c r="CO2" s="35"/>
      <c r="CP2" s="35"/>
      <c r="CQ2" s="35"/>
      <c r="CR2" s="35"/>
      <c r="CS2" s="35"/>
      <c r="CT2" s="35"/>
      <c r="CU2" s="35"/>
      <c r="CV2" s="35"/>
      <c r="CW2" s="35"/>
      <c r="CX2" s="35"/>
      <c r="CY2" s="35"/>
      <c r="CZ2" s="35"/>
      <c r="DA2" s="35"/>
      <c r="DB2" s="35"/>
      <c r="DC2" s="35"/>
      <c r="DD2" s="35"/>
      <c r="DE2" s="35"/>
      <c r="DF2" s="35"/>
      <c r="DG2" s="35"/>
      <c r="DH2" s="35"/>
      <c r="DI2" s="35"/>
      <c r="DJ2" s="35"/>
      <c r="DK2" s="35"/>
      <c r="DL2" s="35"/>
      <c r="DM2" s="35"/>
      <c r="DN2" s="35"/>
      <c r="DO2" s="35"/>
      <c r="DP2" s="35"/>
      <c r="DQ2" s="35"/>
      <c r="DR2" s="35"/>
      <c r="DS2" s="35"/>
      <c r="DT2" s="35"/>
      <c r="DU2" s="35"/>
      <c r="DV2" s="35"/>
      <c r="DW2" s="35"/>
      <c r="DX2" s="35"/>
      <c r="DY2" s="35"/>
      <c r="DZ2" s="35"/>
      <c r="EA2" s="35"/>
      <c r="EB2" s="35"/>
      <c r="EC2" s="35"/>
      <c r="ED2" s="35"/>
      <c r="EE2" s="35"/>
      <c r="EF2" s="35"/>
      <c r="EG2" s="35"/>
      <c r="EH2" s="35"/>
      <c r="EI2" s="35"/>
      <c r="EJ2" s="35"/>
      <c r="EK2" s="35"/>
      <c r="EL2" s="35"/>
      <c r="EM2" s="35"/>
      <c r="EN2" s="35"/>
      <c r="EO2" s="35"/>
      <c r="EP2" s="35"/>
      <c r="EQ2" s="35"/>
      <c r="ER2" s="35"/>
      <c r="ES2" s="35"/>
      <c r="ET2" s="35"/>
      <c r="EU2" s="35"/>
      <c r="EV2" s="35"/>
      <c r="EW2" s="35"/>
      <c r="EX2" s="35"/>
      <c r="EY2" s="35"/>
      <c r="EZ2" s="35"/>
      <c r="FA2" s="35"/>
      <c r="FB2" s="35"/>
      <c r="FC2" s="35"/>
      <c r="FD2" s="35"/>
      <c r="FE2" s="35"/>
      <c r="FF2" s="35"/>
      <c r="FG2" s="35"/>
      <c r="FH2" s="35"/>
      <c r="FI2" s="35"/>
      <c r="FJ2" s="35"/>
      <c r="FK2" s="35"/>
      <c r="FL2" s="35"/>
      <c r="FM2" s="35"/>
      <c r="FN2" s="35"/>
      <c r="FO2" s="35"/>
      <c r="FP2" s="35"/>
      <c r="FQ2" s="35"/>
      <c r="FR2" s="35"/>
      <c r="FS2" s="35"/>
      <c r="FT2" s="35"/>
      <c r="FU2" s="35"/>
      <c r="FV2" s="35"/>
      <c r="FW2" s="35"/>
      <c r="FX2" s="35"/>
      <c r="FY2" s="35"/>
      <c r="FZ2" s="35"/>
      <c r="GA2" s="35"/>
      <c r="GB2" s="35"/>
      <c r="GC2" s="35"/>
      <c r="GD2" s="35"/>
      <c r="GE2" s="35"/>
      <c r="GF2" s="35"/>
      <c r="GG2" s="35"/>
      <c r="GH2" s="35"/>
      <c r="GI2" s="35"/>
      <c r="GJ2" s="35"/>
      <c r="GK2" s="35"/>
      <c r="GL2" s="35"/>
      <c r="GM2" s="35"/>
      <c r="GN2" s="35"/>
      <c r="GO2" s="35"/>
      <c r="GP2" s="35"/>
      <c r="GQ2" s="35"/>
      <c r="GR2" s="35"/>
      <c r="GS2" s="35"/>
      <c r="GT2" s="35"/>
      <c r="GU2" s="35"/>
      <c r="GV2" s="35"/>
      <c r="GW2" s="35"/>
      <c r="GX2" s="35"/>
      <c r="GY2" s="35"/>
      <c r="GZ2" s="35"/>
      <c r="HA2" s="35"/>
      <c r="HB2" s="35"/>
      <c r="HC2" s="35"/>
      <c r="HD2" s="35"/>
      <c r="HE2" s="35"/>
      <c r="HF2" s="35"/>
      <c r="HG2" s="35"/>
      <c r="HH2" s="35"/>
      <c r="HI2" s="35"/>
      <c r="HJ2" s="35"/>
      <c r="HK2" s="35"/>
      <c r="HL2" s="35"/>
      <c r="HM2" s="35"/>
      <c r="HN2" s="35"/>
      <c r="HO2" s="35"/>
      <c r="HP2" s="35"/>
      <c r="HQ2" s="35"/>
      <c r="HR2" s="35"/>
      <c r="HS2" s="35"/>
      <c r="HT2" s="35"/>
      <c r="HU2" s="35"/>
      <c r="HV2" s="35"/>
      <c r="HW2" s="35"/>
      <c r="HX2" s="35"/>
      <c r="HY2" s="35"/>
      <c r="HZ2" s="35"/>
      <c r="IA2" s="35"/>
      <c r="IB2" s="35"/>
      <c r="IC2" s="35"/>
      <c r="ID2" s="35"/>
      <c r="IE2" s="35"/>
      <c r="IF2" s="35"/>
      <c r="IG2" s="35"/>
      <c r="IH2" s="35"/>
      <c r="II2" s="35"/>
      <c r="IJ2" s="35"/>
      <c r="IK2" s="35"/>
      <c r="IL2" s="35"/>
      <c r="IM2" s="35"/>
      <c r="IN2" s="35"/>
      <c r="IO2" s="35"/>
      <c r="IP2" s="35"/>
      <c r="IQ2" s="35"/>
      <c r="IR2" s="35"/>
      <c r="IS2" s="35"/>
      <c r="IT2" s="35"/>
      <c r="IU2" s="35"/>
      <c r="IV2" s="35"/>
      <c r="IW2" s="35"/>
      <c r="IX2" s="35"/>
      <c r="IY2" s="35"/>
      <c r="IZ2" s="35"/>
      <c r="JA2" s="35"/>
      <c r="JB2" s="35"/>
      <c r="JC2" s="35"/>
      <c r="JD2" s="35"/>
      <c r="JE2" s="35"/>
      <c r="JF2" s="35"/>
      <c r="JG2" s="35"/>
      <c r="JH2" s="35"/>
      <c r="JI2" s="35"/>
      <c r="JJ2" s="35"/>
      <c r="JK2" s="35"/>
      <c r="JL2" s="35"/>
      <c r="JM2" s="35"/>
      <c r="JN2" s="35"/>
      <c r="JO2" s="35"/>
      <c r="JP2" s="35"/>
      <c r="JQ2" s="35"/>
      <c r="JR2" s="35"/>
      <c r="JS2" s="35"/>
      <c r="JT2" s="35"/>
      <c r="JU2" s="35"/>
      <c r="JV2" s="35"/>
      <c r="JW2" s="35"/>
      <c r="JX2" s="35"/>
      <c r="JY2" s="35"/>
      <c r="JZ2" s="35"/>
      <c r="KA2" s="35"/>
      <c r="KB2" s="35"/>
      <c r="KC2" s="35"/>
      <c r="KD2" s="35"/>
      <c r="KE2" s="35"/>
      <c r="KF2" s="35"/>
      <c r="KG2" s="35"/>
      <c r="KH2" s="35"/>
      <c r="KI2" s="35"/>
      <c r="KJ2" s="35"/>
      <c r="KK2" s="35"/>
      <c r="KL2" s="35"/>
      <c r="KM2" s="35"/>
      <c r="KN2" s="35"/>
      <c r="KO2" s="35"/>
      <c r="KP2" s="35"/>
      <c r="KQ2" s="35"/>
      <c r="KR2" s="35"/>
      <c r="KS2" s="35"/>
      <c r="KT2" s="35"/>
      <c r="KU2" s="35"/>
      <c r="KV2" s="35"/>
      <c r="KW2" s="35"/>
      <c r="KX2" s="35"/>
      <c r="KY2" s="35"/>
      <c r="KZ2" s="35"/>
      <c r="LA2" s="35"/>
      <c r="LB2" s="35"/>
      <c r="LC2" s="35"/>
      <c r="LD2" s="35"/>
      <c r="LE2" s="35"/>
      <c r="LF2" s="35"/>
      <c r="LG2" s="35"/>
      <c r="LH2" s="35"/>
      <c r="LI2" s="35"/>
      <c r="LJ2" s="35"/>
      <c r="LK2" s="35"/>
      <c r="LL2" s="35"/>
      <c r="LM2" s="35"/>
      <c r="LN2" s="35"/>
      <c r="LO2" s="35"/>
      <c r="LP2" s="35"/>
      <c r="LQ2" s="35"/>
      <c r="LR2" s="35"/>
      <c r="LS2" s="35"/>
      <c r="LT2" s="35"/>
      <c r="LU2" s="35"/>
      <c r="LV2" s="35"/>
      <c r="LW2" s="35"/>
      <c r="LX2" s="35"/>
      <c r="LY2" s="35"/>
      <c r="LZ2" s="35"/>
      <c r="MA2" s="35"/>
      <c r="MB2" s="35"/>
      <c r="MC2" s="35"/>
      <c r="MD2" s="35"/>
      <c r="ME2" s="35"/>
      <c r="MF2" s="35"/>
      <c r="MG2" s="35"/>
      <c r="MH2" s="35"/>
      <c r="MI2" s="35"/>
      <c r="MJ2" s="35"/>
      <c r="MK2" s="35"/>
      <c r="ML2" s="35"/>
      <c r="MM2" s="35"/>
      <c r="MN2" s="35"/>
      <c r="MO2" s="35"/>
      <c r="MP2" s="35"/>
      <c r="MQ2" s="35"/>
      <c r="MR2" s="35"/>
      <c r="MS2" s="35"/>
      <c r="MT2" s="35"/>
      <c r="MU2" s="35"/>
      <c r="MV2" s="35"/>
      <c r="MW2" s="35"/>
      <c r="MX2" s="35"/>
      <c r="MY2" s="35"/>
      <c r="MZ2" s="35"/>
      <c r="NA2" s="35"/>
      <c r="NB2" s="35"/>
      <c r="NC2" s="35"/>
      <c r="ND2" s="35"/>
      <c r="NE2" s="35"/>
      <c r="NF2" s="35"/>
      <c r="NG2" s="35"/>
      <c r="NH2" s="35"/>
      <c r="NI2" s="35"/>
      <c r="NJ2" s="35"/>
      <c r="NK2" s="35"/>
      <c r="NL2" s="35"/>
      <c r="NM2" s="35"/>
      <c r="NN2" s="35"/>
      <c r="NO2" s="35"/>
      <c r="NP2" s="35"/>
      <c r="NQ2" s="35"/>
      <c r="NR2" s="35"/>
      <c r="NS2" s="35"/>
      <c r="NT2" s="35"/>
      <c r="NU2" s="35"/>
      <c r="NV2" s="35"/>
      <c r="NW2" s="35"/>
      <c r="NX2" s="35"/>
      <c r="NY2" s="35"/>
      <c r="NZ2" s="35"/>
      <c r="OA2" s="35"/>
      <c r="OB2" s="35"/>
      <c r="OC2" s="35"/>
      <c r="OD2" s="35"/>
      <c r="OE2" s="35"/>
      <c r="OF2" s="35"/>
      <c r="OG2" s="35"/>
      <c r="OH2" s="35"/>
      <c r="OI2" s="35"/>
      <c r="OJ2" s="35"/>
      <c r="OK2" s="35"/>
      <c r="OL2" s="35"/>
      <c r="OM2" s="35"/>
      <c r="ON2" s="35"/>
      <c r="OO2" s="35"/>
      <c r="OP2" s="35"/>
      <c r="OQ2" s="35"/>
      <c r="OR2" s="35"/>
      <c r="OS2" s="35"/>
      <c r="OT2" s="35"/>
      <c r="OU2" s="35"/>
      <c r="OV2" s="35"/>
      <c r="OW2" s="35"/>
      <c r="OX2" s="35"/>
      <c r="OY2" s="35"/>
      <c r="OZ2" s="35"/>
      <c r="PA2" s="35"/>
      <c r="PB2" s="35"/>
      <c r="PC2" s="35"/>
      <c r="PD2" s="35"/>
      <c r="PE2" s="35"/>
      <c r="PF2" s="35"/>
      <c r="PG2" s="35"/>
      <c r="PH2" s="35"/>
      <c r="PI2" s="35"/>
      <c r="PJ2" s="35"/>
      <c r="PK2" s="35"/>
      <c r="PL2" s="35"/>
      <c r="PM2" s="35"/>
      <c r="PN2" s="35"/>
      <c r="PO2" s="35"/>
      <c r="PP2" s="35"/>
      <c r="PQ2" s="35"/>
      <c r="PR2" s="35"/>
      <c r="PS2" s="35"/>
      <c r="PT2" s="35"/>
      <c r="PU2" s="35"/>
      <c r="PV2" s="35"/>
      <c r="PW2" s="35"/>
      <c r="PX2" s="35"/>
      <c r="PY2" s="35"/>
      <c r="PZ2" s="35"/>
      <c r="QA2" s="35"/>
      <c r="QB2" s="35"/>
      <c r="QC2" s="35"/>
      <c r="QD2" s="35"/>
      <c r="QE2" s="35"/>
      <c r="QF2" s="35"/>
      <c r="QG2" s="35"/>
      <c r="QH2" s="35"/>
      <c r="QI2" s="35"/>
      <c r="QJ2" s="35"/>
      <c r="QK2" s="35"/>
      <c r="QL2" s="35"/>
      <c r="QM2" s="35"/>
      <c r="QN2" s="35"/>
      <c r="QO2" s="35"/>
      <c r="QP2" s="35"/>
      <c r="QQ2" s="35"/>
      <c r="QR2" s="35"/>
      <c r="QS2" s="35"/>
      <c r="QT2" s="35"/>
      <c r="QU2" s="35"/>
      <c r="QV2" s="35"/>
      <c r="QW2" s="35"/>
      <c r="QX2" s="35"/>
      <c r="QY2" s="35"/>
      <c r="QZ2" s="35"/>
      <c r="RA2" s="35"/>
      <c r="RB2" s="35"/>
      <c r="RC2" s="35"/>
      <c r="RD2" s="35"/>
      <c r="RE2" s="35"/>
      <c r="RF2" s="35"/>
      <c r="RG2" s="35"/>
      <c r="RH2" s="35"/>
      <c r="RI2" s="35"/>
      <c r="RJ2" s="35"/>
      <c r="RK2" s="35"/>
      <c r="RL2" s="35"/>
      <c r="RM2" s="35"/>
      <c r="RN2" s="35"/>
      <c r="RO2" s="35"/>
      <c r="RP2" s="35"/>
      <c r="RQ2" s="35"/>
      <c r="RR2" s="35"/>
      <c r="RS2" s="35"/>
      <c r="RT2" s="35"/>
      <c r="RU2" s="35"/>
      <c r="RV2" s="35"/>
      <c r="RW2" s="35"/>
      <c r="RX2" s="35"/>
      <c r="RY2" s="35"/>
      <c r="RZ2" s="35"/>
      <c r="SA2" s="35"/>
      <c r="SB2" s="35"/>
      <c r="SC2" s="35"/>
      <c r="SD2" s="35"/>
      <c r="SE2" s="35"/>
      <c r="SF2" s="35"/>
      <c r="SG2" s="35"/>
      <c r="SH2" s="35"/>
      <c r="SI2" s="35"/>
      <c r="SJ2" s="35"/>
      <c r="SK2" s="35"/>
      <c r="SL2" s="35"/>
      <c r="SM2" s="35"/>
      <c r="SN2" s="35"/>
      <c r="SO2" s="35"/>
      <c r="SP2" s="35"/>
      <c r="SQ2" s="35"/>
      <c r="SR2" s="35"/>
      <c r="SS2" s="35"/>
      <c r="ST2" s="35"/>
      <c r="SU2" s="35"/>
      <c r="SV2" s="35"/>
      <c r="SW2" s="35"/>
      <c r="SX2" s="35"/>
      <c r="SY2" s="35"/>
      <c r="SZ2" s="35"/>
      <c r="TA2" s="35"/>
      <c r="TB2" s="35"/>
      <c r="TC2" s="35"/>
      <c r="TD2" s="35"/>
      <c r="TE2" s="35"/>
      <c r="TF2" s="35"/>
      <c r="TG2" s="35"/>
      <c r="TH2" s="35"/>
      <c r="TI2" s="35"/>
      <c r="TJ2" s="35"/>
      <c r="TK2" s="35"/>
      <c r="TL2" s="35"/>
      <c r="TM2" s="35"/>
      <c r="TN2" s="35"/>
      <c r="TO2" s="35"/>
      <c r="TP2" s="35"/>
      <c r="TQ2" s="35"/>
      <c r="TR2" s="35"/>
      <c r="TS2" s="35"/>
      <c r="TT2" s="35"/>
      <c r="TU2" s="35"/>
      <c r="TV2" s="35"/>
      <c r="TW2" s="35"/>
      <c r="TX2" s="35"/>
      <c r="TY2" s="35"/>
      <c r="TZ2" s="35"/>
      <c r="UA2" s="35"/>
      <c r="UB2" s="35"/>
      <c r="UC2" s="35"/>
      <c r="UD2" s="35"/>
      <c r="UE2" s="35"/>
      <c r="UF2" s="35"/>
      <c r="UG2" s="35"/>
      <c r="UH2" s="35"/>
      <c r="UI2" s="35"/>
      <c r="UJ2" s="35"/>
      <c r="UK2" s="35"/>
      <c r="UL2" s="35"/>
      <c r="UM2" s="35"/>
      <c r="UN2" s="35"/>
      <c r="UO2" s="35"/>
      <c r="UP2" s="35"/>
      <c r="UQ2" s="35"/>
      <c r="UR2" s="35"/>
      <c r="US2" s="35"/>
      <c r="UT2" s="35"/>
      <c r="UU2" s="35"/>
      <c r="UV2" s="35"/>
      <c r="UW2" s="35"/>
      <c r="UX2" s="35"/>
      <c r="UY2" s="35"/>
      <c r="UZ2" s="35"/>
      <c r="VA2" s="35"/>
      <c r="VB2" s="35"/>
      <c r="VC2" s="35"/>
      <c r="VD2" s="35"/>
      <c r="VE2" s="35"/>
      <c r="VF2" s="35"/>
      <c r="VG2" s="35"/>
      <c r="VH2" s="35"/>
      <c r="VI2" s="35"/>
      <c r="VJ2" s="35"/>
      <c r="VK2" s="35"/>
      <c r="VL2" s="35"/>
      <c r="VM2" s="35"/>
      <c r="VN2" s="35"/>
      <c r="VO2" s="35"/>
      <c r="VP2" s="35"/>
      <c r="VQ2" s="35"/>
      <c r="VR2" s="35"/>
      <c r="VS2" s="35"/>
      <c r="VT2" s="35"/>
      <c r="VU2" s="35"/>
      <c r="VV2" s="35"/>
      <c r="VW2" s="35"/>
      <c r="VX2" s="35"/>
      <c r="VY2" s="35"/>
      <c r="VZ2" s="35"/>
      <c r="WA2" s="35"/>
      <c r="WB2" s="35"/>
      <c r="WC2" s="35"/>
      <c r="WD2" s="35"/>
      <c r="WE2" s="35"/>
      <c r="WF2" s="35"/>
      <c r="WG2" s="35"/>
      <c r="WH2" s="35"/>
      <c r="WI2" s="35"/>
      <c r="WJ2" s="35"/>
      <c r="WK2" s="35"/>
      <c r="WL2" s="35"/>
      <c r="WM2" s="35"/>
      <c r="WN2" s="35"/>
      <c r="WO2" s="35"/>
      <c r="WP2" s="35"/>
      <c r="WQ2" s="35"/>
      <c r="WR2" s="35"/>
      <c r="WS2" s="35"/>
      <c r="WT2" s="35"/>
      <c r="WU2" s="35"/>
      <c r="WV2" s="35"/>
      <c r="WW2" s="35"/>
      <c r="WX2" s="35"/>
      <c r="WY2" s="35"/>
      <c r="WZ2" s="35"/>
      <c r="XA2" s="35"/>
      <c r="XB2" s="35"/>
      <c r="XC2" s="35"/>
      <c r="XD2" s="35"/>
      <c r="XE2" s="35"/>
      <c r="XF2" s="35"/>
      <c r="XG2" s="35"/>
      <c r="XH2" s="35"/>
      <c r="XI2" s="35"/>
      <c r="XJ2" s="35"/>
      <c r="XK2" s="35"/>
      <c r="XL2" s="35"/>
      <c r="XM2" s="35"/>
      <c r="XN2" s="35"/>
      <c r="XO2" s="35"/>
      <c r="XP2" s="35"/>
      <c r="XQ2" s="35"/>
      <c r="XR2" s="35"/>
      <c r="XS2" s="35"/>
      <c r="XT2" s="35"/>
      <c r="XU2" s="35"/>
      <c r="XV2" s="35"/>
      <c r="XW2" s="35"/>
      <c r="XX2" s="35"/>
      <c r="XY2" s="35"/>
      <c r="XZ2" s="35"/>
      <c r="YA2" s="35"/>
      <c r="YB2" s="35"/>
      <c r="YC2" s="35"/>
      <c r="YD2" s="35"/>
      <c r="YE2" s="35"/>
      <c r="YF2" s="35"/>
      <c r="YG2" s="35"/>
      <c r="YH2" s="35"/>
      <c r="YI2" s="35"/>
      <c r="YJ2" s="35"/>
      <c r="YK2" s="35"/>
      <c r="YL2" s="35"/>
      <c r="YM2" s="35"/>
      <c r="YN2" s="35"/>
      <c r="YO2" s="35"/>
      <c r="YP2" s="35"/>
      <c r="YQ2" s="35"/>
      <c r="YR2" s="35"/>
      <c r="YS2" s="35"/>
      <c r="YT2" s="35"/>
      <c r="YU2" s="35"/>
      <c r="YV2" s="35"/>
      <c r="YW2" s="35"/>
      <c r="YX2" s="35"/>
      <c r="YY2" s="35"/>
      <c r="YZ2" s="35"/>
      <c r="ZA2" s="35"/>
      <c r="ZB2" s="35"/>
      <c r="ZC2" s="35"/>
      <c r="ZD2" s="35"/>
      <c r="ZE2" s="35"/>
      <c r="ZF2" s="35"/>
      <c r="ZG2" s="35"/>
      <c r="ZH2" s="35"/>
      <c r="ZI2" s="35"/>
      <c r="ZJ2" s="35"/>
      <c r="ZK2" s="35"/>
      <c r="ZL2" s="35"/>
      <c r="ZM2" s="35"/>
      <c r="ZN2" s="35"/>
      <c r="ZO2" s="35"/>
      <c r="ZP2" s="35"/>
      <c r="ZQ2" s="35"/>
      <c r="ZR2" s="35"/>
      <c r="ZS2" s="35"/>
      <c r="ZT2" s="35"/>
      <c r="ZU2" s="35"/>
      <c r="ZV2" s="35"/>
      <c r="ZW2" s="35"/>
      <c r="ZX2" s="35"/>
      <c r="ZY2" s="35"/>
      <c r="ZZ2" s="35"/>
      <c r="AAA2" s="35"/>
      <c r="AAB2" s="35"/>
      <c r="AAC2" s="35"/>
      <c r="AAD2" s="35"/>
      <c r="AAE2" s="35"/>
      <c r="AAF2" s="35"/>
      <c r="AAG2" s="35"/>
      <c r="AAH2" s="35"/>
      <c r="AAI2" s="35"/>
      <c r="AAJ2" s="35"/>
      <c r="AAK2" s="35"/>
      <c r="AAL2" s="35"/>
      <c r="AAM2" s="35"/>
      <c r="AAN2" s="35"/>
      <c r="AAO2" s="35"/>
      <c r="AAP2" s="35"/>
      <c r="AAQ2" s="35"/>
      <c r="AAR2" s="35"/>
      <c r="AAS2" s="35"/>
      <c r="AAT2" s="35"/>
      <c r="AAU2" s="35"/>
      <c r="AAV2" s="35"/>
      <c r="AAW2" s="35"/>
      <c r="AAX2" s="35"/>
      <c r="AAY2" s="35"/>
      <c r="AAZ2" s="35"/>
      <c r="ABA2" s="35"/>
      <c r="ABB2" s="35"/>
      <c r="ABC2" s="35"/>
      <c r="ABD2" s="35"/>
      <c r="ABE2" s="35"/>
      <c r="ABF2" s="35"/>
      <c r="ABG2" s="35"/>
      <c r="ABH2" s="35"/>
      <c r="ABI2" s="35"/>
      <c r="ABJ2" s="35"/>
      <c r="ABK2" s="35"/>
      <c r="ABL2" s="35"/>
      <c r="ABM2" s="35"/>
      <c r="ABN2" s="35"/>
      <c r="ABO2" s="35"/>
      <c r="ABP2" s="35"/>
      <c r="ABQ2" s="35"/>
      <c r="ABR2" s="35"/>
      <c r="ABS2" s="35"/>
      <c r="ABT2" s="35"/>
      <c r="ABU2" s="35"/>
      <c r="ABV2" s="35"/>
      <c r="ABW2" s="35"/>
      <c r="ABX2" s="35"/>
      <c r="ABY2" s="35"/>
      <c r="ABZ2" s="35"/>
      <c r="ACA2" s="35"/>
      <c r="ACB2" s="35"/>
      <c r="ACC2" s="35"/>
      <c r="ACD2" s="35"/>
      <c r="ACE2" s="35"/>
      <c r="ACF2" s="35"/>
      <c r="ACG2" s="35"/>
      <c r="ACH2" s="35"/>
      <c r="ACI2" s="35"/>
      <c r="ACJ2" s="35"/>
      <c r="ACK2" s="35"/>
      <c r="ACL2" s="35"/>
      <c r="ACM2" s="35"/>
      <c r="ACN2" s="35"/>
      <c r="ACO2" s="35"/>
      <c r="ACP2" s="35"/>
      <c r="ACQ2" s="35"/>
      <c r="ACR2" s="35"/>
      <c r="ACS2" s="35"/>
      <c r="ACT2" s="35"/>
      <c r="ACU2" s="35"/>
      <c r="ACV2" s="35"/>
      <c r="ACW2" s="35"/>
      <c r="ACX2" s="35"/>
      <c r="ACY2" s="35"/>
      <c r="ACZ2" s="35"/>
      <c r="ADA2" s="35"/>
      <c r="ADB2" s="35"/>
      <c r="ADC2" s="35"/>
      <c r="ADD2" s="35"/>
      <c r="ADE2" s="35"/>
      <c r="ADF2" s="35"/>
      <c r="ADG2" s="35"/>
      <c r="ADH2" s="35"/>
      <c r="ADI2" s="35"/>
      <c r="ADJ2" s="35"/>
      <c r="ADK2" s="35"/>
      <c r="ADL2" s="35"/>
      <c r="ADM2" s="35"/>
      <c r="ADN2" s="35"/>
      <c r="ADO2" s="35"/>
      <c r="ADP2" s="35"/>
      <c r="ADQ2" s="35"/>
      <c r="ADR2" s="35"/>
      <c r="ADS2" s="35"/>
      <c r="ADT2" s="35"/>
      <c r="ADU2" s="35"/>
      <c r="ADV2" s="35"/>
      <c r="ADW2" s="35"/>
      <c r="ADX2" s="35"/>
      <c r="ADY2" s="35"/>
      <c r="ADZ2" s="35"/>
      <c r="AEA2" s="35"/>
      <c r="AEB2" s="35"/>
      <c r="AEC2" s="35"/>
      <c r="AED2" s="35"/>
      <c r="AEE2" s="35"/>
      <c r="AEF2" s="35"/>
      <c r="AEG2" s="35"/>
      <c r="AEH2" s="35"/>
      <c r="AEI2" s="35"/>
      <c r="AEJ2" s="35"/>
      <c r="AEK2" s="35"/>
      <c r="AEL2" s="35"/>
      <c r="AEM2" s="35"/>
      <c r="AEN2" s="35"/>
      <c r="AEO2" s="35"/>
      <c r="AEP2" s="35"/>
      <c r="AEQ2" s="35"/>
      <c r="AER2" s="35"/>
      <c r="AES2" s="35"/>
      <c r="AET2" s="35"/>
      <c r="AEU2" s="35"/>
      <c r="AEV2" s="35"/>
      <c r="AEW2" s="35"/>
      <c r="AEX2" s="35"/>
      <c r="AEY2" s="35"/>
      <c r="AEZ2" s="35"/>
      <c r="AFA2" s="35"/>
      <c r="AFB2" s="35"/>
      <c r="AFC2" s="35"/>
      <c r="AFD2" s="35"/>
      <c r="AFE2" s="35"/>
      <c r="AFF2" s="35"/>
      <c r="AFG2" s="35"/>
      <c r="AFH2" s="35"/>
      <c r="AFI2" s="35"/>
      <c r="AFJ2" s="35"/>
      <c r="AFK2" s="35"/>
      <c r="AFL2" s="35"/>
      <c r="AFM2" s="35"/>
      <c r="AFN2" s="35"/>
      <c r="AFO2" s="35"/>
      <c r="AFP2" s="35"/>
      <c r="AFQ2" s="35"/>
      <c r="AFR2" s="35"/>
      <c r="AFS2" s="35"/>
      <c r="AFT2" s="35"/>
      <c r="AFU2" s="35"/>
      <c r="AFV2" s="35"/>
      <c r="AFW2" s="35"/>
      <c r="AFX2" s="35"/>
      <c r="AFY2" s="35"/>
      <c r="AFZ2" s="35"/>
      <c r="AGA2" s="35"/>
      <c r="AGB2" s="35"/>
      <c r="AGC2" s="35"/>
      <c r="AGD2" s="35"/>
      <c r="AGE2" s="35"/>
      <c r="AGF2" s="35"/>
      <c r="AGG2" s="35"/>
      <c r="AGH2" s="35"/>
      <c r="AGI2" s="35"/>
      <c r="AGJ2" s="35"/>
      <c r="AGK2" s="35"/>
      <c r="AGL2" s="35"/>
      <c r="AGM2" s="35"/>
      <c r="AGN2" s="35"/>
      <c r="AGO2" s="35"/>
      <c r="AGP2" s="35"/>
      <c r="AGQ2" s="35"/>
      <c r="AGR2" s="35"/>
      <c r="AGS2" s="35"/>
      <c r="AGT2" s="35"/>
      <c r="AGU2" s="35"/>
      <c r="AGV2" s="35"/>
      <c r="AGW2" s="35"/>
      <c r="AGX2" s="35"/>
      <c r="AGY2" s="35"/>
      <c r="AGZ2" s="35"/>
      <c r="AHA2" s="35"/>
      <c r="AHB2" s="35"/>
      <c r="AHC2" s="35"/>
      <c r="AHD2" s="35"/>
      <c r="AHE2" s="35"/>
      <c r="AHF2" s="35"/>
      <c r="AHG2" s="35"/>
      <c r="AHH2" s="35"/>
      <c r="AHI2" s="35"/>
      <c r="AHJ2" s="35"/>
      <c r="AHK2" s="35"/>
      <c r="AHL2" s="35"/>
      <c r="AHM2" s="35"/>
      <c r="AHN2" s="35"/>
      <c r="AHO2" s="35"/>
      <c r="AHP2" s="35"/>
      <c r="AHQ2" s="35"/>
      <c r="AHR2" s="35"/>
      <c r="AHS2" s="35"/>
      <c r="AHT2" s="35"/>
      <c r="AHU2" s="35"/>
      <c r="AHV2" s="35"/>
      <c r="AHW2" s="35"/>
      <c r="AHX2" s="35"/>
      <c r="AHY2" s="35"/>
      <c r="AHZ2" s="35"/>
      <c r="AIA2" s="35"/>
      <c r="AIB2" s="35"/>
      <c r="AIC2" s="35"/>
      <c r="AID2" s="35"/>
      <c r="AIE2" s="35"/>
      <c r="AIF2" s="35"/>
      <c r="AIG2" s="35"/>
      <c r="AIH2" s="35"/>
      <c r="AII2" s="35"/>
      <c r="AIJ2" s="35"/>
      <c r="AIK2" s="35"/>
      <c r="AIL2" s="35"/>
      <c r="AIM2" s="35"/>
      <c r="AIN2" s="35"/>
      <c r="AIO2" s="35"/>
      <c r="AIP2" s="35"/>
      <c r="AIQ2" s="35"/>
      <c r="AIR2" s="35"/>
      <c r="AIS2" s="35"/>
      <c r="AIT2" s="35"/>
      <c r="AIU2" s="35"/>
      <c r="AIV2" s="35"/>
      <c r="AIW2" s="35"/>
      <c r="AIX2" s="35"/>
      <c r="AIY2" s="35"/>
      <c r="AIZ2" s="35"/>
      <c r="AJA2" s="35"/>
      <c r="AJB2" s="35"/>
      <c r="AJC2" s="35"/>
      <c r="AJD2" s="35"/>
      <c r="AJE2" s="35"/>
      <c r="AJF2" s="35"/>
      <c r="AJG2" s="35"/>
      <c r="AJH2" s="35"/>
      <c r="AJI2" s="35"/>
      <c r="AJJ2" s="35"/>
      <c r="AJK2" s="35"/>
      <c r="AJL2" s="35"/>
      <c r="AJM2" s="35"/>
      <c r="AJN2" s="35"/>
      <c r="AJO2" s="35"/>
      <c r="AJP2" s="35"/>
      <c r="AJQ2" s="35"/>
      <c r="AJR2" s="35"/>
      <c r="AJS2" s="35"/>
      <c r="AJT2" s="35"/>
      <c r="AJU2" s="35"/>
      <c r="AJV2" s="35"/>
      <c r="AJW2" s="35"/>
      <c r="AJX2" s="35"/>
      <c r="AJY2" s="35"/>
      <c r="AJZ2" s="35"/>
      <c r="AKA2" s="35"/>
      <c r="AKB2" s="35"/>
      <c r="AKC2" s="35"/>
      <c r="AKD2" s="35"/>
      <c r="AKE2" s="35"/>
      <c r="AKF2" s="35"/>
      <c r="AKG2" s="35"/>
      <c r="AKH2" s="35"/>
      <c r="AKI2" s="35"/>
      <c r="AKJ2" s="35"/>
      <c r="AKK2" s="35"/>
      <c r="AKL2" s="35"/>
      <c r="AKM2" s="35"/>
      <c r="AKN2" s="35"/>
      <c r="AKO2" s="35"/>
      <c r="AKP2" s="35"/>
      <c r="AKQ2" s="35"/>
      <c r="AKR2" s="35"/>
      <c r="AKS2" s="35"/>
      <c r="AKT2" s="35"/>
      <c r="AKU2" s="35"/>
    </row>
    <row r="3" customFormat="false" ht="74.6" hidden="false" customHeight="true" outlineLevel="0" collapsed="false">
      <c r="A3" s="43" t="s">
        <v>414</v>
      </c>
      <c r="B3" s="43"/>
      <c r="C3" s="47" t="s">
        <v>346</v>
      </c>
      <c r="D3" s="45" t="s">
        <v>535</v>
      </c>
      <c r="E3" s="43" t="s">
        <v>536</v>
      </c>
      <c r="F3" s="48" t="s">
        <v>537</v>
      </c>
      <c r="G3" s="48" t="s">
        <v>538</v>
      </c>
      <c r="H3" s="49" t="s">
        <v>539</v>
      </c>
      <c r="I3" s="49" t="s">
        <v>540</v>
      </c>
      <c r="J3" s="49" t="s">
        <v>541</v>
      </c>
      <c r="K3" s="43" t="s">
        <v>542</v>
      </c>
      <c r="L3" s="45" t="s">
        <v>543</v>
      </c>
      <c r="M3" s="45" t="s">
        <v>544</v>
      </c>
      <c r="N3" s="45" t="s">
        <v>545</v>
      </c>
      <c r="O3" s="45" t="s">
        <v>546</v>
      </c>
      <c r="P3" s="43" t="s">
        <v>547</v>
      </c>
      <c r="Q3" s="48" t="s">
        <v>454</v>
      </c>
    </row>
    <row r="4" customFormat="false" ht="8.75" hidden="false" customHeight="true" outlineLevel="0" collapsed="false">
      <c r="A4" s="39" t="str">
        <f aca="false">A3</f>
        <v>A</v>
      </c>
      <c r="B4" s="39"/>
      <c r="C4" s="52" t="str">
        <f aca="false">C3</f>
        <v>Sort</v>
      </c>
      <c r="D4" s="51" t="str">
        <f aca="false">D3</f>
        <v>GTD Type</v>
      </c>
      <c r="E4" s="39" t="str">
        <f aca="false">E3</f>
        <v>Project / Routine / Reference Name</v>
      </c>
      <c r="F4" s="52" t="str">
        <f aca="false">F3</f>
        <v>Task Name</v>
      </c>
      <c r="G4" s="52" t="str">
        <f aca="false">G3</f>
        <v>Owner</v>
      </c>
      <c r="H4" s="73" t="str">
        <f aca="false">H3</f>
        <v>Due Date</v>
      </c>
      <c r="I4" s="73" t="str">
        <f aca="false">I3</f>
        <v>Done Date</v>
      </c>
      <c r="J4" s="73" t="str">
        <f aca="false">J3</f>
        <v>Tickle Date</v>
      </c>
      <c r="K4" s="52" t="str">
        <f aca="false">K3</f>
        <v>Details</v>
      </c>
      <c r="L4" s="52" t="str">
        <f aca="false">L3</f>
        <v>List</v>
      </c>
      <c r="M4" s="52" t="str">
        <f aca="false">M3</f>
        <v>Additional List</v>
      </c>
      <c r="N4" s="52" t="str">
        <f aca="false">N3</f>
        <v>Overdue /
Due 7d /
Due 30d</v>
      </c>
      <c r="O4" s="52" t="str">
        <f aca="false">O3</f>
        <v>Report</v>
      </c>
      <c r="P4" s="39" t="str">
        <f aca="false">P3</f>
        <v>Check</v>
      </c>
      <c r="Q4" s="52" t="str">
        <f aca="false">Q3</f>
        <v>Z</v>
      </c>
    </row>
    <row r="5" customFormat="false" ht="12.75" hidden="false" customHeight="true" outlineLevel="0" collapsed="false">
      <c r="A5" s="54"/>
      <c r="B5" s="54"/>
      <c r="C5" s="74" t="str">
        <f aca="false">IF(
D5="","  -  ZZZ",
"  -  "&amp;F5&amp;E5&amp;F5)</f>
        <v>  -  Project 1</v>
      </c>
      <c r="D5" s="75" t="s">
        <v>548</v>
      </c>
      <c r="E5" s="64" t="s">
        <v>549</v>
      </c>
      <c r="F5" s="64"/>
      <c r="G5" s="64" t="s">
        <v>350</v>
      </c>
      <c r="H5" s="40" t="n">
        <v>44209</v>
      </c>
      <c r="I5" s="40" t="n">
        <v>46288</v>
      </c>
      <c r="J5" s="40"/>
      <c r="K5" s="65" t="s">
        <v>550</v>
      </c>
      <c r="L5" s="60" t="str">
        <f aca="false">IF(
I5&lt;&gt;"","Delete",
IF(
AND(G5="Self",H5&lt;&gt;""),"Defer",
IF(
AND(G5&lt;&gt;"",G5&lt;&gt;"Self",H5&lt;&gt;""),"Delegate",
IF(
D5="Project","Projects",
IF(
D5="Routine","Routines",
IF(
D5="Task","Someday",
IF(
D5="Reference","Reference",
""
)
)
)
)
)
)
)</f>
        <v>Delete</v>
      </c>
      <c r="M5" s="60" t="str">
        <f aca="false">IF(
D5="Project","Project Details",
IF(
D5="Routine","Routine Details",
IF(
D5="Reference","Reference Details",
""
)
)
)</f>
        <v>Project Details</v>
      </c>
      <c r="N5" s="60" t="str">
        <f aca="false">IF(
D5="","",
IF(
AND(H5&lt;&gt;"",I5="",H5&lt;$A$2),"Overdue",
IF(
AND(H5&lt;&gt;"",I5="",(7*1+$A$2)&gt;H5),"Due 7d",
IF(
AND(H5&lt;&gt;"",I5="",(30*1+$A$2)&gt;H5),"Due 30d",
"None"
)
)
)
)</f>
        <v>None</v>
      </c>
      <c r="O5" s="60" t="str">
        <f aca="false">IF(
D5="","",
IF(
I5&gt;($A$2-7*$B$2),"Yes",
IF(
J5&gt;($A$2-7*$B$2),"Yes", 
"No"
)
)
)</f>
        <v>No</v>
      </c>
      <c r="P5" s="61" t="str">
        <f aca="false">IF(
D5="","",
IF(
AND(H5&lt;&gt;"",G5=""),"Error: no Owner for Task with Due Date",
"ok"
)
)</f>
        <v>ok</v>
      </c>
      <c r="Q5" s="64" t="s">
        <v>469</v>
      </c>
    </row>
    <row r="6" customFormat="false" ht="12.75" hidden="false" customHeight="true" outlineLevel="0" collapsed="false">
      <c r="A6" s="54"/>
      <c r="B6" s="54"/>
      <c r="C6" s="74" t="str">
        <f aca="false">IF(
D6="","  -  ZZZ",
"  -  "&amp;F6&amp;E6&amp;F6)</f>
        <v>  -  Project Task 1Project 1Project Task 1</v>
      </c>
      <c r="D6" s="75" t="s">
        <v>548</v>
      </c>
      <c r="E6" s="64" t="s">
        <v>549</v>
      </c>
      <c r="F6" s="64" t="s">
        <v>551</v>
      </c>
      <c r="G6" s="64" t="s">
        <v>350</v>
      </c>
      <c r="H6" s="40" t="n">
        <v>46325</v>
      </c>
      <c r="I6" s="40" t="n">
        <v>46318</v>
      </c>
      <c r="J6" s="40"/>
      <c r="K6" s="65"/>
      <c r="L6" s="60" t="str">
        <f aca="false">IF(
I6&lt;&gt;"","Delete",
IF(
AND(G6="Self",H6&lt;&gt;""),"Defer",
IF(
AND(G6&lt;&gt;"",G6&lt;&gt;"Self",H6&lt;&gt;""),"Delegate",
IF(
D6="Project","Projects",
IF(
D6="Routine","Routines",
IF(
D6="Task","Someday",
IF(
D6="Reference","Reference",
""
)
)
)
)
)
)
)</f>
        <v>Delete</v>
      </c>
      <c r="M6" s="60" t="str">
        <f aca="false">IF(
D6="Project","Project Details",
IF(
D6="Routine","Routine Details",
IF(
D6="Reference","Reference Details",
""
)
)
)</f>
        <v>Project Details</v>
      </c>
      <c r="N6" s="60" t="str">
        <f aca="false">IF(
D6="","",
IF(
AND(H6&lt;&gt;"",I6="",H6&lt;$A$2),"Overdue",
IF(
AND(H6&lt;&gt;"",I6="",(7*1+$A$2)&gt;H6),"Due 7d",
IF(
AND(H6&lt;&gt;"",I6="",(30*1+$A$2)&gt;H6),"Due 30d",
"None"
)
)
)
)</f>
        <v>None</v>
      </c>
      <c r="O6" s="60" t="str">
        <f aca="false">IF(
D6="","",
IF(
I6&gt;($A$2-7*$B$2),"Yes",
IF(
J6&gt;($A$2-7*$B$2),"Yes", 
"No"
)
)
)</f>
        <v>Yes</v>
      </c>
      <c r="P6" s="61" t="str">
        <f aca="false">IF(
D6="","",
IF(
AND(H6&lt;&gt;"",G6=""),"Error: no Owner for Task with Due Date",
"ok"
)
)</f>
        <v>ok</v>
      </c>
      <c r="Q6" s="64" t="s">
        <v>469</v>
      </c>
    </row>
    <row r="7" customFormat="false" ht="12.75" hidden="false" customHeight="true" outlineLevel="0" collapsed="false">
      <c r="A7" s="54"/>
      <c r="B7" s="54"/>
      <c r="C7" s="74" t="str">
        <f aca="false">IF(
D7="","  -  ZZZ",
"  -  "&amp;F7&amp;E7&amp;F7)</f>
        <v>  -  Project Task 2Project 1Project Task 2</v>
      </c>
      <c r="D7" s="75" t="s">
        <v>548</v>
      </c>
      <c r="E7" s="64" t="s">
        <v>549</v>
      </c>
      <c r="F7" s="64" t="s">
        <v>552</v>
      </c>
      <c r="G7" s="64" t="s">
        <v>553</v>
      </c>
      <c r="H7" s="40" t="n">
        <v>46349</v>
      </c>
      <c r="I7" s="40"/>
      <c r="J7" s="40"/>
      <c r="K7" s="65"/>
      <c r="L7" s="60" t="str">
        <f aca="false">IF(
I7&lt;&gt;"","Delete",
IF(
AND(G7="Self",H7&lt;&gt;""),"Defer",
IF(
AND(G7&lt;&gt;"",G7&lt;&gt;"Self",H7&lt;&gt;""),"Delegate",
IF(
D7="Project","Projects",
IF(
D7="Routine","Routines",
IF(
D7="Task","Someday",
IF(
D7="Reference","Reference",
""
)
)
)
)
)
)
)</f>
        <v>Delegate</v>
      </c>
      <c r="M7" s="60" t="str">
        <f aca="false">IF(
D7="Project","Project Details",
IF(
D7="Routine","Routine Details",
IF(
D7="Reference","Reference Details",
""
)
)
)</f>
        <v>Project Details</v>
      </c>
      <c r="N7" s="60" t="str">
        <f aca="false">IF(
D7="","",
IF(
AND(H7&lt;&gt;"",I7="",H7&lt;$A$2),"Overdue",
IF(
AND(H7&lt;&gt;"",I7="",(7*1+$A$2)&gt;H7),"Due 7d",
IF(
AND(H7&lt;&gt;"",I7="",(30*1+$A$2)&gt;H7),"Due 30d",
"None"
)
)
)
)</f>
        <v>Due 30d</v>
      </c>
      <c r="O7" s="60" t="str">
        <f aca="false">IF(
D7="","",
IF(
I7&gt;($A$2-7*$B$2),"Yes",
IF(
J7&gt;($A$2-7*$B$2),"Yes", 
"No"
)
)
)</f>
        <v>No</v>
      </c>
      <c r="P7" s="61" t="str">
        <f aca="false">IF(
D7="","",
IF(
AND(H7&lt;&gt;"",G7=""),"Error: no Owner for Task with Due Date",
"ok"
)
)</f>
        <v>ok</v>
      </c>
      <c r="Q7" s="64" t="s">
        <v>469</v>
      </c>
    </row>
    <row r="8" customFormat="false" ht="12.75" hidden="false" customHeight="true" outlineLevel="0" collapsed="false">
      <c r="A8" s="54"/>
      <c r="B8" s="54"/>
      <c r="C8" s="74" t="str">
        <f aca="false">IF(
D8="","  -  ZZZ",
"  -  "&amp;F8&amp;E8&amp;F8)</f>
        <v>  -  Routine task 1Routine 1Routine task 1</v>
      </c>
      <c r="D8" s="75" t="s">
        <v>462</v>
      </c>
      <c r="E8" s="64" t="s">
        <v>554</v>
      </c>
      <c r="F8" s="64" t="s">
        <v>555</v>
      </c>
      <c r="G8" s="64" t="s">
        <v>350</v>
      </c>
      <c r="H8" s="40" t="n">
        <v>46354</v>
      </c>
      <c r="I8" s="40"/>
      <c r="J8" s="40"/>
      <c r="K8" s="64"/>
      <c r="L8" s="60" t="str">
        <f aca="false">IF(
I8&lt;&gt;"","Delete",
IF(
AND(G8="Self",H8&lt;&gt;""),"Defer",
IF(
AND(G8&lt;&gt;"",G8&lt;&gt;"Self",H8&lt;&gt;""),"Delegate",
IF(
D8="Project","Projects",
IF(
D8="Routine","Routines",
IF(
D8="Task","Someday",
IF(
D8="Reference","Reference",
""
)
)
)
)
)
)
)</f>
        <v>Defer</v>
      </c>
      <c r="M8" s="60" t="str">
        <f aca="false">IF(
D8="Project","Project Details",
IF(
D8="Routine","Routine Details",
IF(
D8="Reference","Reference Details",
""
)
)
)</f>
        <v>Routine Details</v>
      </c>
      <c r="N8" s="60" t="str">
        <f aca="false">IF(
D8="","",
IF(
AND(H8&lt;&gt;"",I8="",H8&lt;$A$2),"Overdue",
IF(
AND(H8&lt;&gt;"",I8="",(7*1+$A$2)&gt;H8),"Due 7d",
IF(
AND(H8&lt;&gt;"",I8="",(30*1+$A$2)&gt;H8),"Due 30d",
"None"
)
)
)
)</f>
        <v>None</v>
      </c>
      <c r="O8" s="60" t="str">
        <f aca="false">IF(
D8="","",
IF(
I8&gt;($A$2-7*$B$2),"Yes",
IF(
J8&gt;($A$2-7*$B$2),"Yes", 
"No"
)
)
)</f>
        <v>No</v>
      </c>
      <c r="P8" s="61" t="str">
        <f aca="false">IF(
D8="","",
IF(
AND(H8&lt;&gt;"",G8=""),"Error: no Owner for Task with Due Date",
"ok"
)
)</f>
        <v>ok</v>
      </c>
      <c r="Q8" s="64" t="s">
        <v>469</v>
      </c>
    </row>
    <row r="9" customFormat="false" ht="12.75" hidden="false" customHeight="true" outlineLevel="0" collapsed="false">
      <c r="A9" s="54"/>
      <c r="B9" s="54"/>
      <c r="C9" s="74" t="str">
        <f aca="false">IF(
D9="","  -  ZZZ",
"  -  "&amp;F9&amp;E9&amp;F9)</f>
        <v>  -  Routine task 2Routine 2Routine task 2</v>
      </c>
      <c r="D9" s="75" t="s">
        <v>462</v>
      </c>
      <c r="E9" s="64" t="s">
        <v>556</v>
      </c>
      <c r="F9" s="64" t="s">
        <v>557</v>
      </c>
      <c r="G9" s="64" t="s">
        <v>350</v>
      </c>
      <c r="H9" s="40" t="n">
        <v>46318</v>
      </c>
      <c r="I9" s="40"/>
      <c r="J9" s="40"/>
      <c r="K9" s="65"/>
      <c r="L9" s="60" t="str">
        <f aca="false">IF(
I9&lt;&gt;"","Delete",
IF(
AND(G9="Self",H9&lt;&gt;""),"Defer",
IF(
AND(G9&lt;&gt;"",G9&lt;&gt;"Self",H9&lt;&gt;""),"Delegate",
IF(
D9="Project","Projects",
IF(
D9="Routine","Routines",
IF(
D9="Task","Someday",
IF(
D9="Reference","Reference",
""
)
)
)
)
)
)
)</f>
        <v>Defer</v>
      </c>
      <c r="M9" s="60" t="str">
        <f aca="false">IF(
D9="Project","Project Details",
IF(
D9="Routine","Routine Details",
IF(
D9="Reference","Reference Details",
""
)
)
)</f>
        <v>Routine Details</v>
      </c>
      <c r="N9" s="60" t="str">
        <f aca="false">IF(
D9="","",
IF(
AND(H9&lt;&gt;"",I9="",H9&lt;$A$2),"Overdue",
IF(
AND(H9&lt;&gt;"",I9="",(7*1+$A$2)&gt;H9),"Due 7d",
IF(
AND(H9&lt;&gt;"",I9="",(30*1+$A$2)&gt;H9),"Due 30d",
"None"
)
)
)
)</f>
        <v>Overdue</v>
      </c>
      <c r="O9" s="60" t="str">
        <f aca="false">IF(
D9="","",
IF(
I9&gt;($A$2-7*$B$2),"Yes",
IF(
J9&gt;($A$2-7*$B$2),"Yes", 
"No"
)
)
)</f>
        <v>No</v>
      </c>
      <c r="P9" s="61" t="str">
        <f aca="false">IF(
D9="","",
IF(
AND(H9&lt;&gt;"",G9=""),"Error: no Owner for Task with Due Date",
"ok"
)
)</f>
        <v>ok</v>
      </c>
      <c r="Q9" s="64" t="s">
        <v>469</v>
      </c>
    </row>
    <row r="10" customFormat="false" ht="12.75" hidden="false" customHeight="true" outlineLevel="0" collapsed="false">
      <c r="A10" s="54"/>
      <c r="B10" s="54"/>
      <c r="C10" s="74" t="str">
        <f aca="false">IF(
D10="","  -  ZZZ",
"  -  "&amp;F10&amp;E10&amp;F10)</f>
        <v>  -  Dedicated task for TataDedicated task for Tata</v>
      </c>
      <c r="D10" s="75" t="s">
        <v>558</v>
      </c>
      <c r="E10" s="64"/>
      <c r="F10" s="64" t="s">
        <v>559</v>
      </c>
      <c r="G10" s="64" t="s">
        <v>560</v>
      </c>
      <c r="H10" s="40" t="n">
        <v>46278</v>
      </c>
      <c r="I10" s="40"/>
      <c r="J10" s="40"/>
      <c r="K10" s="65"/>
      <c r="L10" s="60" t="str">
        <f aca="false">IF(
I10&lt;&gt;"","Delete",
IF(
AND(G10="Self",H10&lt;&gt;""),"Defer",
IF(
AND(G10&lt;&gt;"",G10&lt;&gt;"Self",H10&lt;&gt;""),"Delegate",
IF(
D10="Project","Projects",
IF(
D10="Routine","Routines",
IF(
D10="Task","Someday",
IF(
D10="Reference","Reference",
""
)
)
)
)
)
)
)</f>
        <v>Delegate</v>
      </c>
      <c r="M10" s="60" t="str">
        <f aca="false">IF(
D10="Project","Project Details",
IF(
D10="Routine","Routine Details",
IF(
D10="Reference","Reference Details",
""
)
)
)</f>
        <v/>
      </c>
      <c r="N10" s="60" t="str">
        <f aca="false">IF(
D10="","",
IF(
AND(H10&lt;&gt;"",I10="",H10&lt;$A$2),"Overdue",
IF(
AND(H10&lt;&gt;"",I10="",(7*1+$A$2)&gt;H10),"Due 7d",
IF(
AND(H10&lt;&gt;"",I10="",(30*1+$A$2)&gt;H10),"Due 30d",
"None"
)
)
)
)</f>
        <v>Overdue</v>
      </c>
      <c r="O10" s="60" t="str">
        <f aca="false">IF(
D10="","",
IF(
I10&gt;($A$2-7*$B$2),"Yes",
IF(
J10&gt;($A$2-7*$B$2),"Yes", 
"No"
)
)
)</f>
        <v>No</v>
      </c>
      <c r="P10" s="61" t="str">
        <f aca="false">IF(
D10="","",
IF(
AND(H10&lt;&gt;"",G10=""),"Error: no Owner for Task with Due Date",
"ok"
)
)</f>
        <v>ok</v>
      </c>
      <c r="Q10" s="64" t="s">
        <v>469</v>
      </c>
    </row>
    <row r="11" customFormat="false" ht="12.75" hidden="false" customHeight="true" outlineLevel="0" collapsed="false">
      <c r="A11" s="54"/>
      <c r="B11" s="54"/>
      <c r="C11" s="74" t="str">
        <f aca="false">IF(
D11="","  -  ZZZ",
"  -  "&amp;F11&amp;E11&amp;F11)</f>
        <v>  -  Loss of 200k USD @ Trd DeskIncidentsLoss of 200k USD @ Trd Desk</v>
      </c>
      <c r="D11" s="75" t="s">
        <v>561</v>
      </c>
      <c r="E11" s="64" t="s">
        <v>562</v>
      </c>
      <c r="F11" s="64" t="s">
        <v>563</v>
      </c>
      <c r="G11" s="64" t="s">
        <v>350</v>
      </c>
      <c r="H11" s="40"/>
      <c r="I11" s="40"/>
      <c r="J11" s="40" t="n">
        <v>46324</v>
      </c>
      <c r="K11" s="64"/>
      <c r="L11" s="60" t="str">
        <f aca="false">IF(
I11&lt;&gt;"","Delete",
IF(
AND(G11="Self",H11&lt;&gt;""),"Defer",
IF(
AND(G11&lt;&gt;"",G11&lt;&gt;"Self",H11&lt;&gt;""),"Delegate",
IF(
D11="Project","Projects",
IF(
D11="Routine","Routines",
IF(
D11="Task","Someday",
IF(
D11="Reference","Reference",
""
)
)
)
)
)
)
)</f>
        <v>Reference</v>
      </c>
      <c r="M11" s="60" t="str">
        <f aca="false">IF(
D11="Project","Project Details",
IF(
D11="Routine","Routine Details",
IF(
D11="Reference","Reference Details",
""
)
)
)</f>
        <v>Reference Details</v>
      </c>
      <c r="N11" s="60" t="str">
        <f aca="false">IF(
D11="","",
IF(
AND(H11&lt;&gt;"",I11="",H11&lt;$A$2),"Overdue",
IF(
AND(H11&lt;&gt;"",I11="",(7*1+$A$2)&gt;H11),"Due 7d",
IF(
AND(H11&lt;&gt;"",I11="",(30*1+$A$2)&gt;H11),"Due 30d",
"None"
)
)
)
)</f>
        <v>None</v>
      </c>
      <c r="O11" s="60" t="str">
        <f aca="false">IF(
D11="","",
IF(
I11&gt;($A$2-7*$B$2),"Yes",
IF(
J11&gt;($A$2-7*$B$2),"Yes", 
"No"
)
)
)</f>
        <v>Yes</v>
      </c>
      <c r="P11" s="61" t="str">
        <f aca="false">IF(
D11="","",
IF(
AND(H11&lt;&gt;"",G11=""),"Error: no Owner for Task with Due Date",
"ok"
)
)</f>
        <v>ok</v>
      </c>
      <c r="Q11" s="64" t="s">
        <v>469</v>
      </c>
    </row>
    <row r="12" customFormat="false" ht="12.75" hidden="false" customHeight="true" outlineLevel="0" collapsed="false">
      <c r="A12" s="54"/>
      <c r="B12" s="54"/>
      <c r="C12" s="74" t="str">
        <f aca="false">IF(
D12="","  -  ZZZ",
"  -  "&amp;F12&amp;E12&amp;F12)</f>
        <v>  -  Solve division by 0 pbSolve division by 0 pb</v>
      </c>
      <c r="D12" s="75" t="s">
        <v>558</v>
      </c>
      <c r="E12" s="64"/>
      <c r="F12" s="64" t="s">
        <v>564</v>
      </c>
      <c r="G12" s="64" t="s">
        <v>350</v>
      </c>
      <c r="H12" s="40" t="n">
        <v>46320</v>
      </c>
      <c r="I12" s="40" t="n">
        <v>46322</v>
      </c>
      <c r="J12" s="40"/>
      <c r="K12" s="65"/>
      <c r="L12" s="60" t="str">
        <f aca="false">IF(
I12&lt;&gt;"","Delete",
IF(
AND(G12="Self",H12&lt;&gt;""),"Defer",
IF(
AND(G12&lt;&gt;"",G12&lt;&gt;"Self",H12&lt;&gt;""),"Delegate",
IF(
D12="Project","Projects",
IF(
D12="Routine","Routines",
IF(
D12="Task","Someday",
IF(
D12="Reference","Reference",
""
)
)
)
)
)
)
)</f>
        <v>Delete</v>
      </c>
      <c r="M12" s="60" t="str">
        <f aca="false">IF(
D12="Project","Project Details",
IF(
D12="Routine","Routine Details",
IF(
D12="Reference","Reference Details",
""
)
)
)</f>
        <v/>
      </c>
      <c r="N12" s="60" t="str">
        <f aca="false">IF(
D12="","",
IF(
AND(H12&lt;&gt;"",I12="",H12&lt;$A$2),"Overdue",
IF(
AND(H12&lt;&gt;"",I12="",(7*1+$A$2)&gt;H12),"Due 7d",
IF(
AND(H12&lt;&gt;"",I12="",(30*1+$A$2)&gt;H12),"Due 30d",
"None"
)
)
)
)</f>
        <v>None</v>
      </c>
      <c r="O12" s="60" t="str">
        <f aca="false">IF(
D12="","",
IF(
I12&gt;($A$2-7*$B$2),"Yes",
IF(
J12&gt;($A$2-7*$B$2),"Yes", 
"No"
)
)
)</f>
        <v>Yes</v>
      </c>
      <c r="P12" s="61" t="str">
        <f aca="false">IF(
D12="","",
IF(
AND(H12&lt;&gt;"",G12=""),"Error: no Owner for Task with Due Date",
"ok"
)
)</f>
        <v>ok</v>
      </c>
      <c r="Q12" s="64" t="s">
        <v>469</v>
      </c>
    </row>
    <row r="13" customFormat="false" ht="12.75" hidden="false" customHeight="true" outlineLevel="0" collapsed="false">
      <c r="A13" s="54"/>
      <c r="B13" s="54"/>
      <c r="C13" s="74" t="str">
        <f aca="false">IF(
D13="","  -  ZZZ",
"  -  "&amp;F13&amp;E13&amp;F13)</f>
        <v>  -  Some nameSome name</v>
      </c>
      <c r="D13" s="75" t="s">
        <v>558</v>
      </c>
      <c r="E13" s="64"/>
      <c r="F13" s="64" t="s">
        <v>565</v>
      </c>
      <c r="G13" s="64"/>
      <c r="H13" s="40"/>
      <c r="I13" s="40"/>
      <c r="J13" s="40"/>
      <c r="K13" s="65"/>
      <c r="L13" s="60" t="str">
        <f aca="false">IF(
I13&lt;&gt;"","Delete",
IF(
AND(G13="Self",H13&lt;&gt;""),"Defer",
IF(
AND(G13&lt;&gt;"",G13&lt;&gt;"Self",H13&lt;&gt;""),"Delegate",
IF(
D13="Project","Projects",
IF(
D13="Routine","Routines",
IF(
D13="Task","Someday",
IF(
D13="Reference","Reference",
""
)
)
)
)
)
)
)</f>
        <v>Someday</v>
      </c>
      <c r="M13" s="60" t="str">
        <f aca="false">IF(
D13="Project","Project Details",
IF(
D13="Routine","Routine Details",
IF(
D13="Reference","Reference Details",
""
)
)
)</f>
        <v/>
      </c>
      <c r="N13" s="60" t="str">
        <f aca="false">IF(
D13="","",
IF(
AND(H13&lt;&gt;"",I13="",H13&lt;$A$2),"Overdue",
IF(
AND(H13&lt;&gt;"",I13="",(7*1+$A$2)&gt;H13),"Due 7d",
IF(
AND(H13&lt;&gt;"",I13="",(30*1+$A$2)&gt;H13),"Due 30d",
"None"
)
)
)
)</f>
        <v>None</v>
      </c>
      <c r="O13" s="60" t="str">
        <f aca="false">IF(
D13="","",
IF(
I13&gt;($A$2-7*$B$2),"Yes",
IF(
J13&gt;($A$2-7*$B$2),"Yes", 
"No"
)
)
)</f>
        <v>No</v>
      </c>
      <c r="P13" s="61" t="str">
        <f aca="false">IF(
D13="","",
IF(
AND(H13&lt;&gt;"",G13=""),"Error: no Owner for Task with Due Date",
"ok"
)
)</f>
        <v>ok</v>
      </c>
      <c r="Q13" s="64" t="s">
        <v>469</v>
      </c>
    </row>
    <row r="14" customFormat="false" ht="12.75" hidden="false" customHeight="true" outlineLevel="0" collapsed="false">
      <c r="A14" s="54"/>
      <c r="B14" s="54"/>
      <c r="C14" s="74" t="str">
        <f aca="false">IF(
D14="","  -  ZZZ",
"  -  "&amp;F14&amp;E14&amp;F14)</f>
        <v>  -  ZZZ</v>
      </c>
      <c r="D14" s="75"/>
      <c r="E14" s="64"/>
      <c r="F14" s="64"/>
      <c r="G14" s="64"/>
      <c r="H14" s="40"/>
      <c r="I14" s="40"/>
      <c r="J14" s="40"/>
      <c r="K14" s="64"/>
      <c r="L14" s="60" t="str">
        <f aca="false">IF(
I14&lt;&gt;"","Delete",
IF(
AND(G14="Self",H14&lt;&gt;""),"Defer",
IF(
AND(G14&lt;&gt;"",G14&lt;&gt;"Self",H14&lt;&gt;""),"Delegate",
IF(
D14="Project","Projects",
IF(
D14="Routine","Routines",
IF(
D14="Task","Someday",
IF(
D14="Reference","Reference",
""
)
)
)
)
)
)
)</f>
        <v/>
      </c>
      <c r="M14" s="60" t="str">
        <f aca="false">IF(
D14="Project","Project Details",
IF(
D14="Routine","Routine Details",
IF(
D14="Reference","Reference Details",
""
)
)
)</f>
        <v/>
      </c>
      <c r="N14" s="60" t="str">
        <f aca="false">IF(
D14="","",
IF(
AND(H14&lt;&gt;"",I14="",H14&lt;$A$2),"Overdue",
IF(
AND(H14&lt;&gt;"",I14="",(7*1+$A$2)&gt;H14),"Due 7d",
IF(
AND(H14&lt;&gt;"",I14="",(30*1+$A$2)&gt;H14),"Due 30d",
"None"
)
)
)
)</f>
        <v/>
      </c>
      <c r="O14" s="60" t="str">
        <f aca="false">IF(
D14="","",
IF(
I14&gt;($A$2-7*$B$2),"Yes",
IF(
J14&gt;($A$2-7*$B$2),"Yes", 
"No"
)
)
)</f>
        <v/>
      </c>
      <c r="P14" s="61" t="str">
        <f aca="false">IF(
D14="","",
IF(
AND(H14&lt;&gt;"",G14=""),"Error: no Owner for Task with Due Date",
"ok"
)
)</f>
        <v/>
      </c>
      <c r="Q14" s="64" t="s">
        <v>469</v>
      </c>
    </row>
    <row r="15" customFormat="false" ht="12.75" hidden="false" customHeight="true" outlineLevel="0" collapsed="false">
      <c r="A15" s="54"/>
      <c r="B15" s="54"/>
      <c r="C15" s="74" t="str">
        <f aca="false">IF(
D15="","  -  ZZZ",
"  -  "&amp;F15&amp;E15&amp;F15)</f>
        <v>  -  ZZZ</v>
      </c>
      <c r="D15" s="75"/>
      <c r="E15" s="64"/>
      <c r="F15" s="64"/>
      <c r="G15" s="64"/>
      <c r="H15" s="40"/>
      <c r="I15" s="40"/>
      <c r="J15" s="40"/>
      <c r="K15" s="65"/>
      <c r="L15" s="60" t="str">
        <f aca="false">IF(
I15&lt;&gt;"","Delete",
IF(
AND(G15="Self",H15&lt;&gt;""),"Defer",
IF(
AND(G15&lt;&gt;"",G15&lt;&gt;"Self",H15&lt;&gt;""),"Delegate",
IF(
D15="Project","Projects",
IF(
D15="Routine","Routines",
IF(
D15="Task","Someday",
IF(
D15="Reference","Reference",
""
)
)
)
)
)
)
)</f>
        <v/>
      </c>
      <c r="M15" s="60" t="str">
        <f aca="false">IF(
D15="Project","Project Details",
IF(
D15="Routine","Routine Details",
IF(
D15="Reference","Reference Details",
""
)
)
)</f>
        <v/>
      </c>
      <c r="N15" s="60" t="str">
        <f aca="false">IF(
D15="","",
IF(
AND(H15&lt;&gt;"",I15="",H15&lt;$A$2),"Overdue",
IF(
AND(H15&lt;&gt;"",I15="",(7*1+$A$2)&gt;H15),"Due 7d",
IF(
AND(H15&lt;&gt;"",I15="",(30*1+$A$2)&gt;H15),"Due 30d",
"None"
)
)
)
)</f>
        <v/>
      </c>
      <c r="O15" s="60" t="str">
        <f aca="false">IF(
D15="","",
IF(
I15&gt;($A$2-7*$B$2),"Yes",
IF(
J15&gt;($A$2-7*$B$2),"Yes", 
"No"
)
)
)</f>
        <v/>
      </c>
      <c r="P15" s="61" t="str">
        <f aca="false">IF(
D15="","",
IF(
AND(H15&lt;&gt;"",G15=""),"Error: no Owner for Task with Due Date",
"ok"
)
)</f>
        <v/>
      </c>
      <c r="Q15" s="64" t="s">
        <v>469</v>
      </c>
    </row>
    <row r="16" customFormat="false" ht="12.75" hidden="false" customHeight="true" outlineLevel="0" collapsed="false">
      <c r="A16" s="54"/>
      <c r="B16" s="54"/>
      <c r="C16" s="74" t="str">
        <f aca="false">IF(
D16="","  -  ZZZ",
"  -  "&amp;F16&amp;E16&amp;F16)</f>
        <v>  -  ZZZ</v>
      </c>
      <c r="D16" s="75"/>
      <c r="E16" s="64"/>
      <c r="F16" s="64"/>
      <c r="G16" s="64"/>
      <c r="H16" s="40"/>
      <c r="I16" s="40"/>
      <c r="J16" s="40"/>
      <c r="K16" s="65"/>
      <c r="L16" s="60" t="str">
        <f aca="false">IF(
I16&lt;&gt;"","Delete",
IF(
AND(G16="Self",H16&lt;&gt;""),"Defer",
IF(
AND(G16&lt;&gt;"",G16&lt;&gt;"Self",H16&lt;&gt;""),"Delegate",
IF(
D16="Project","Projects",
IF(
D16="Routine","Routines",
IF(
D16="Task","Someday",
IF(
D16="Reference","Reference",
""
)
)
)
)
)
)
)</f>
        <v/>
      </c>
      <c r="M16" s="60" t="str">
        <f aca="false">IF(
D16="Project","Project Details",
IF(
D16="Routine","Routine Details",
IF(
D16="Reference","Reference Details",
""
)
)
)</f>
        <v/>
      </c>
      <c r="N16" s="60" t="str">
        <f aca="false">IF(
D16="","",
IF(
AND(H16&lt;&gt;"",I16="",H16&lt;$A$2),"Overdue",
IF(
AND(H16&lt;&gt;"",I16="",(7*1+$A$2)&gt;H16),"Due 7d",
IF(
AND(H16&lt;&gt;"",I16="",(30*1+$A$2)&gt;H16),"Due 30d",
"None"
)
)
)
)</f>
        <v/>
      </c>
      <c r="O16" s="60" t="str">
        <f aca="false">IF(
D16="","",
IF(
I16&gt;($A$2-7*$B$2),"Yes",
IF(
J16&gt;($A$2-7*$B$2),"Yes", 
"No"
)
)
)</f>
        <v/>
      </c>
      <c r="P16" s="61" t="str">
        <f aca="false">IF(
D16="","",
IF(
AND(H16&lt;&gt;"",G16=""),"Error: no Owner for Task with Due Date",
"ok"
)
)</f>
        <v/>
      </c>
      <c r="Q16" s="64" t="s">
        <v>469</v>
      </c>
    </row>
    <row r="17" customFormat="false" ht="12.75" hidden="false" customHeight="true" outlineLevel="0" collapsed="false">
      <c r="A17" s="54"/>
      <c r="B17" s="54"/>
      <c r="C17" s="74" t="str">
        <f aca="false">IF(
D17="","  -  ZZZ",
"  -  "&amp;F17&amp;E17&amp;F17)</f>
        <v>  -  ZZZ</v>
      </c>
      <c r="D17" s="75"/>
      <c r="E17" s="64"/>
      <c r="F17" s="64"/>
      <c r="G17" s="64"/>
      <c r="H17" s="40"/>
      <c r="I17" s="40"/>
      <c r="J17" s="40"/>
      <c r="K17" s="64"/>
      <c r="L17" s="60" t="str">
        <f aca="false">IF(
I17&lt;&gt;"","Delete",
IF(
AND(G17="Self",H17&lt;&gt;""),"Defer",
IF(
AND(G17&lt;&gt;"",G17&lt;&gt;"Self",H17&lt;&gt;""),"Delegate",
IF(
D17="Project","Projects",
IF(
D17="Routine","Routines",
IF(
D17="Task","Someday",
IF(
D17="Reference","Reference",
""
)
)
)
)
)
)
)</f>
        <v/>
      </c>
      <c r="M17" s="60" t="str">
        <f aca="false">IF(
D17="Project","Project Details",
IF(
D17="Routine","Routine Details",
IF(
D17="Reference","Reference Details",
""
)
)
)</f>
        <v/>
      </c>
      <c r="N17" s="60" t="str">
        <f aca="false">IF(
D17="","",
IF(
AND(H17&lt;&gt;"",I17="",H17&lt;$A$2),"Overdue",
IF(
AND(H17&lt;&gt;"",I17="",(7*1+$A$2)&gt;H17),"Due 7d",
IF(
AND(H17&lt;&gt;"",I17="",(30*1+$A$2)&gt;H17),"Due 30d",
"None"
)
)
)
)</f>
        <v/>
      </c>
      <c r="O17" s="60" t="str">
        <f aca="false">IF(
D17="","",
IF(
I17&gt;($A$2-7*$B$2),"Yes",
IF(
J17&gt;($A$2-7*$B$2),"Yes", 
"No"
)
)
)</f>
        <v/>
      </c>
      <c r="P17" s="61" t="str">
        <f aca="false">IF(
D17="","",
IF(
AND(H17&lt;&gt;"",G17=""),"Error: no Owner for Task with Due Date",
"ok"
)
)</f>
        <v/>
      </c>
      <c r="Q17" s="64" t="s">
        <v>469</v>
      </c>
    </row>
    <row r="18" customFormat="false" ht="12.75" hidden="false" customHeight="true" outlineLevel="0" collapsed="false">
      <c r="A18" s="54"/>
      <c r="B18" s="54"/>
      <c r="C18" s="74" t="str">
        <f aca="false">IF(
D18="","  -  ZZZ",
"  -  "&amp;F18&amp;E18&amp;F18)</f>
        <v>  -  ZZZ</v>
      </c>
      <c r="D18" s="75"/>
      <c r="E18" s="64"/>
      <c r="F18" s="64"/>
      <c r="G18" s="64"/>
      <c r="H18" s="40"/>
      <c r="I18" s="40"/>
      <c r="J18" s="40"/>
      <c r="K18" s="65"/>
      <c r="L18" s="60" t="str">
        <f aca="false">IF(
I18&lt;&gt;"","Delete",
IF(
AND(G18="Self",H18&lt;&gt;""),"Defer",
IF(
AND(G18&lt;&gt;"",G18&lt;&gt;"Self",H18&lt;&gt;""),"Delegate",
IF(
D18="Project","Projects",
IF(
D18="Routine","Routines",
IF(
D18="Task","Someday",
IF(
D18="Reference","Reference",
""
)
)
)
)
)
)
)</f>
        <v/>
      </c>
      <c r="M18" s="60" t="str">
        <f aca="false">IF(
D18="Project","Project Details",
IF(
D18="Routine","Routine Details",
IF(
D18="Reference","Reference Details",
""
)
)
)</f>
        <v/>
      </c>
      <c r="N18" s="60" t="str">
        <f aca="false">IF(
D18="","",
IF(
AND(H18&lt;&gt;"",I18="",H18&lt;$A$2),"Overdue",
IF(
AND(H18&lt;&gt;"",I18="",(7*1+$A$2)&gt;H18),"Due 7d",
IF(
AND(H18&lt;&gt;"",I18="",(30*1+$A$2)&gt;H18),"Due 30d",
"None"
)
)
)
)</f>
        <v/>
      </c>
      <c r="O18" s="60" t="str">
        <f aca="false">IF(
D18="","",
IF(
I18&gt;($A$2-7*$B$2),"Yes",
IF(
J18&gt;($A$2-7*$B$2),"Yes", 
"No"
)
)
)</f>
        <v/>
      </c>
      <c r="P18" s="61" t="str">
        <f aca="false">IF(
D18="","",
IF(
AND(H18&lt;&gt;"",G18=""),"Error: no Owner for Task with Due Date",
"ok"
)
)</f>
        <v/>
      </c>
      <c r="Q18" s="64" t="s">
        <v>469</v>
      </c>
    </row>
    <row r="19" customFormat="false" ht="12.75" hidden="false" customHeight="true" outlineLevel="0" collapsed="false">
      <c r="A19" s="54"/>
      <c r="B19" s="54"/>
      <c r="C19" s="74" t="str">
        <f aca="false">IF(
D19="","  -  ZZZ",
"  -  "&amp;F19&amp;E19&amp;F19)</f>
        <v>  -  ZZZ</v>
      </c>
      <c r="D19" s="75"/>
      <c r="E19" s="64"/>
      <c r="F19" s="64"/>
      <c r="G19" s="64"/>
      <c r="H19" s="40"/>
      <c r="I19" s="40"/>
      <c r="J19" s="40"/>
      <c r="K19" s="65"/>
      <c r="L19" s="60" t="str">
        <f aca="false">IF(
I19&lt;&gt;"","Delete",
IF(
AND(G19="Self",H19&lt;&gt;""),"Defer",
IF(
AND(G19&lt;&gt;"",G19&lt;&gt;"Self",H19&lt;&gt;""),"Delegate",
IF(
D19="Project","Projects",
IF(
D19="Routine","Routines",
IF(
D19="Task","Someday",
IF(
D19="Reference","Reference",
""
)
)
)
)
)
)
)</f>
        <v/>
      </c>
      <c r="M19" s="60" t="str">
        <f aca="false">IF(
D19="Project","Project Details",
IF(
D19="Routine","Routine Details",
IF(
D19="Reference","Reference Details",
""
)
)
)</f>
        <v/>
      </c>
      <c r="N19" s="60" t="str">
        <f aca="false">IF(
D19="","",
IF(
AND(H19&lt;&gt;"",I19="",H19&lt;$A$2),"Overdue",
IF(
AND(H19&lt;&gt;"",I19="",(7*1+$A$2)&gt;H19),"Due 7d",
IF(
AND(H19&lt;&gt;"",I19="",(30*1+$A$2)&gt;H19),"Due 30d",
"None"
)
)
)
)</f>
        <v/>
      </c>
      <c r="O19" s="60" t="str">
        <f aca="false">IF(
D19="","",
IF(
I19&gt;($A$2-7*$B$2),"Yes",
IF(
J19&gt;($A$2-7*$B$2),"Yes", 
"No"
)
)
)</f>
        <v/>
      </c>
      <c r="P19" s="61" t="str">
        <f aca="false">IF(
D19="","",
IF(
AND(H19&lt;&gt;"",G19=""),"Error: no Owner for Task with Due Date",
"ok"
)
)</f>
        <v/>
      </c>
      <c r="Q19" s="64" t="s">
        <v>469</v>
      </c>
    </row>
    <row r="20" customFormat="false" ht="12.75" hidden="false" customHeight="true" outlineLevel="0" collapsed="false">
      <c r="A20" s="54"/>
      <c r="B20" s="54"/>
      <c r="C20" s="74" t="str">
        <f aca="false">IF(
D20="","  -  ZZZ",
"  -  "&amp;F20&amp;E20&amp;F20)</f>
        <v>  -  ZZZ</v>
      </c>
      <c r="D20" s="75"/>
      <c r="E20" s="64"/>
      <c r="F20" s="64"/>
      <c r="G20" s="64"/>
      <c r="H20" s="40"/>
      <c r="I20" s="40"/>
      <c r="J20" s="40"/>
      <c r="K20" s="64"/>
      <c r="L20" s="60" t="str">
        <f aca="false">IF(
I20&lt;&gt;"","Delete",
IF(
AND(G20="Self",H20&lt;&gt;""),"Defer",
IF(
AND(G20&lt;&gt;"",G20&lt;&gt;"Self",H20&lt;&gt;""),"Delegate",
IF(
D20="Project","Projects",
IF(
D20="Routine","Routines",
IF(
D20="Task","Someday",
IF(
D20="Reference","Reference",
""
)
)
)
)
)
)
)</f>
        <v/>
      </c>
      <c r="M20" s="60" t="str">
        <f aca="false">IF(
D20="Project","Project Details",
IF(
D20="Routine","Routine Details",
IF(
D20="Reference","Reference Details",
""
)
)
)</f>
        <v/>
      </c>
      <c r="N20" s="60" t="str">
        <f aca="false">IF(
D20="","",
IF(
AND(H20&lt;&gt;"",I20="",H20&lt;$A$2),"Overdue",
IF(
AND(H20&lt;&gt;"",I20="",(7*1+$A$2)&gt;H20),"Due 7d",
IF(
AND(H20&lt;&gt;"",I20="",(30*1+$A$2)&gt;H20),"Due 30d",
"None"
)
)
)
)</f>
        <v/>
      </c>
      <c r="O20" s="60" t="str">
        <f aca="false">IF(
D20="","",
IF(
I20&gt;($A$2-7*$B$2),"Yes",
IF(
J20&gt;($A$2-7*$B$2),"Yes", 
"No"
)
)
)</f>
        <v/>
      </c>
      <c r="P20" s="61" t="str">
        <f aca="false">IF(
D20="","",
IF(
AND(H20&lt;&gt;"",G20=""),"Error: no Owner for Task with Due Date",
"ok"
)
)</f>
        <v/>
      </c>
      <c r="Q20" s="64" t="s">
        <v>469</v>
      </c>
    </row>
    <row r="21" customFormat="false" ht="12.75" hidden="false" customHeight="true" outlineLevel="0" collapsed="false">
      <c r="A21" s="54"/>
      <c r="B21" s="54"/>
      <c r="C21" s="74" t="str">
        <f aca="false">IF(
D21="","  -  ZZZ",
"  -  "&amp;F21&amp;E21&amp;F21)</f>
        <v>  -  ZZZ</v>
      </c>
      <c r="D21" s="75"/>
      <c r="E21" s="64"/>
      <c r="F21" s="64"/>
      <c r="G21" s="64"/>
      <c r="H21" s="40"/>
      <c r="I21" s="40"/>
      <c r="J21" s="40"/>
      <c r="K21" s="65"/>
      <c r="L21" s="60" t="str">
        <f aca="false">IF(
I21&lt;&gt;"","Delete",
IF(
AND(G21="Self",H21&lt;&gt;""),"Defer",
IF(
AND(G21&lt;&gt;"",G21&lt;&gt;"Self",H21&lt;&gt;""),"Delegate",
IF(
D21="Project","Projects",
IF(
D21="Routine","Routines",
IF(
D21="Task","Someday",
IF(
D21="Reference","Reference",
""
)
)
)
)
)
)
)</f>
        <v/>
      </c>
      <c r="M21" s="60" t="str">
        <f aca="false">IF(
D21="Project","Project Details",
IF(
D21="Routine","Routine Details",
IF(
D21="Reference","Reference Details",
""
)
)
)</f>
        <v/>
      </c>
      <c r="N21" s="60" t="str">
        <f aca="false">IF(
D21="","",
IF(
AND(H21&lt;&gt;"",I21="",H21&lt;$A$2),"Overdue",
IF(
AND(H21&lt;&gt;"",I21="",(7*1+$A$2)&gt;H21),"Due 7d",
IF(
AND(H21&lt;&gt;"",I21="",(30*1+$A$2)&gt;H21),"Due 30d",
"None"
)
)
)
)</f>
        <v/>
      </c>
      <c r="O21" s="60" t="str">
        <f aca="false">IF(
D21="","",
IF(
I21&gt;($A$2-7*$B$2),"Yes",
IF(
J21&gt;($A$2-7*$B$2),"Yes", 
"No"
)
)
)</f>
        <v/>
      </c>
      <c r="P21" s="61" t="str">
        <f aca="false">IF(
D21="","",
IF(
AND(H21&lt;&gt;"",G21=""),"Error: no Owner for Task with Due Date",
"ok"
)
)</f>
        <v/>
      </c>
      <c r="Q21" s="64" t="s">
        <v>469</v>
      </c>
    </row>
    <row r="22" customFormat="false" ht="12.75" hidden="false" customHeight="true" outlineLevel="0" collapsed="false">
      <c r="A22" s="54"/>
      <c r="B22" s="54"/>
      <c r="C22" s="74" t="str">
        <f aca="false">IF(
D22="","  -  ZZZ",
"  -  "&amp;F22&amp;E22&amp;F22)</f>
        <v>  -  ZZZ</v>
      </c>
      <c r="D22" s="75"/>
      <c r="E22" s="64"/>
      <c r="F22" s="64"/>
      <c r="G22" s="64"/>
      <c r="H22" s="40"/>
      <c r="I22" s="40"/>
      <c r="J22" s="40"/>
      <c r="K22" s="65"/>
      <c r="L22" s="60" t="str">
        <f aca="false">IF(
I22&lt;&gt;"","Delete",
IF(
AND(G22="Self",H22&lt;&gt;""),"Defer",
IF(
AND(G22&lt;&gt;"",G22&lt;&gt;"Self",H22&lt;&gt;""),"Delegate",
IF(
D22="Project","Projects",
IF(
D22="Routine","Routines",
IF(
D22="Task","Someday",
IF(
D22="Reference","Reference",
""
)
)
)
)
)
)
)</f>
        <v/>
      </c>
      <c r="M22" s="60" t="str">
        <f aca="false">IF(
D22="Project","Project Details",
IF(
D22="Routine","Routine Details",
IF(
D22="Reference","Reference Details",
""
)
)
)</f>
        <v/>
      </c>
      <c r="N22" s="60" t="str">
        <f aca="false">IF(
D22="","",
IF(
AND(H22&lt;&gt;"",I22="",H22&lt;$A$2),"Overdue",
IF(
AND(H22&lt;&gt;"",I22="",(7*1+$A$2)&gt;H22),"Due 7d",
IF(
AND(H22&lt;&gt;"",I22="",(30*1+$A$2)&gt;H22),"Due 30d",
"None"
)
)
)
)</f>
        <v/>
      </c>
      <c r="O22" s="60" t="str">
        <f aca="false">IF(
D22="","",
IF(
I22&gt;($A$2-7*$B$2),"Yes",
IF(
J22&gt;($A$2-7*$B$2),"Yes", 
"No"
)
)
)</f>
        <v/>
      </c>
      <c r="P22" s="61" t="str">
        <f aca="false">IF(
D22="","",
IF(
AND(H22&lt;&gt;"",G22=""),"Error: no Owner for Task with Due Date",
"ok"
)
)</f>
        <v/>
      </c>
      <c r="Q22" s="64" t="s">
        <v>469</v>
      </c>
    </row>
    <row r="23" customFormat="false" ht="12.75" hidden="false" customHeight="true" outlineLevel="0" collapsed="false">
      <c r="A23" s="54"/>
      <c r="B23" s="54"/>
      <c r="C23" s="74" t="str">
        <f aca="false">IF(
D23="","  -  ZZZ",
"  -  "&amp;F23&amp;E23&amp;F23)</f>
        <v>  -  ZZZ</v>
      </c>
      <c r="D23" s="75"/>
      <c r="E23" s="64"/>
      <c r="F23" s="64"/>
      <c r="G23" s="64"/>
      <c r="H23" s="40"/>
      <c r="I23" s="40"/>
      <c r="J23" s="40"/>
      <c r="K23" s="64"/>
      <c r="L23" s="60" t="str">
        <f aca="false">IF(
I23&lt;&gt;"","Delete",
IF(
AND(G23="Self",H23&lt;&gt;""),"Defer",
IF(
AND(G23&lt;&gt;"",G23&lt;&gt;"Self",H23&lt;&gt;""),"Delegate",
IF(
D23="Project","Projects",
IF(
D23="Routine","Routines",
IF(
D23="Task","Someday",
IF(
D23="Reference","Reference",
""
)
)
)
)
)
)
)</f>
        <v/>
      </c>
      <c r="M23" s="60" t="str">
        <f aca="false">IF(
D23="Project","Project Details",
IF(
D23="Routine","Routine Details",
IF(
D23="Reference","Reference Details",
""
)
)
)</f>
        <v/>
      </c>
      <c r="N23" s="60" t="str">
        <f aca="false">IF(
D23="","",
IF(
AND(H23&lt;&gt;"",I23="",H23&lt;$A$2),"Overdue",
IF(
AND(H23&lt;&gt;"",I23="",(7*1+$A$2)&gt;H23),"Due 7d",
IF(
AND(H23&lt;&gt;"",I23="",(30*1+$A$2)&gt;H23),"Due 30d",
"None"
)
)
)
)</f>
        <v/>
      </c>
      <c r="O23" s="60" t="str">
        <f aca="false">IF(
D23="","",
IF(
I23&gt;($A$2-7*$B$2),"Yes",
IF(
J23&gt;($A$2-7*$B$2),"Yes", 
"No"
)
)
)</f>
        <v/>
      </c>
      <c r="P23" s="61" t="str">
        <f aca="false">IF(
D23="","",
IF(
AND(H23&lt;&gt;"",G23=""),"Error: no Owner for Task with Due Date",
"ok"
)
)</f>
        <v/>
      </c>
      <c r="Q23" s="64" t="s">
        <v>469</v>
      </c>
    </row>
    <row r="24" customFormat="false" ht="12.75" hidden="false" customHeight="true" outlineLevel="0" collapsed="false">
      <c r="A24" s="54"/>
      <c r="B24" s="54"/>
      <c r="C24" s="74" t="str">
        <f aca="false">IF(
D24="","  -  ZZZ",
"  -  "&amp;F24&amp;E24&amp;F24)</f>
        <v>  -  ZZZ</v>
      </c>
      <c r="D24" s="75"/>
      <c r="E24" s="64"/>
      <c r="F24" s="64"/>
      <c r="G24" s="64"/>
      <c r="H24" s="40"/>
      <c r="I24" s="40"/>
      <c r="J24" s="40"/>
      <c r="K24" s="65"/>
      <c r="L24" s="60" t="str">
        <f aca="false">IF(
I24&lt;&gt;"","Delete",
IF(
AND(G24="Self",H24&lt;&gt;""),"Defer",
IF(
AND(G24&lt;&gt;"",G24&lt;&gt;"Self",H24&lt;&gt;""),"Delegate",
IF(
D24="Project","Projects",
IF(
D24="Routine","Routines",
IF(
D24="Task","Someday",
IF(
D24="Reference","Reference",
""
)
)
)
)
)
)
)</f>
        <v/>
      </c>
      <c r="M24" s="60" t="str">
        <f aca="false">IF(
D24="Project","Project Details",
IF(
D24="Routine","Routine Details",
IF(
D24="Reference","Reference Details",
""
)
)
)</f>
        <v/>
      </c>
      <c r="N24" s="60" t="str">
        <f aca="false">IF(
D24="","",
IF(
AND(H24&lt;&gt;"",I24="",H24&lt;$A$2),"Overdue",
IF(
AND(H24&lt;&gt;"",I24="",(7*1+$A$2)&gt;H24),"Due 7d",
IF(
AND(H24&lt;&gt;"",I24="",(30*1+$A$2)&gt;H24),"Due 30d",
"None"
)
)
)
)</f>
        <v/>
      </c>
      <c r="O24" s="60" t="str">
        <f aca="false">IF(
D24="","",
IF(
I24&gt;($A$2-7*$B$2),"Yes",
IF(
J24&gt;($A$2-7*$B$2),"Yes", 
"No"
)
)
)</f>
        <v/>
      </c>
      <c r="P24" s="61" t="str">
        <f aca="false">IF(
D24="","",
IF(
AND(H24&lt;&gt;"",G24=""),"Error: no Owner for Task with Due Date",
"ok"
)
)</f>
        <v/>
      </c>
      <c r="Q24" s="64" t="s">
        <v>469</v>
      </c>
    </row>
    <row r="25" customFormat="false" ht="12.75" hidden="false" customHeight="true" outlineLevel="0" collapsed="false">
      <c r="A25" s="54"/>
      <c r="B25" s="54"/>
      <c r="C25" s="74" t="str">
        <f aca="false">IF(
D25="","  -  ZZZ",
"  -  "&amp;F25&amp;E25&amp;F25)</f>
        <v>  -  ZZZ</v>
      </c>
      <c r="D25" s="75"/>
      <c r="E25" s="64"/>
      <c r="F25" s="64"/>
      <c r="G25" s="64"/>
      <c r="H25" s="40"/>
      <c r="I25" s="40"/>
      <c r="J25" s="40"/>
      <c r="K25" s="65"/>
      <c r="L25" s="60" t="str">
        <f aca="false">IF(
I25&lt;&gt;"","Delete",
IF(
AND(G25="Self",H25&lt;&gt;""),"Defer",
IF(
AND(G25&lt;&gt;"",G25&lt;&gt;"Self",H25&lt;&gt;""),"Delegate",
IF(
D25="Project","Projects",
IF(
D25="Routine","Routines",
IF(
D25="Task","Someday",
IF(
D25="Reference","Reference",
""
)
)
)
)
)
)
)</f>
        <v/>
      </c>
      <c r="M25" s="60" t="str">
        <f aca="false">IF(
D25="Project","Project Details",
IF(
D25="Routine","Routine Details",
IF(
D25="Reference","Reference Details",
""
)
)
)</f>
        <v/>
      </c>
      <c r="N25" s="60" t="str">
        <f aca="false">IF(
D25="","",
IF(
AND(H25&lt;&gt;"",I25="",H25&lt;$A$2),"Overdue",
IF(
AND(H25&lt;&gt;"",I25="",(7*1+$A$2)&gt;H25),"Due 7d",
IF(
AND(H25&lt;&gt;"",I25="",(30*1+$A$2)&gt;H25),"Due 30d",
"None"
)
)
)
)</f>
        <v/>
      </c>
      <c r="O25" s="60" t="str">
        <f aca="false">IF(
D25="","",
IF(
I25&gt;($A$2-7*$B$2),"Yes",
IF(
J25&gt;($A$2-7*$B$2),"Yes", 
"No"
)
)
)</f>
        <v/>
      </c>
      <c r="P25" s="61" t="str">
        <f aca="false">IF(
D25="","",
IF(
AND(H25&lt;&gt;"",G25=""),"Error: no Owner for Task with Due Date",
"ok"
)
)</f>
        <v/>
      </c>
      <c r="Q25" s="64" t="s">
        <v>469</v>
      </c>
    </row>
    <row r="26" customFormat="false" ht="12.75" hidden="false" customHeight="true" outlineLevel="0" collapsed="false">
      <c r="A26" s="54"/>
      <c r="B26" s="54"/>
      <c r="C26" s="74" t="str">
        <f aca="false">IF(
D26="","  -  ZZZ",
"  -  "&amp;F26&amp;E26&amp;F26)</f>
        <v>  -  ZZZ</v>
      </c>
      <c r="D26" s="75"/>
      <c r="E26" s="64"/>
      <c r="F26" s="64"/>
      <c r="G26" s="64"/>
      <c r="H26" s="40"/>
      <c r="I26" s="40"/>
      <c r="J26" s="40"/>
      <c r="K26" s="64"/>
      <c r="L26" s="60" t="str">
        <f aca="false">IF(
I26&lt;&gt;"","Delete",
IF(
AND(G26="Self",H26&lt;&gt;""),"Defer",
IF(
AND(G26&lt;&gt;"",G26&lt;&gt;"Self",H26&lt;&gt;""),"Delegate",
IF(
D26="Project","Projects",
IF(
D26="Routine","Routines",
IF(
D26="Task","Someday",
IF(
D26="Reference","Reference",
""
)
)
)
)
)
)
)</f>
        <v/>
      </c>
      <c r="M26" s="60" t="str">
        <f aca="false">IF(
D26="Project","Project Details",
IF(
D26="Routine","Routine Details",
IF(
D26="Reference","Reference Details",
""
)
)
)</f>
        <v/>
      </c>
      <c r="N26" s="60" t="str">
        <f aca="false">IF(
D26="","",
IF(
AND(H26&lt;&gt;"",I26="",H26&lt;$A$2),"Overdue",
IF(
AND(H26&lt;&gt;"",I26="",(7*1+$A$2)&gt;H26),"Due 7d",
IF(
AND(H26&lt;&gt;"",I26="",(30*1+$A$2)&gt;H26),"Due 30d",
"None"
)
)
)
)</f>
        <v/>
      </c>
      <c r="O26" s="60" t="str">
        <f aca="false">IF(
D26="","",
IF(
I26&gt;($A$2-7*$B$2),"Yes",
IF(
J26&gt;($A$2-7*$B$2),"Yes", 
"No"
)
)
)</f>
        <v/>
      </c>
      <c r="P26" s="61" t="str">
        <f aca="false">IF(
D26="","",
IF(
AND(H26&lt;&gt;"",G26=""),"Error: no Owner for Task with Due Date",
"ok"
)
)</f>
        <v/>
      </c>
      <c r="Q26" s="64" t="s">
        <v>469</v>
      </c>
    </row>
    <row r="27" customFormat="false" ht="12.75" hidden="false" customHeight="true" outlineLevel="0" collapsed="false">
      <c r="A27" s="54"/>
      <c r="B27" s="54"/>
      <c r="C27" s="74" t="str">
        <f aca="false">IF(
D27="","  -  ZZZ",
"  -  "&amp;F27&amp;E27&amp;F27)</f>
        <v>  -  ZZZ</v>
      </c>
      <c r="D27" s="75"/>
      <c r="E27" s="64"/>
      <c r="F27" s="64"/>
      <c r="G27" s="64"/>
      <c r="H27" s="40"/>
      <c r="I27" s="40"/>
      <c r="J27" s="40"/>
      <c r="K27" s="65"/>
      <c r="L27" s="60" t="str">
        <f aca="false">IF(
I27&lt;&gt;"","Delete",
IF(
AND(G27="Self",H27&lt;&gt;""),"Defer",
IF(
AND(G27&lt;&gt;"",G27&lt;&gt;"Self",H27&lt;&gt;""),"Delegate",
IF(
D27="Project","Projects",
IF(
D27="Routine","Routines",
IF(
D27="Task","Someday",
IF(
D27="Reference","Reference",
""
)
)
)
)
)
)
)</f>
        <v/>
      </c>
      <c r="M27" s="60" t="str">
        <f aca="false">IF(
D27="Project","Project Details",
IF(
D27="Routine","Routine Details",
IF(
D27="Reference","Reference Details",
""
)
)
)</f>
        <v/>
      </c>
      <c r="N27" s="60" t="str">
        <f aca="false">IF(
D27="","",
IF(
AND(H27&lt;&gt;"",I27="",H27&lt;$A$2),"Overdue",
IF(
AND(H27&lt;&gt;"",I27="",(7*1+$A$2)&gt;H27),"Due 7d",
IF(
AND(H27&lt;&gt;"",I27="",(30*1+$A$2)&gt;H27),"Due 30d",
"None"
)
)
)
)</f>
        <v/>
      </c>
      <c r="O27" s="60" t="str">
        <f aca="false">IF(
D27="","",
IF(
I27&gt;($A$2-7*$B$2),"Yes",
IF(
J27&gt;($A$2-7*$B$2),"Yes", 
"No"
)
)
)</f>
        <v/>
      </c>
      <c r="P27" s="61" t="str">
        <f aca="false">IF(
D27="","",
IF(
AND(H27&lt;&gt;"",G27=""),"Error: no Owner for Task with Due Date",
"ok"
)
)</f>
        <v/>
      </c>
      <c r="Q27" s="64" t="s">
        <v>469</v>
      </c>
    </row>
    <row r="28" customFormat="false" ht="12.75" hidden="false" customHeight="true" outlineLevel="0" collapsed="false">
      <c r="A28" s="54"/>
      <c r="B28" s="54"/>
      <c r="C28" s="74" t="str">
        <f aca="false">IF(
D28="","  -  ZZZ",
"  -  "&amp;F28&amp;E28&amp;F28)</f>
        <v>  -  ZZZ</v>
      </c>
      <c r="D28" s="75"/>
      <c r="E28" s="64"/>
      <c r="F28" s="64"/>
      <c r="G28" s="64"/>
      <c r="H28" s="40"/>
      <c r="I28" s="40"/>
      <c r="J28" s="40"/>
      <c r="K28" s="65"/>
      <c r="L28" s="60" t="str">
        <f aca="false">IF(
I28&lt;&gt;"","Delete",
IF(
AND(G28="Self",H28&lt;&gt;""),"Defer",
IF(
AND(G28&lt;&gt;"",G28&lt;&gt;"Self",H28&lt;&gt;""),"Delegate",
IF(
D28="Project","Projects",
IF(
D28="Routine","Routines",
IF(
D28="Task","Someday",
IF(
D28="Reference","Reference",
""
)
)
)
)
)
)
)</f>
        <v/>
      </c>
      <c r="M28" s="60" t="str">
        <f aca="false">IF(
D28="Project","Project Details",
IF(
D28="Routine","Routine Details",
IF(
D28="Reference","Reference Details",
""
)
)
)</f>
        <v/>
      </c>
      <c r="N28" s="60" t="str">
        <f aca="false">IF(
D28="","",
IF(
AND(H28&lt;&gt;"",I28="",H28&lt;$A$2),"Overdue",
IF(
AND(H28&lt;&gt;"",I28="",(7*1+$A$2)&gt;H28),"Due 7d",
IF(
AND(H28&lt;&gt;"",I28="",(30*1+$A$2)&gt;H28),"Due 30d",
"None"
)
)
)
)</f>
        <v/>
      </c>
      <c r="O28" s="60" t="str">
        <f aca="false">IF(
D28="","",
IF(
I28&gt;($A$2-7*$B$2),"Yes",
IF(
J28&gt;($A$2-7*$B$2),"Yes", 
"No"
)
)
)</f>
        <v/>
      </c>
      <c r="P28" s="61" t="str">
        <f aca="false">IF(
D28="","",
IF(
AND(H28&lt;&gt;"",G28=""),"Error: no Owner for Task with Due Date",
"ok"
)
)</f>
        <v/>
      </c>
      <c r="Q28" s="64" t="s">
        <v>469</v>
      </c>
    </row>
    <row r="29" customFormat="false" ht="12.75" hidden="false" customHeight="true" outlineLevel="0" collapsed="false">
      <c r="A29" s="54"/>
      <c r="B29" s="54"/>
      <c r="C29" s="74" t="str">
        <f aca="false">IF(
D29="","  -  ZZZ",
"  -  "&amp;F29&amp;E29&amp;F29)</f>
        <v>  -  ZZZ</v>
      </c>
      <c r="D29" s="75"/>
      <c r="E29" s="64"/>
      <c r="F29" s="64"/>
      <c r="G29" s="64"/>
      <c r="H29" s="40"/>
      <c r="I29" s="40"/>
      <c r="J29" s="40"/>
      <c r="K29" s="64"/>
      <c r="L29" s="60" t="str">
        <f aca="false">IF(
I29&lt;&gt;"","Delete",
IF(
AND(G29="Self",H29&lt;&gt;""),"Defer",
IF(
AND(G29&lt;&gt;"",G29&lt;&gt;"Self",H29&lt;&gt;""),"Delegate",
IF(
D29="Project","Projects",
IF(
D29="Routine","Routines",
IF(
D29="Task","Someday",
IF(
D29="Reference","Reference",
""
)
)
)
)
)
)
)</f>
        <v/>
      </c>
      <c r="M29" s="60" t="str">
        <f aca="false">IF(
D29="Project","Project Details",
IF(
D29="Routine","Routine Details",
IF(
D29="Reference","Reference Details",
""
)
)
)</f>
        <v/>
      </c>
      <c r="N29" s="60" t="str">
        <f aca="false">IF(
D29="","",
IF(
AND(H29&lt;&gt;"",I29="",H29&lt;$A$2),"Overdue",
IF(
AND(H29&lt;&gt;"",I29="",(7*1+$A$2)&gt;H29),"Due 7d",
IF(
AND(H29&lt;&gt;"",I29="",(30*1+$A$2)&gt;H29),"Due 30d",
"None"
)
)
)
)</f>
        <v/>
      </c>
      <c r="O29" s="60" t="str">
        <f aca="false">IF(
D29="","",
IF(
I29&gt;($A$2-7*$B$2),"Yes",
IF(
J29&gt;($A$2-7*$B$2),"Yes", 
"No"
)
)
)</f>
        <v/>
      </c>
      <c r="P29" s="61" t="str">
        <f aca="false">IF(
D29="","",
IF(
AND(H29&lt;&gt;"",G29=""),"Error: no Owner for Task with Due Date",
"ok"
)
)</f>
        <v/>
      </c>
      <c r="Q29" s="64" t="s">
        <v>469</v>
      </c>
    </row>
    <row r="30" customFormat="false" ht="12.75" hidden="false" customHeight="true" outlineLevel="0" collapsed="false">
      <c r="A30" s="54"/>
      <c r="B30" s="54"/>
      <c r="C30" s="74" t="str">
        <f aca="false">IF(
D30="","  -  ZZZ",
"  -  "&amp;F30&amp;E30&amp;F30)</f>
        <v>  -  ZZZ</v>
      </c>
      <c r="D30" s="75"/>
      <c r="E30" s="64"/>
      <c r="F30" s="64"/>
      <c r="G30" s="64"/>
      <c r="H30" s="40"/>
      <c r="I30" s="40"/>
      <c r="J30" s="40"/>
      <c r="K30" s="65"/>
      <c r="L30" s="60" t="str">
        <f aca="false">IF(
I30&lt;&gt;"","Delete",
IF(
AND(G30="Self",H30&lt;&gt;""),"Defer",
IF(
AND(G30&lt;&gt;"",G30&lt;&gt;"Self",H30&lt;&gt;""),"Delegate",
IF(
D30="Project","Projects",
IF(
D30="Routine","Routines",
IF(
D30="Task","Someday",
IF(
D30="Reference","Reference",
""
)
)
)
)
)
)
)</f>
        <v/>
      </c>
      <c r="M30" s="60" t="str">
        <f aca="false">IF(
D30="Project","Project Details",
IF(
D30="Routine","Routine Details",
IF(
D30="Reference","Reference Details",
""
)
)
)</f>
        <v/>
      </c>
      <c r="N30" s="60" t="str">
        <f aca="false">IF(
D30="","",
IF(
AND(H30&lt;&gt;"",I30="",H30&lt;$A$2),"Overdue",
IF(
AND(H30&lt;&gt;"",I30="",(7*1+$A$2)&gt;H30),"Due 7d",
IF(
AND(H30&lt;&gt;"",I30="",(30*1+$A$2)&gt;H30),"Due 30d",
"None"
)
)
)
)</f>
        <v/>
      </c>
      <c r="O30" s="60" t="str">
        <f aca="false">IF(
D30="","",
IF(
I30&gt;($A$2-7*$B$2),"Yes",
IF(
J30&gt;($A$2-7*$B$2),"Yes", 
"No"
)
)
)</f>
        <v/>
      </c>
      <c r="P30" s="61" t="str">
        <f aca="false">IF(
D30="","",
IF(
AND(H30&lt;&gt;"",G30=""),"Error: no Owner for Task with Due Date",
"ok"
)
)</f>
        <v/>
      </c>
      <c r="Q30" s="64" t="s">
        <v>469</v>
      </c>
    </row>
    <row r="31" customFormat="false" ht="12.75" hidden="false" customHeight="true" outlineLevel="0" collapsed="false">
      <c r="A31" s="54"/>
      <c r="B31" s="54"/>
      <c r="C31" s="74" t="str">
        <f aca="false">IF(
D31="","  -  ZZZ",
"  -  "&amp;F31&amp;E31&amp;F31)</f>
        <v>  -  ZZZ</v>
      </c>
      <c r="D31" s="75"/>
      <c r="E31" s="64"/>
      <c r="F31" s="64"/>
      <c r="G31" s="64"/>
      <c r="H31" s="40"/>
      <c r="I31" s="40"/>
      <c r="J31" s="40"/>
      <c r="K31" s="65"/>
      <c r="L31" s="60" t="str">
        <f aca="false">IF(
I31&lt;&gt;"","Delete",
IF(
AND(G31="Self",H31&lt;&gt;""),"Defer",
IF(
AND(G31&lt;&gt;"",G31&lt;&gt;"Self",H31&lt;&gt;""),"Delegate",
IF(
D31="Project","Projects",
IF(
D31="Routine","Routines",
IF(
D31="Task","Someday",
IF(
D31="Reference","Reference",
""
)
)
)
)
)
)
)</f>
        <v/>
      </c>
      <c r="M31" s="60" t="str">
        <f aca="false">IF(
D31="Project","Project Details",
IF(
D31="Routine","Routine Details",
IF(
D31="Reference","Reference Details",
""
)
)
)</f>
        <v/>
      </c>
      <c r="N31" s="60" t="str">
        <f aca="false">IF(
D31="","",
IF(
AND(H31&lt;&gt;"",I31="",H31&lt;$A$2),"Overdue",
IF(
AND(H31&lt;&gt;"",I31="",(7*1+$A$2)&gt;H31),"Due 7d",
IF(
AND(H31&lt;&gt;"",I31="",(30*1+$A$2)&gt;H31),"Due 30d",
"None"
)
)
)
)</f>
        <v/>
      </c>
      <c r="O31" s="60" t="str">
        <f aca="false">IF(
D31="","",
IF(
I31&gt;($A$2-7*$B$2),"Yes",
IF(
J31&gt;($A$2-7*$B$2),"Yes", 
"No"
)
)
)</f>
        <v/>
      </c>
      <c r="P31" s="61" t="str">
        <f aca="false">IF(
D31="","",
IF(
AND(H31&lt;&gt;"",G31=""),"Error: no Owner for Task with Due Date",
"ok"
)
)</f>
        <v/>
      </c>
      <c r="Q31" s="64" t="s">
        <v>469</v>
      </c>
    </row>
    <row r="32" customFormat="false" ht="12.75" hidden="false" customHeight="true" outlineLevel="0" collapsed="false">
      <c r="A32" s="54"/>
      <c r="B32" s="54"/>
      <c r="C32" s="74" t="str">
        <f aca="false">IF(
D32="","  -  ZZZ",
"  -  "&amp;F32&amp;E32&amp;F32)</f>
        <v>  -  ZZZ</v>
      </c>
      <c r="D32" s="75"/>
      <c r="E32" s="64"/>
      <c r="F32" s="64"/>
      <c r="G32" s="64"/>
      <c r="H32" s="40"/>
      <c r="I32" s="40"/>
      <c r="J32" s="40"/>
      <c r="K32" s="65"/>
      <c r="L32" s="60" t="str">
        <f aca="false">IF(
I32&lt;&gt;"","Delete",
IF(
AND(G32="Self",H32&lt;&gt;""),"Defer",
IF(
AND(G32&lt;&gt;"",G32&lt;&gt;"Self",H32&lt;&gt;""),"Delegate",
IF(
D32="Project","Projects",
IF(
D32="Routine","Routines",
IF(
D32="Task","Someday",
IF(
D32="Reference","Reference",
""
)
)
)
)
)
)
)</f>
        <v/>
      </c>
      <c r="M32" s="60" t="str">
        <f aca="false">IF(
D32="Project","Project Details",
IF(
D32="Routine","Routine Details",
IF(
D32="Reference","Reference Details",
""
)
)
)</f>
        <v/>
      </c>
      <c r="N32" s="60" t="str">
        <f aca="false">IF(
D32="","",
IF(
AND(H32&lt;&gt;"",I32="",H32&lt;$A$2),"Overdue",
IF(
AND(H32&lt;&gt;"",I32="",(7*1+$A$2)&gt;H32),"Due 7d",
IF(
AND(H32&lt;&gt;"",I32="",(30*1+$A$2)&gt;H32),"Due 30d",
"None"
)
)
)
)</f>
        <v/>
      </c>
      <c r="O32" s="60" t="str">
        <f aca="false">IF(
D32="","",
IF(
I32&gt;($A$2-7*$B$2),"Yes",
IF(
J32&gt;($A$2-7*$B$2),"Yes", 
"No"
)
)
)</f>
        <v/>
      </c>
      <c r="P32" s="61" t="str">
        <f aca="false">IF(
D32="","",
IF(
AND(H32&lt;&gt;"",G32=""),"Error: no Owner for Task with Due Date",
"ok"
)
)</f>
        <v/>
      </c>
      <c r="Q32" s="64" t="s">
        <v>469</v>
      </c>
    </row>
    <row r="33" customFormat="false" ht="12.75" hidden="false" customHeight="true" outlineLevel="0" collapsed="false">
      <c r="A33" s="54"/>
      <c r="B33" s="54"/>
      <c r="C33" s="74" t="str">
        <f aca="false">IF(
D33="","  -  ZZZ",
"  -  "&amp;F33&amp;E33&amp;F33)</f>
        <v>  -  ZZZ</v>
      </c>
      <c r="D33" s="75"/>
      <c r="E33" s="64"/>
      <c r="F33" s="64"/>
      <c r="G33" s="64"/>
      <c r="H33" s="40"/>
      <c r="I33" s="40"/>
      <c r="J33" s="40"/>
      <c r="K33" s="65"/>
      <c r="L33" s="60" t="str">
        <f aca="false">IF(
I33&lt;&gt;"","Delete",
IF(
AND(G33="Self",H33&lt;&gt;""),"Defer",
IF(
AND(G33&lt;&gt;"",G33&lt;&gt;"Self",H33&lt;&gt;""),"Delegate",
IF(
D33="Project","Projects",
IF(
D33="Routine","Routines",
IF(
D33="Task","Someday",
IF(
D33="Reference","Reference",
""
)
)
)
)
)
)
)</f>
        <v/>
      </c>
      <c r="M33" s="60" t="str">
        <f aca="false">IF(
D33="Project","Project Details",
IF(
D33="Routine","Routine Details",
IF(
D33="Reference","Reference Details",
""
)
)
)</f>
        <v/>
      </c>
      <c r="N33" s="60" t="str">
        <f aca="false">IF(
D33="","",
IF(
AND(H33&lt;&gt;"",I33="",H33&lt;$A$2),"Overdue",
IF(
AND(H33&lt;&gt;"",I33="",(7*1+$A$2)&gt;H33),"Due 7d",
IF(
AND(H33&lt;&gt;"",I33="",(30*1+$A$2)&gt;H33),"Due 30d",
"None"
)
)
)
)</f>
        <v/>
      </c>
      <c r="O33" s="60" t="str">
        <f aca="false">IF(
D33="","",
IF(
I33&gt;($A$2-7*$B$2),"Yes",
IF(
J33&gt;($A$2-7*$B$2),"Yes", 
"No"
)
)
)</f>
        <v/>
      </c>
      <c r="P33" s="61" t="str">
        <f aca="false">IF(
D33="","",
IF(
AND(H33&lt;&gt;"",G33=""),"Error: no Owner for Task with Due Date",
"ok"
)
)</f>
        <v/>
      </c>
      <c r="Q33" s="64" t="s">
        <v>469</v>
      </c>
    </row>
    <row r="34" customFormat="false" ht="12.75" hidden="false" customHeight="true" outlineLevel="0" collapsed="false">
      <c r="A34" s="54"/>
      <c r="B34" s="54"/>
      <c r="C34" s="74" t="str">
        <f aca="false">IF(
D34="","  -  ZZZ",
"  -  "&amp;F34&amp;E34&amp;F34)</f>
        <v>  -  ZZZ</v>
      </c>
      <c r="D34" s="75"/>
      <c r="E34" s="64"/>
      <c r="F34" s="64"/>
      <c r="G34" s="64"/>
      <c r="H34" s="40"/>
      <c r="I34" s="40"/>
      <c r="J34" s="40"/>
      <c r="K34" s="65"/>
      <c r="L34" s="60" t="str">
        <f aca="false">IF(
I34&lt;&gt;"","Delete",
IF(
AND(G34="Self",H34&lt;&gt;""),"Defer",
IF(
AND(G34&lt;&gt;"",G34&lt;&gt;"Self",H34&lt;&gt;""),"Delegate",
IF(
D34="Project","Projects",
IF(
D34="Routine","Routines",
IF(
D34="Task","Someday",
IF(
D34="Reference","Reference",
""
)
)
)
)
)
)
)</f>
        <v/>
      </c>
      <c r="M34" s="60" t="str">
        <f aca="false">IF(
D34="Project","Project Details",
IF(
D34="Routine","Routine Details",
IF(
D34="Reference","Reference Details",
""
)
)
)</f>
        <v/>
      </c>
      <c r="N34" s="60" t="str">
        <f aca="false">IF(
D34="","",
IF(
AND(H34&lt;&gt;"",I34="",H34&lt;$A$2),"Overdue",
IF(
AND(H34&lt;&gt;"",I34="",(7*1+$A$2)&gt;H34),"Due 7d",
IF(
AND(H34&lt;&gt;"",I34="",(30*1+$A$2)&gt;H34),"Due 30d",
"None"
)
)
)
)</f>
        <v/>
      </c>
      <c r="O34" s="60" t="str">
        <f aca="false">IF(
D34="","",
IF(
I34&gt;($A$2-7*$B$2),"Yes",
IF(
J34&gt;($A$2-7*$B$2),"Yes", 
"No"
)
)
)</f>
        <v/>
      </c>
      <c r="P34" s="61" t="str">
        <f aca="false">IF(
D34="","",
IF(
AND(H34&lt;&gt;"",G34=""),"Error: no Owner for Task with Due Date",
"ok"
)
)</f>
        <v/>
      </c>
      <c r="Q34" s="64" t="s">
        <v>469</v>
      </c>
    </row>
    <row r="35" customFormat="false" ht="12.75" hidden="false" customHeight="true" outlineLevel="0" collapsed="false">
      <c r="A35" s="54"/>
      <c r="B35" s="54"/>
      <c r="C35" s="74" t="str">
        <f aca="false">IF(
D35="","  -  ZZZ",
"  -  "&amp;F35&amp;E35&amp;F35)</f>
        <v>  -  ZZZ</v>
      </c>
      <c r="D35" s="75"/>
      <c r="E35" s="64"/>
      <c r="F35" s="64"/>
      <c r="G35" s="64"/>
      <c r="H35" s="40"/>
      <c r="I35" s="40"/>
      <c r="J35" s="40"/>
      <c r="K35" s="65"/>
      <c r="L35" s="60" t="str">
        <f aca="false">IF(
I35&lt;&gt;"","Delete",
IF(
AND(G35="Self",H35&lt;&gt;""),"Defer",
IF(
AND(G35&lt;&gt;"",G35&lt;&gt;"Self",H35&lt;&gt;""),"Delegate",
IF(
D35="Project","Projects",
IF(
D35="Routine","Routines",
IF(
D35="Task","Someday",
IF(
D35="Reference","Reference",
""
)
)
)
)
)
)
)</f>
        <v/>
      </c>
      <c r="M35" s="60" t="str">
        <f aca="false">IF(
D35="Project","Project Details",
IF(
D35="Routine","Routine Details",
IF(
D35="Reference","Reference Details",
""
)
)
)</f>
        <v/>
      </c>
      <c r="N35" s="60" t="str">
        <f aca="false">IF(
D35="","",
IF(
AND(H35&lt;&gt;"",I35="",H35&lt;$A$2),"Overdue",
IF(
AND(H35&lt;&gt;"",I35="",(7*1+$A$2)&gt;H35),"Due 7d",
IF(
AND(H35&lt;&gt;"",I35="",(30*1+$A$2)&gt;H35),"Due 30d",
"None"
)
)
)
)</f>
        <v/>
      </c>
      <c r="O35" s="60" t="str">
        <f aca="false">IF(
D35="","",
IF(
I35&gt;($A$2-7*$B$2),"Yes",
IF(
J35&gt;($A$2-7*$B$2),"Yes", 
"No"
)
)
)</f>
        <v/>
      </c>
      <c r="P35" s="61" t="str">
        <f aca="false">IF(
D35="","",
IF(
AND(H35&lt;&gt;"",G35=""),"Error: no Owner for Task with Due Date",
"ok"
)
)</f>
        <v/>
      </c>
      <c r="Q35" s="64" t="s">
        <v>469</v>
      </c>
    </row>
    <row r="36" customFormat="false" ht="12.75" hidden="false" customHeight="true" outlineLevel="0" collapsed="false">
      <c r="A36" s="54"/>
      <c r="B36" s="54"/>
      <c r="C36" s="74" t="str">
        <f aca="false">IF(
D36="","  -  ZZZ",
"  -  "&amp;F36&amp;E36&amp;F36)</f>
        <v>  -  ZZZ</v>
      </c>
      <c r="D36" s="75"/>
      <c r="E36" s="64"/>
      <c r="F36" s="64"/>
      <c r="G36" s="64"/>
      <c r="H36" s="40"/>
      <c r="I36" s="40"/>
      <c r="J36" s="40"/>
      <c r="K36" s="65"/>
      <c r="L36" s="60" t="str">
        <f aca="false">IF(
I36&lt;&gt;"","Delete",
IF(
AND(G36="Self",H36&lt;&gt;""),"Defer",
IF(
AND(G36&lt;&gt;"",G36&lt;&gt;"Self",H36&lt;&gt;""),"Delegate",
IF(
D36="Project","Projects",
IF(
D36="Routine","Routines",
IF(
D36="Task","Someday",
IF(
D36="Reference","Reference",
""
)
)
)
)
)
)
)</f>
        <v/>
      </c>
      <c r="M36" s="60" t="str">
        <f aca="false">IF(
D36="Project","Project Details",
IF(
D36="Routine","Routine Details",
IF(
D36="Reference","Reference Details",
""
)
)
)</f>
        <v/>
      </c>
      <c r="N36" s="60" t="str">
        <f aca="false">IF(
D36="","",
IF(
AND(H36&lt;&gt;"",I36="",H36&lt;$A$2),"Overdue",
IF(
AND(H36&lt;&gt;"",I36="",(7*1+$A$2)&gt;H36),"Due 7d",
IF(
AND(H36&lt;&gt;"",I36="",(30*1+$A$2)&gt;H36),"Due 30d",
"None"
)
)
)
)</f>
        <v/>
      </c>
      <c r="O36" s="60" t="str">
        <f aca="false">IF(
D36="","",
IF(
I36&gt;($A$2-7*$B$2),"Yes",
IF(
J36&gt;($A$2-7*$B$2),"Yes", 
"No"
)
)
)</f>
        <v/>
      </c>
      <c r="P36" s="61" t="str">
        <f aca="false">IF(
D36="","",
IF(
AND(H36&lt;&gt;"",G36=""),"Error: no Owner for Task with Due Date",
"ok"
)
)</f>
        <v/>
      </c>
      <c r="Q36" s="64" t="s">
        <v>469</v>
      </c>
    </row>
    <row r="37" customFormat="false" ht="12.75" hidden="false" customHeight="true" outlineLevel="0" collapsed="false">
      <c r="A37" s="54"/>
      <c r="B37" s="54"/>
      <c r="C37" s="74" t="str">
        <f aca="false">IF(
D37="","  -  ZZZ",
"  -  "&amp;F37&amp;E37&amp;F37)</f>
        <v>  -  ZZZ</v>
      </c>
      <c r="D37" s="75"/>
      <c r="E37" s="64"/>
      <c r="F37" s="64"/>
      <c r="G37" s="64"/>
      <c r="H37" s="40"/>
      <c r="I37" s="40"/>
      <c r="J37" s="40"/>
      <c r="K37" s="65"/>
      <c r="L37" s="60" t="str">
        <f aca="false">IF(
I37&lt;&gt;"","Delete",
IF(
AND(G37="Self",H37&lt;&gt;""),"Defer",
IF(
AND(G37&lt;&gt;"",G37&lt;&gt;"Self",H37&lt;&gt;""),"Delegate",
IF(
D37="Project","Projects",
IF(
D37="Routine","Routines",
IF(
D37="Task","Someday",
IF(
D37="Reference","Reference",
""
)
)
)
)
)
)
)</f>
        <v/>
      </c>
      <c r="M37" s="60" t="str">
        <f aca="false">IF(
D37="Project","Project Details",
IF(
D37="Routine","Routine Details",
IF(
D37="Reference","Reference Details",
""
)
)
)</f>
        <v/>
      </c>
      <c r="N37" s="60" t="str">
        <f aca="false">IF(
D37="","",
IF(
AND(H37&lt;&gt;"",I37="",H37&lt;$A$2),"Overdue",
IF(
AND(H37&lt;&gt;"",I37="",(7*1+$A$2)&gt;H37),"Due 7d",
IF(
AND(H37&lt;&gt;"",I37="",(30*1+$A$2)&gt;H37),"Due 30d",
"None"
)
)
)
)</f>
        <v/>
      </c>
      <c r="O37" s="60" t="str">
        <f aca="false">IF(
D37="","",
IF(
I37&gt;($A$2-7*$B$2),"Yes",
IF(
J37&gt;($A$2-7*$B$2),"Yes", 
"No"
)
)
)</f>
        <v/>
      </c>
      <c r="P37" s="61" t="str">
        <f aca="false">IF(
D37="","",
IF(
AND(H37&lt;&gt;"",G37=""),"Error: no Owner for Task with Due Date",
"ok"
)
)</f>
        <v/>
      </c>
      <c r="Q37" s="64" t="s">
        <v>469</v>
      </c>
    </row>
    <row r="38" customFormat="false" ht="12.75" hidden="false" customHeight="true" outlineLevel="0" collapsed="false">
      <c r="A38" s="54"/>
      <c r="B38" s="54"/>
      <c r="C38" s="74" t="str">
        <f aca="false">IF(
D38="","  -  ZZZ",
"  -  "&amp;F38&amp;E38&amp;F38)</f>
        <v>  -  ZZZ</v>
      </c>
      <c r="D38" s="75"/>
      <c r="E38" s="64"/>
      <c r="F38" s="64"/>
      <c r="G38" s="64"/>
      <c r="H38" s="40"/>
      <c r="I38" s="40"/>
      <c r="J38" s="40"/>
      <c r="K38" s="65"/>
      <c r="L38" s="60" t="str">
        <f aca="false">IF(
I38&lt;&gt;"","Delete",
IF(
AND(G38="Self",H38&lt;&gt;""),"Defer",
IF(
AND(G38&lt;&gt;"",G38&lt;&gt;"Self",H38&lt;&gt;""),"Delegate",
IF(
D38="Project","Projects",
IF(
D38="Routine","Routines",
IF(
D38="Task","Someday",
IF(
D38="Reference","Reference",
""
)
)
)
)
)
)
)</f>
        <v/>
      </c>
      <c r="M38" s="60" t="str">
        <f aca="false">IF(
D38="Project","Project Details",
IF(
D38="Routine","Routine Details",
IF(
D38="Reference","Reference Details",
""
)
)
)</f>
        <v/>
      </c>
      <c r="N38" s="60" t="str">
        <f aca="false">IF(
D38="","",
IF(
AND(H38&lt;&gt;"",I38="",H38&lt;$A$2),"Overdue",
IF(
AND(H38&lt;&gt;"",I38="",(7*1+$A$2)&gt;H38),"Due 7d",
IF(
AND(H38&lt;&gt;"",I38="",(30*1+$A$2)&gt;H38),"Due 30d",
"None"
)
)
)
)</f>
        <v/>
      </c>
      <c r="O38" s="60" t="str">
        <f aca="false">IF(
D38="","",
IF(
I38&gt;($A$2-7*$B$2),"Yes",
IF(
J38&gt;($A$2-7*$B$2),"Yes", 
"No"
)
)
)</f>
        <v/>
      </c>
      <c r="P38" s="61" t="str">
        <f aca="false">IF(
D38="","",
IF(
AND(H38&lt;&gt;"",G38=""),"Error: no Owner for Task with Due Date",
"ok"
)
)</f>
        <v/>
      </c>
      <c r="Q38" s="64" t="s">
        <v>469</v>
      </c>
    </row>
    <row r="39" customFormat="false" ht="12.75" hidden="false" customHeight="true" outlineLevel="0" collapsed="false">
      <c r="A39" s="54"/>
      <c r="B39" s="54"/>
      <c r="C39" s="74" t="str">
        <f aca="false">IF(
D39="","  -  ZZZ",
"  -  "&amp;F39&amp;E39&amp;F39)</f>
        <v>  -  ZZZ</v>
      </c>
      <c r="D39" s="75"/>
      <c r="E39" s="64"/>
      <c r="F39" s="64"/>
      <c r="G39" s="64"/>
      <c r="H39" s="40"/>
      <c r="I39" s="40"/>
      <c r="J39" s="40"/>
      <c r="K39" s="65"/>
      <c r="L39" s="60" t="str">
        <f aca="false">IF(
I39&lt;&gt;"","Delete",
IF(
AND(G39="Self",H39&lt;&gt;""),"Defer",
IF(
AND(G39&lt;&gt;"",G39&lt;&gt;"Self",H39&lt;&gt;""),"Delegate",
IF(
D39="Project","Projects",
IF(
D39="Routine","Routines",
IF(
D39="Task","Someday",
IF(
D39="Reference","Reference",
""
)
)
)
)
)
)
)</f>
        <v/>
      </c>
      <c r="M39" s="60" t="str">
        <f aca="false">IF(
D39="Project","Project Details",
IF(
D39="Routine","Routine Details",
IF(
D39="Reference","Reference Details",
""
)
)
)</f>
        <v/>
      </c>
      <c r="N39" s="60" t="str">
        <f aca="false">IF(
D39="","",
IF(
AND(H39&lt;&gt;"",I39="",H39&lt;$A$2),"Overdue",
IF(
AND(H39&lt;&gt;"",I39="",(7*1+$A$2)&gt;H39),"Due 7d",
IF(
AND(H39&lt;&gt;"",I39="",(30*1+$A$2)&gt;H39),"Due 30d",
"None"
)
)
)
)</f>
        <v/>
      </c>
      <c r="O39" s="60" t="str">
        <f aca="false">IF(
D39="","",
IF(
I39&gt;($A$2-7*$B$2),"Yes",
IF(
J39&gt;($A$2-7*$B$2),"Yes", 
"No"
)
)
)</f>
        <v/>
      </c>
      <c r="P39" s="61" t="str">
        <f aca="false">IF(
D39="","",
IF(
AND(H39&lt;&gt;"",G39=""),"Error: no Owner for Task with Due Date",
"ok"
)
)</f>
        <v/>
      </c>
      <c r="Q39" s="64" t="s">
        <v>469</v>
      </c>
    </row>
    <row r="40" customFormat="false" ht="12.75" hidden="false" customHeight="true" outlineLevel="0" collapsed="false">
      <c r="A40" s="54"/>
      <c r="B40" s="54"/>
      <c r="C40" s="74" t="str">
        <f aca="false">IF(
D40="","  -  ZZZ",
"  -  "&amp;F40&amp;E40&amp;F40)</f>
        <v>  -  ZZZ</v>
      </c>
      <c r="D40" s="75"/>
      <c r="E40" s="64"/>
      <c r="F40" s="64"/>
      <c r="G40" s="64"/>
      <c r="H40" s="40"/>
      <c r="I40" s="40"/>
      <c r="J40" s="40"/>
      <c r="K40" s="65"/>
      <c r="L40" s="60" t="str">
        <f aca="false">IF(
I40&lt;&gt;"","Delete",
IF(
AND(G40="Self",H40&lt;&gt;""),"Defer",
IF(
AND(G40&lt;&gt;"",G40&lt;&gt;"Self",H40&lt;&gt;""),"Delegate",
IF(
D40="Project","Projects",
IF(
D40="Routine","Routines",
IF(
D40="Task","Someday",
IF(
D40="Reference","Reference",
""
)
)
)
)
)
)
)</f>
        <v/>
      </c>
      <c r="M40" s="60" t="str">
        <f aca="false">IF(
D40="Project","Project Details",
IF(
D40="Routine","Routine Details",
IF(
D40="Reference","Reference Details",
""
)
)
)</f>
        <v/>
      </c>
      <c r="N40" s="60" t="str">
        <f aca="false">IF(
D40="","",
IF(
AND(H40&lt;&gt;"",I40="",H40&lt;$A$2),"Overdue",
IF(
AND(H40&lt;&gt;"",I40="",(7*1+$A$2)&gt;H40),"Due 7d",
IF(
AND(H40&lt;&gt;"",I40="",(30*1+$A$2)&gt;H40),"Due 30d",
"None"
)
)
)
)</f>
        <v/>
      </c>
      <c r="O40" s="60" t="str">
        <f aca="false">IF(
D40="","",
IF(
I40&gt;($A$2-7*$B$2),"Yes",
IF(
J40&gt;($A$2-7*$B$2),"Yes", 
"No"
)
)
)</f>
        <v/>
      </c>
      <c r="P40" s="61" t="str">
        <f aca="false">IF(
D40="","",
IF(
AND(H40&lt;&gt;"",G40=""),"Error: no Owner for Task with Due Date",
"ok"
)
)</f>
        <v/>
      </c>
      <c r="Q40" s="64" t="s">
        <v>469</v>
      </c>
    </row>
    <row r="41" customFormat="false" ht="12.75" hidden="false" customHeight="true" outlineLevel="0" collapsed="false">
      <c r="A41" s="54"/>
      <c r="B41" s="54"/>
      <c r="C41" s="74" t="str">
        <f aca="false">IF(
D41="","  -  ZZZ",
"  -  "&amp;F41&amp;E41&amp;F41)</f>
        <v>  -  ZZZ</v>
      </c>
      <c r="D41" s="75"/>
      <c r="E41" s="64"/>
      <c r="F41" s="64"/>
      <c r="G41" s="64"/>
      <c r="H41" s="40"/>
      <c r="I41" s="40"/>
      <c r="J41" s="40"/>
      <c r="K41" s="65"/>
      <c r="L41" s="60" t="str">
        <f aca="false">IF(
I41&lt;&gt;"","Delete",
IF(
AND(G41="Self",H41&lt;&gt;""),"Defer",
IF(
AND(G41&lt;&gt;"",G41&lt;&gt;"Self",H41&lt;&gt;""),"Delegate",
IF(
D41="Project","Projects",
IF(
D41="Routine","Routines",
IF(
D41="Task","Someday",
IF(
D41="Reference","Reference",
""
)
)
)
)
)
)
)</f>
        <v/>
      </c>
      <c r="M41" s="60" t="str">
        <f aca="false">IF(
D41="Project","Project Details",
IF(
D41="Routine","Routine Details",
IF(
D41="Reference","Reference Details",
""
)
)
)</f>
        <v/>
      </c>
      <c r="N41" s="60" t="str">
        <f aca="false">IF(
D41="","",
IF(
AND(H41&lt;&gt;"",I41="",H41&lt;$A$2),"Overdue",
IF(
AND(H41&lt;&gt;"",I41="",(7*1+$A$2)&gt;H41),"Due 7d",
IF(
AND(H41&lt;&gt;"",I41="",(30*1+$A$2)&gt;H41),"Due 30d",
"None"
)
)
)
)</f>
        <v/>
      </c>
      <c r="O41" s="60" t="str">
        <f aca="false">IF(
D41="","",
IF(
I41&gt;($A$2-7*$B$2),"Yes",
IF(
J41&gt;($A$2-7*$B$2),"Yes", 
"No"
)
)
)</f>
        <v/>
      </c>
      <c r="P41" s="61" t="str">
        <f aca="false">IF(
D41="","",
IF(
AND(H41&lt;&gt;"",G41=""),"Error: no Owner for Task with Due Date",
"ok"
)
)</f>
        <v/>
      </c>
      <c r="Q41" s="64" t="s">
        <v>469</v>
      </c>
    </row>
    <row r="42" customFormat="false" ht="12.75" hidden="false" customHeight="true" outlineLevel="0" collapsed="false">
      <c r="A42" s="54"/>
      <c r="B42" s="54"/>
      <c r="C42" s="74" t="str">
        <f aca="false">IF(
D42="","  -  ZZZ",
"  -  "&amp;F42&amp;E42&amp;F42)</f>
        <v>  -  ZZZ</v>
      </c>
      <c r="D42" s="75"/>
      <c r="E42" s="64"/>
      <c r="F42" s="64"/>
      <c r="G42" s="64"/>
      <c r="H42" s="40"/>
      <c r="I42" s="40"/>
      <c r="J42" s="40"/>
      <c r="K42" s="65"/>
      <c r="L42" s="60" t="str">
        <f aca="false">IF(
I42&lt;&gt;"","Delete",
IF(
AND(G42="Self",H42&lt;&gt;""),"Defer",
IF(
AND(G42&lt;&gt;"",G42&lt;&gt;"Self",H42&lt;&gt;""),"Delegate",
IF(
D42="Project","Projects",
IF(
D42="Routine","Routines",
IF(
D42="Task","Someday",
IF(
D42="Reference","Reference",
""
)
)
)
)
)
)
)</f>
        <v/>
      </c>
      <c r="M42" s="60" t="str">
        <f aca="false">IF(
D42="Project","Project Details",
IF(
D42="Routine","Routine Details",
IF(
D42="Reference","Reference Details",
""
)
)
)</f>
        <v/>
      </c>
      <c r="N42" s="60" t="str">
        <f aca="false">IF(
D42="","",
IF(
AND(H42&lt;&gt;"",I42="",H42&lt;$A$2),"Overdue",
IF(
AND(H42&lt;&gt;"",I42="",(7*1+$A$2)&gt;H42),"Due 7d",
IF(
AND(H42&lt;&gt;"",I42="",(30*1+$A$2)&gt;H42),"Due 30d",
"None"
)
)
)
)</f>
        <v/>
      </c>
      <c r="O42" s="60" t="str">
        <f aca="false">IF(
D42="","",
IF(
I42&gt;($A$2-7*$B$2),"Yes",
IF(
J42&gt;($A$2-7*$B$2),"Yes", 
"No"
)
)
)</f>
        <v/>
      </c>
      <c r="P42" s="61" t="str">
        <f aca="false">IF(
D42="","",
IF(
AND(H42&lt;&gt;"",G42=""),"Error: no Owner for Task with Due Date",
"ok"
)
)</f>
        <v/>
      </c>
      <c r="Q42" s="64" t="s">
        <v>469</v>
      </c>
    </row>
    <row r="43" customFormat="false" ht="12.75" hidden="false" customHeight="true" outlineLevel="0" collapsed="false">
      <c r="A43" s="54"/>
      <c r="B43" s="54"/>
      <c r="C43" s="74" t="str">
        <f aca="false">IF(
D43="","  -  ZZZ",
"  -  "&amp;F43&amp;E43&amp;F43)</f>
        <v>  -  ZZZ</v>
      </c>
      <c r="D43" s="75"/>
      <c r="E43" s="64"/>
      <c r="F43" s="64"/>
      <c r="G43" s="64"/>
      <c r="H43" s="40"/>
      <c r="I43" s="40"/>
      <c r="J43" s="40"/>
      <c r="K43" s="65"/>
      <c r="L43" s="60" t="str">
        <f aca="false">IF(
I43&lt;&gt;"","Delete",
IF(
AND(G43="Self",H43&lt;&gt;""),"Defer",
IF(
AND(G43&lt;&gt;"",G43&lt;&gt;"Self",H43&lt;&gt;""),"Delegate",
IF(
D43="Project","Projects",
IF(
D43="Routine","Routines",
IF(
D43="Task","Someday",
IF(
D43="Reference","Reference",
""
)
)
)
)
)
)
)</f>
        <v/>
      </c>
      <c r="M43" s="60" t="str">
        <f aca="false">IF(
D43="Project","Project Details",
IF(
D43="Routine","Routine Details",
IF(
D43="Reference","Reference Details",
""
)
)
)</f>
        <v/>
      </c>
      <c r="N43" s="60" t="str">
        <f aca="false">IF(
D43="","",
IF(
AND(H43&lt;&gt;"",I43="",H43&lt;$A$2),"Overdue",
IF(
AND(H43&lt;&gt;"",I43="",(7*1+$A$2)&gt;H43),"Due 7d",
IF(
AND(H43&lt;&gt;"",I43="",(30*1+$A$2)&gt;H43),"Due 30d",
"None"
)
)
)
)</f>
        <v/>
      </c>
      <c r="O43" s="60" t="str">
        <f aca="false">IF(
D43="","",
IF(
I43&gt;($A$2-7*$B$2),"Yes",
IF(
J43&gt;($A$2-7*$B$2),"Yes", 
"No"
)
)
)</f>
        <v/>
      </c>
      <c r="P43" s="61" t="str">
        <f aca="false">IF(
D43="","",
IF(
AND(H43&lt;&gt;"",G43=""),"Error: no Owner for Task with Due Date",
"ok"
)
)</f>
        <v/>
      </c>
      <c r="Q43" s="64" t="s">
        <v>469</v>
      </c>
    </row>
    <row r="44" customFormat="false" ht="12.75" hidden="false" customHeight="true" outlineLevel="0" collapsed="false">
      <c r="A44" s="54"/>
      <c r="B44" s="54"/>
      <c r="C44" s="74" t="str">
        <f aca="false">IF(
D44="","  -  ZZZ",
"  -  "&amp;F44&amp;E44&amp;F44)</f>
        <v>  -  ZZZ</v>
      </c>
      <c r="D44" s="75"/>
      <c r="E44" s="64"/>
      <c r="F44" s="64"/>
      <c r="G44" s="64"/>
      <c r="H44" s="40"/>
      <c r="I44" s="40"/>
      <c r="J44" s="40"/>
      <c r="K44" s="65"/>
      <c r="L44" s="60" t="str">
        <f aca="false">IF(
I44&lt;&gt;"","Delete",
IF(
AND(G44="Self",H44&lt;&gt;""),"Defer",
IF(
AND(G44&lt;&gt;"",G44&lt;&gt;"Self",H44&lt;&gt;""),"Delegate",
IF(
D44="Project","Projects",
IF(
D44="Routine","Routines",
IF(
D44="Task","Someday",
IF(
D44="Reference","Reference",
""
)
)
)
)
)
)
)</f>
        <v/>
      </c>
      <c r="M44" s="60" t="str">
        <f aca="false">IF(
D44="Project","Project Details",
IF(
D44="Routine","Routine Details",
IF(
D44="Reference","Reference Details",
""
)
)
)</f>
        <v/>
      </c>
      <c r="N44" s="60" t="str">
        <f aca="false">IF(
D44="","",
IF(
AND(H44&lt;&gt;"",I44="",H44&lt;$A$2),"Overdue",
IF(
AND(H44&lt;&gt;"",I44="",(7*1+$A$2)&gt;H44),"Due 7d",
IF(
AND(H44&lt;&gt;"",I44="",(30*1+$A$2)&gt;H44),"Due 30d",
"None"
)
)
)
)</f>
        <v/>
      </c>
      <c r="O44" s="60" t="str">
        <f aca="false">IF(
D44="","",
IF(
I44&gt;($A$2-7*$B$2),"Yes",
IF(
J44&gt;($A$2-7*$B$2),"Yes", 
"No"
)
)
)</f>
        <v/>
      </c>
      <c r="P44" s="61" t="str">
        <f aca="false">IF(
D44="","",
IF(
AND(H44&lt;&gt;"",G44=""),"Error: no Owner for Task with Due Date",
"ok"
)
)</f>
        <v/>
      </c>
      <c r="Q44" s="64" t="s">
        <v>469</v>
      </c>
    </row>
    <row r="45" customFormat="false" ht="12.75" hidden="false" customHeight="true" outlineLevel="0" collapsed="false">
      <c r="A45" s="54"/>
      <c r="B45" s="54"/>
      <c r="C45" s="74" t="str">
        <f aca="false">IF(
D45="","  -  ZZZ",
"  -  "&amp;F45&amp;E45&amp;F45)</f>
        <v>  -  ZZZ</v>
      </c>
      <c r="D45" s="75"/>
      <c r="E45" s="64"/>
      <c r="F45" s="64"/>
      <c r="G45" s="64"/>
      <c r="H45" s="40"/>
      <c r="I45" s="40"/>
      <c r="J45" s="40"/>
      <c r="K45" s="65"/>
      <c r="L45" s="60" t="str">
        <f aca="false">IF(
I45&lt;&gt;"","Delete",
IF(
AND(G45="Self",H45&lt;&gt;""),"Defer",
IF(
AND(G45&lt;&gt;"",G45&lt;&gt;"Self",H45&lt;&gt;""),"Delegate",
IF(
D45="Project","Projects",
IF(
D45="Routine","Routines",
IF(
D45="Task","Someday",
IF(
D45="Reference","Reference",
""
)
)
)
)
)
)
)</f>
        <v/>
      </c>
      <c r="M45" s="60" t="str">
        <f aca="false">IF(
D45="Project","Project Details",
IF(
D45="Routine","Routine Details",
IF(
D45="Reference","Reference Details",
""
)
)
)</f>
        <v/>
      </c>
      <c r="N45" s="60" t="str">
        <f aca="false">IF(
D45="","",
IF(
AND(H45&lt;&gt;"",I45="",H45&lt;$A$2),"Overdue",
IF(
AND(H45&lt;&gt;"",I45="",(7*1+$A$2)&gt;H45),"Due 7d",
IF(
AND(H45&lt;&gt;"",I45="",(30*1+$A$2)&gt;H45),"Due 30d",
"None"
)
)
)
)</f>
        <v/>
      </c>
      <c r="O45" s="60" t="str">
        <f aca="false">IF(
D45="","",
IF(
I45&gt;($A$2-7*$B$2),"Yes",
IF(
J45&gt;($A$2-7*$B$2),"Yes", 
"No"
)
)
)</f>
        <v/>
      </c>
      <c r="P45" s="61" t="str">
        <f aca="false">IF(
D45="","",
IF(
AND(H45&lt;&gt;"",G45=""),"Error: no Owner for Task with Due Date",
"ok"
)
)</f>
        <v/>
      </c>
      <c r="Q45" s="64" t="s">
        <v>469</v>
      </c>
    </row>
    <row r="46" customFormat="false" ht="12.75" hidden="false" customHeight="true" outlineLevel="0" collapsed="false">
      <c r="A46" s="54"/>
      <c r="B46" s="54"/>
      <c r="C46" s="74" t="str">
        <f aca="false">IF(
D46="","  -  ZZZ",
"  -  "&amp;F46&amp;E46&amp;F46)</f>
        <v>  -  ZZZ</v>
      </c>
      <c r="D46" s="75"/>
      <c r="E46" s="64"/>
      <c r="F46" s="64"/>
      <c r="G46" s="64"/>
      <c r="H46" s="40"/>
      <c r="I46" s="40"/>
      <c r="J46" s="40"/>
      <c r="K46" s="64"/>
      <c r="L46" s="60" t="str">
        <f aca="false">IF(
I46&lt;&gt;"","Delete",
IF(
AND(G46="Self",H46&lt;&gt;""),"Defer",
IF(
AND(G46&lt;&gt;"",G46&lt;&gt;"Self",H46&lt;&gt;""),"Delegate",
IF(
D46="Project","Projects",
IF(
D46="Routine","Routines",
IF(
D46="Task","Someday",
IF(
D46="Reference","Reference",
""
)
)
)
)
)
)
)</f>
        <v/>
      </c>
      <c r="M46" s="60" t="str">
        <f aca="false">IF(
D46="Project","Project Details",
IF(
D46="Routine","Routine Details",
IF(
D46="Reference","Reference Details",
""
)
)
)</f>
        <v/>
      </c>
      <c r="N46" s="60" t="str">
        <f aca="false">IF(
D46="","",
IF(
AND(H46&lt;&gt;"",I46="",H46&lt;$A$2),"Overdue",
IF(
AND(H46&lt;&gt;"",I46="",(7*1+$A$2)&gt;H46),"Due 7d",
IF(
AND(H46&lt;&gt;"",I46="",(30*1+$A$2)&gt;H46),"Due 30d",
"None"
)
)
)
)</f>
        <v/>
      </c>
      <c r="O46" s="60" t="str">
        <f aca="false">IF(
D46="","",
IF(
I46&gt;($A$2-7*$B$2),"Yes",
IF(
J46&gt;($A$2-7*$B$2),"Yes", 
"No"
)
)
)</f>
        <v/>
      </c>
      <c r="P46" s="61" t="str">
        <f aca="false">IF(
D46="","",
IF(
AND(H46&lt;&gt;"",G46=""),"Error: no Owner for Task with Due Date",
"ok"
)
)</f>
        <v/>
      </c>
      <c r="Q46" s="64" t="s">
        <v>469</v>
      </c>
    </row>
    <row r="47" customFormat="false" ht="12.75" hidden="false" customHeight="true" outlineLevel="0" collapsed="false">
      <c r="A47" s="54"/>
      <c r="B47" s="54"/>
      <c r="C47" s="74" t="str">
        <f aca="false">IF(
D47="","  -  ZZZ",
"  -  "&amp;F47&amp;E47&amp;F47)</f>
        <v>  -  ZZZ</v>
      </c>
      <c r="D47" s="75"/>
      <c r="E47" s="64"/>
      <c r="F47" s="64"/>
      <c r="G47" s="64"/>
      <c r="H47" s="40"/>
      <c r="I47" s="40"/>
      <c r="J47" s="40"/>
      <c r="K47" s="65"/>
      <c r="L47" s="60" t="str">
        <f aca="false">IF(
I47&lt;&gt;"","Delete",
IF(
AND(G47="Self",H47&lt;&gt;""),"Defer",
IF(
AND(G47&lt;&gt;"",G47&lt;&gt;"Self",H47&lt;&gt;""),"Delegate",
IF(
D47="Project","Projects",
IF(
D47="Routine","Routines",
IF(
D47="Task","Someday",
IF(
D47="Reference","Reference",
""
)
)
)
)
)
)
)</f>
        <v/>
      </c>
      <c r="M47" s="60" t="str">
        <f aca="false">IF(
D47="Project","Project Details",
IF(
D47="Routine","Routine Details",
IF(
D47="Reference","Reference Details",
""
)
)
)</f>
        <v/>
      </c>
      <c r="N47" s="60" t="str">
        <f aca="false">IF(
D47="","",
IF(
AND(H47&lt;&gt;"",I47="",H47&lt;$A$2),"Overdue",
IF(
AND(H47&lt;&gt;"",I47="",(7*1+$A$2)&gt;H47),"Due 7d",
IF(
AND(H47&lt;&gt;"",I47="",(30*1+$A$2)&gt;H47),"Due 30d",
"None"
)
)
)
)</f>
        <v/>
      </c>
      <c r="O47" s="60" t="str">
        <f aca="false">IF(
D47="","",
IF(
I47&gt;($A$2-7*$B$2),"Yes",
IF(
J47&gt;($A$2-7*$B$2),"Yes", 
"No"
)
)
)</f>
        <v/>
      </c>
      <c r="P47" s="61" t="str">
        <f aca="false">IF(
D47="","",
IF(
AND(H47&lt;&gt;"",G47=""),"Error: no Owner for Task with Due Date",
"ok"
)
)</f>
        <v/>
      </c>
      <c r="Q47" s="64" t="s">
        <v>469</v>
      </c>
    </row>
    <row r="48" customFormat="false" ht="12.75" hidden="false" customHeight="true" outlineLevel="0" collapsed="false">
      <c r="A48" s="54"/>
      <c r="B48" s="54"/>
      <c r="C48" s="74" t="str">
        <f aca="false">IF(
D48="","  -  ZZZ",
"  -  "&amp;F48&amp;E48&amp;F48)</f>
        <v>  -  ZZZ</v>
      </c>
      <c r="D48" s="75"/>
      <c r="E48" s="64"/>
      <c r="F48" s="64"/>
      <c r="G48" s="64"/>
      <c r="H48" s="40"/>
      <c r="I48" s="40"/>
      <c r="J48" s="40"/>
      <c r="K48" s="65"/>
      <c r="L48" s="60" t="str">
        <f aca="false">IF(
I48&lt;&gt;"","Delete",
IF(
AND(G48="Self",H48&lt;&gt;""),"Defer",
IF(
AND(G48&lt;&gt;"",G48&lt;&gt;"Self",H48&lt;&gt;""),"Delegate",
IF(
D48="Project","Projects",
IF(
D48="Routine","Routines",
IF(
D48="Task","Someday",
IF(
D48="Reference","Reference",
""
)
)
)
)
)
)
)</f>
        <v/>
      </c>
      <c r="M48" s="60" t="str">
        <f aca="false">IF(
D48="Project","Project Details",
IF(
D48="Routine","Routine Details",
IF(
D48="Reference","Reference Details",
""
)
)
)</f>
        <v/>
      </c>
      <c r="N48" s="60" t="str">
        <f aca="false">IF(
D48="","",
IF(
AND(H48&lt;&gt;"",I48="",H48&lt;$A$2),"Overdue",
IF(
AND(H48&lt;&gt;"",I48="",(7*1+$A$2)&gt;H48),"Due 7d",
IF(
AND(H48&lt;&gt;"",I48="",(30*1+$A$2)&gt;H48),"Due 30d",
"None"
)
)
)
)</f>
        <v/>
      </c>
      <c r="O48" s="60" t="str">
        <f aca="false">IF(
D48="","",
IF(
I48&gt;($A$2-7*$B$2),"Yes",
IF(
J48&gt;($A$2-7*$B$2),"Yes", 
"No"
)
)
)</f>
        <v/>
      </c>
      <c r="P48" s="61" t="str">
        <f aca="false">IF(
D48="","",
IF(
AND(H48&lt;&gt;"",G48=""),"Error: no Owner for Task with Due Date",
"ok"
)
)</f>
        <v/>
      </c>
      <c r="Q48" s="64" t="s">
        <v>469</v>
      </c>
    </row>
    <row r="49" customFormat="false" ht="12.75" hidden="false" customHeight="true" outlineLevel="0" collapsed="false">
      <c r="A49" s="54"/>
      <c r="B49" s="54"/>
      <c r="C49" s="74" t="str">
        <f aca="false">IF(
D49="","  -  ZZZ",
"  -  "&amp;F49&amp;E49&amp;F49)</f>
        <v>  -  ZZZ</v>
      </c>
      <c r="D49" s="75"/>
      <c r="E49" s="64"/>
      <c r="F49" s="64"/>
      <c r="G49" s="64"/>
      <c r="H49" s="40"/>
      <c r="I49" s="40"/>
      <c r="J49" s="40"/>
      <c r="K49" s="64"/>
      <c r="L49" s="60" t="str">
        <f aca="false">IF(
I49&lt;&gt;"","Delete",
IF(
AND(G49="Self",H49&lt;&gt;""),"Defer",
IF(
AND(G49&lt;&gt;"",G49&lt;&gt;"Self",H49&lt;&gt;""),"Delegate",
IF(
D49="Project","Projects",
IF(
D49="Routine","Routines",
IF(
D49="Task","Someday",
IF(
D49="Reference","Reference",
""
)
)
)
)
)
)
)</f>
        <v/>
      </c>
      <c r="M49" s="60" t="str">
        <f aca="false">IF(
D49="Project","Project Details",
IF(
D49="Routine","Routine Details",
IF(
D49="Reference","Reference Details",
""
)
)
)</f>
        <v/>
      </c>
      <c r="N49" s="60" t="str">
        <f aca="false">IF(
D49="","",
IF(
AND(H49&lt;&gt;"",I49="",H49&lt;$A$2),"Overdue",
IF(
AND(H49&lt;&gt;"",I49="",(7*1+$A$2)&gt;H49),"Due 7d",
IF(
AND(H49&lt;&gt;"",I49="",(30*1+$A$2)&gt;H49),"Due 30d",
"None"
)
)
)
)</f>
        <v/>
      </c>
      <c r="O49" s="60" t="str">
        <f aca="false">IF(
D49="","",
IF(
I49&gt;($A$2-7*$B$2),"Yes",
IF(
J49&gt;($A$2-7*$B$2),"Yes", 
"No"
)
)
)</f>
        <v/>
      </c>
      <c r="P49" s="61" t="str">
        <f aca="false">IF(
D49="","",
IF(
AND(H49&lt;&gt;"",G49=""),"Error: no Owner for Task with Due Date",
"ok"
)
)</f>
        <v/>
      </c>
      <c r="Q49" s="64" t="s">
        <v>469</v>
      </c>
    </row>
    <row r="50" customFormat="false" ht="12.75" hidden="false" customHeight="true" outlineLevel="0" collapsed="false">
      <c r="A50" s="54"/>
      <c r="B50" s="54"/>
      <c r="C50" s="74" t="str">
        <f aca="false">IF(
D50="","  -  ZZZ",
"  -  "&amp;F50&amp;E50&amp;F50)</f>
        <v>  -  ZZZ</v>
      </c>
      <c r="D50" s="75"/>
      <c r="E50" s="64"/>
      <c r="F50" s="64"/>
      <c r="G50" s="64"/>
      <c r="H50" s="40"/>
      <c r="I50" s="40"/>
      <c r="J50" s="40"/>
      <c r="K50" s="65"/>
      <c r="L50" s="60" t="str">
        <f aca="false">IF(
I50&lt;&gt;"","Delete",
IF(
AND(G50="Self",H50&lt;&gt;""),"Defer",
IF(
AND(G50&lt;&gt;"",G50&lt;&gt;"Self",H50&lt;&gt;""),"Delegate",
IF(
D50="Project","Projects",
IF(
D50="Routine","Routines",
IF(
D50="Task","Someday",
IF(
D50="Reference","Reference",
""
)
)
)
)
)
)
)</f>
        <v/>
      </c>
      <c r="M50" s="60" t="str">
        <f aca="false">IF(
D50="Project","Project Details",
IF(
D50="Routine","Routine Details",
IF(
D50="Reference","Reference Details",
""
)
)
)</f>
        <v/>
      </c>
      <c r="N50" s="60" t="str">
        <f aca="false">IF(
D50="","",
IF(
AND(H50&lt;&gt;"",I50="",H50&lt;$A$2),"Overdue",
IF(
AND(H50&lt;&gt;"",I50="",(7*1+$A$2)&gt;H50),"Due 7d",
IF(
AND(H50&lt;&gt;"",I50="",(30*1+$A$2)&gt;H50),"Due 30d",
"None"
)
)
)
)</f>
        <v/>
      </c>
      <c r="O50" s="60" t="str">
        <f aca="false">IF(
D50="","",
IF(
I50&gt;($A$2-7*$B$2),"Yes",
IF(
J50&gt;($A$2-7*$B$2),"Yes", 
"No"
)
)
)</f>
        <v/>
      </c>
      <c r="P50" s="61" t="str">
        <f aca="false">IF(
D50="","",
IF(
AND(H50&lt;&gt;"",G50=""),"Error: no Owner for Task with Due Date",
"ok"
)
)</f>
        <v/>
      </c>
      <c r="Q50" s="64" t="s">
        <v>469</v>
      </c>
    </row>
    <row r="51" customFormat="false" ht="12.75" hidden="false" customHeight="true" outlineLevel="0" collapsed="false">
      <c r="A51" s="54"/>
      <c r="B51" s="54"/>
      <c r="C51" s="74" t="str">
        <f aca="false">IF(
D51="","  -  ZZZ",
"  -  "&amp;F51&amp;E51&amp;F51)</f>
        <v>  -  ZZZ</v>
      </c>
      <c r="D51" s="75"/>
      <c r="E51" s="64"/>
      <c r="F51" s="64"/>
      <c r="G51" s="64"/>
      <c r="H51" s="40"/>
      <c r="I51" s="40"/>
      <c r="J51" s="40"/>
      <c r="K51" s="65"/>
      <c r="L51" s="60" t="str">
        <f aca="false">IF(
I51&lt;&gt;"","Delete",
IF(
AND(G51="Self",H51&lt;&gt;""),"Defer",
IF(
AND(G51&lt;&gt;"",G51&lt;&gt;"Self",H51&lt;&gt;""),"Delegate",
IF(
D51="Project","Projects",
IF(
D51="Routine","Routines",
IF(
D51="Task","Someday",
IF(
D51="Reference","Reference",
""
)
)
)
)
)
)
)</f>
        <v/>
      </c>
      <c r="M51" s="60" t="str">
        <f aca="false">IF(
D51="Project","Project Details",
IF(
D51="Routine","Routine Details",
IF(
D51="Reference","Reference Details",
""
)
)
)</f>
        <v/>
      </c>
      <c r="N51" s="60" t="str">
        <f aca="false">IF(
D51="","",
IF(
AND(H51&lt;&gt;"",I51="",H51&lt;$A$2),"Overdue",
IF(
AND(H51&lt;&gt;"",I51="",(7*1+$A$2)&gt;H51),"Due 7d",
IF(
AND(H51&lt;&gt;"",I51="",(30*1+$A$2)&gt;H51),"Due 30d",
"None"
)
)
)
)</f>
        <v/>
      </c>
      <c r="O51" s="60" t="str">
        <f aca="false">IF(
D51="","",
IF(
I51&gt;($A$2-7*$B$2),"Yes",
IF(
J51&gt;($A$2-7*$B$2),"Yes", 
"No"
)
)
)</f>
        <v/>
      </c>
      <c r="P51" s="61" t="str">
        <f aca="false">IF(
D51="","",
IF(
AND(H51&lt;&gt;"",G51=""),"Error: no Owner for Task with Due Date",
"ok"
)
)</f>
        <v/>
      </c>
      <c r="Q51" s="64" t="s">
        <v>469</v>
      </c>
    </row>
    <row r="52" customFormat="false" ht="12.75" hidden="false" customHeight="true" outlineLevel="0" collapsed="false">
      <c r="C52" s="74" t="str">
        <f aca="false">IF(
D52="","  -  ZZZ",
"  -  "&amp;F52&amp;E52&amp;F52)</f>
        <v>  -  ZZZ</v>
      </c>
      <c r="D52" s="75"/>
      <c r="E52" s="64"/>
      <c r="F52" s="64"/>
      <c r="G52" s="65"/>
      <c r="H52" s="76"/>
      <c r="I52" s="76"/>
      <c r="J52" s="76"/>
      <c r="K52" s="65"/>
      <c r="L52" s="60" t="str">
        <f aca="false">IF(
I52&lt;&gt;"","Delete",
IF(
AND(G52="Self",H52&lt;&gt;""),"Defer",
IF(
AND(G52&lt;&gt;"",G52&lt;&gt;"Self",H52&lt;&gt;""),"Delegate",
IF(
D52="Project","Projects",
IF(
D52="Routine","Routines",
IF(
D52="Task","Someday",
IF(
D52="Reference","Reference",
""
)
)
)
)
)
)
)</f>
        <v/>
      </c>
      <c r="M52" s="60" t="str">
        <f aca="false">IF(
D52="Project","Project Details",
IF(
D52="Routine","Routine Details",
IF(
D52="Reference","Reference Details",
""
)
)
)</f>
        <v/>
      </c>
      <c r="N52" s="60" t="str">
        <f aca="false">IF(
D52="","",
IF(
AND(H52&lt;&gt;"",I52="",H52&lt;$A$2),"Overdue",
IF(
AND(H52&lt;&gt;"",I52="",(7*1+$A$2)&gt;H52),"Due 7d",
IF(
AND(H52&lt;&gt;"",I52="",(30*1+$A$2)&gt;H52),"Due 30d",
"None"
)
)
)
)</f>
        <v/>
      </c>
      <c r="O52" s="60" t="str">
        <f aca="false">IF(
D52="","",
IF(
I52&gt;($A$2-7*$B$2),"Yes",
IF(
J52&gt;($A$2-7*$B$2),"Yes", 
"No"
)
)
)</f>
        <v/>
      </c>
      <c r="P52" s="61" t="str">
        <f aca="false">IF(
D52="","",
IF(
AND(H52&lt;&gt;"",G52=""),"Error: no Owner for Task with Due Date",
"ok"
)
)</f>
        <v/>
      </c>
      <c r="Q52" s="64" t="s">
        <v>469</v>
      </c>
    </row>
    <row r="53" customFormat="false" ht="12.75" hidden="false" customHeight="true" outlineLevel="0" collapsed="false">
      <c r="A53" s="54"/>
      <c r="B53" s="54"/>
      <c r="C53" s="74" t="str">
        <f aca="false">IF(
D53="","  -  ZZZ",
"  -  "&amp;F53&amp;E53&amp;F53)</f>
        <v>  -  ZZZ</v>
      </c>
      <c r="D53" s="75"/>
      <c r="E53" s="64"/>
      <c r="F53" s="64"/>
      <c r="G53" s="64"/>
      <c r="H53" s="40"/>
      <c r="I53" s="40"/>
      <c r="J53" s="40"/>
      <c r="K53" s="65"/>
      <c r="L53" s="60" t="str">
        <f aca="false">IF(
I53&lt;&gt;"","Delete",
IF(
AND(G53="Self",H53&lt;&gt;""),"Defer",
IF(
AND(G53&lt;&gt;"",G53&lt;&gt;"Self",H53&lt;&gt;""),"Delegate",
IF(
D53="Project","Projects",
IF(
D53="Routine","Routines",
IF(
D53="Task","Someday",
IF(
D53="Reference","Reference",
""
)
)
)
)
)
)
)</f>
        <v/>
      </c>
      <c r="M53" s="60" t="str">
        <f aca="false">IF(
D53="Project","Project Details",
IF(
D53="Routine","Routine Details",
IF(
D53="Reference","Reference Details",
""
)
)
)</f>
        <v/>
      </c>
      <c r="N53" s="60" t="str">
        <f aca="false">IF(
D53="","",
IF(
AND(H53&lt;&gt;"",I53="",H53&lt;$A$2),"Overdue",
IF(
AND(H53&lt;&gt;"",I53="",(7*1+$A$2)&gt;H53),"Due 7d",
IF(
AND(H53&lt;&gt;"",I53="",(30*1+$A$2)&gt;H53),"Due 30d",
"None"
)
)
)
)</f>
        <v/>
      </c>
      <c r="O53" s="60" t="str">
        <f aca="false">IF(
D53="","",
IF(
I53&gt;($A$2-7*$B$2),"Yes",
IF(
J53&gt;($A$2-7*$B$2),"Yes", 
"No"
)
)
)</f>
        <v/>
      </c>
      <c r="P53" s="61" t="str">
        <f aca="false">IF(
D53="","",
IF(
AND(H53&lt;&gt;"",G53=""),"Error: no Owner for Task with Due Date",
"ok"
)
)</f>
        <v/>
      </c>
      <c r="Q53" s="64" t="s">
        <v>469</v>
      </c>
    </row>
    <row r="54" customFormat="false" ht="12.75" hidden="false" customHeight="true" outlineLevel="0" collapsed="false">
      <c r="A54" s="54"/>
      <c r="B54" s="54"/>
      <c r="C54" s="74" t="str">
        <f aca="false">IF(
D54="","  -  ZZZ",
"  -  "&amp;F54&amp;E54&amp;F54)</f>
        <v>  -  ZZZ</v>
      </c>
      <c r="D54" s="75"/>
      <c r="E54" s="64"/>
      <c r="F54" s="64"/>
      <c r="G54" s="64"/>
      <c r="H54" s="40"/>
      <c r="I54" s="40"/>
      <c r="J54" s="40"/>
      <c r="K54" s="65"/>
      <c r="L54" s="60" t="str">
        <f aca="false">IF(
I54&lt;&gt;"","Delete",
IF(
AND(G54="Self",H54&lt;&gt;""),"Defer",
IF(
AND(G54&lt;&gt;"",G54&lt;&gt;"Self",H54&lt;&gt;""),"Delegate",
IF(
D54="Project","Projects",
IF(
D54="Routine","Routines",
IF(
D54="Task","Someday",
IF(
D54="Reference","Reference",
""
)
)
)
)
)
)
)</f>
        <v/>
      </c>
      <c r="M54" s="60" t="str">
        <f aca="false">IF(
D54="Project","Project Details",
IF(
D54="Routine","Routine Details",
IF(
D54="Reference","Reference Details",
""
)
)
)</f>
        <v/>
      </c>
      <c r="N54" s="60" t="str">
        <f aca="false">IF(
D54="","",
IF(
AND(H54&lt;&gt;"",I54="",H54&lt;$A$2),"Overdue",
IF(
AND(H54&lt;&gt;"",I54="",(7*1+$A$2)&gt;H54),"Due 7d",
IF(
AND(H54&lt;&gt;"",I54="",(30*1+$A$2)&gt;H54),"Due 30d",
"None"
)
)
)
)</f>
        <v/>
      </c>
      <c r="O54" s="60" t="str">
        <f aca="false">IF(
D54="","",
IF(
I54&gt;($A$2-7*$B$2),"Yes",
IF(
J54&gt;($A$2-7*$B$2),"Yes", 
"No"
)
)
)</f>
        <v/>
      </c>
      <c r="P54" s="61" t="str">
        <f aca="false">IF(
D54="","",
IF(
AND(H54&lt;&gt;"",G54=""),"Error: no Owner for Task with Due Date",
"ok"
)
)</f>
        <v/>
      </c>
      <c r="Q54" s="64" t="s">
        <v>469</v>
      </c>
    </row>
    <row r="55" customFormat="false" ht="12.75" hidden="false" customHeight="true" outlineLevel="0" collapsed="false">
      <c r="A55" s="54"/>
      <c r="B55" s="54"/>
      <c r="C55" s="74" t="str">
        <f aca="false">IF(
D55="","  -  ZZZ",
"  -  "&amp;F55&amp;E55&amp;F55)</f>
        <v>  -  ZZZ</v>
      </c>
      <c r="D55" s="75"/>
      <c r="E55" s="64"/>
      <c r="F55" s="64"/>
      <c r="G55" s="64"/>
      <c r="H55" s="40"/>
      <c r="I55" s="40"/>
      <c r="J55" s="40"/>
      <c r="K55" s="65"/>
      <c r="L55" s="60" t="str">
        <f aca="false">IF(
I55&lt;&gt;"","Delete",
IF(
AND(G55="Self",H55&lt;&gt;""),"Defer",
IF(
AND(G55&lt;&gt;"",G55&lt;&gt;"Self",H55&lt;&gt;""),"Delegate",
IF(
D55="Project","Projects",
IF(
D55="Routine","Routines",
IF(
D55="Task","Someday",
IF(
D55="Reference","Reference",
""
)
)
)
)
)
)
)</f>
        <v/>
      </c>
      <c r="M55" s="60" t="str">
        <f aca="false">IF(
D55="Project","Project Details",
IF(
D55="Routine","Routine Details",
IF(
D55="Reference","Reference Details",
""
)
)
)</f>
        <v/>
      </c>
      <c r="N55" s="60" t="str">
        <f aca="false">IF(
D55="","",
IF(
AND(H55&lt;&gt;"",I55="",H55&lt;$A$2),"Overdue",
IF(
AND(H55&lt;&gt;"",I55="",(7*1+$A$2)&gt;H55),"Due 7d",
IF(
AND(H55&lt;&gt;"",I55="",(30*1+$A$2)&gt;H55),"Due 30d",
"None"
)
)
)
)</f>
        <v/>
      </c>
      <c r="O55" s="60" t="str">
        <f aca="false">IF(
D55="","",
IF(
I55&gt;($A$2-7*$B$2),"Yes",
IF(
J55&gt;($A$2-7*$B$2),"Yes", 
"No"
)
)
)</f>
        <v/>
      </c>
      <c r="P55" s="61" t="str">
        <f aca="false">IF(
D55="","",
IF(
AND(H55&lt;&gt;"",G55=""),"Error: no Owner for Task with Due Date",
"ok"
)
)</f>
        <v/>
      </c>
      <c r="Q55" s="64" t="s">
        <v>469</v>
      </c>
    </row>
    <row r="56" customFormat="false" ht="12.75" hidden="false" customHeight="true" outlineLevel="0" collapsed="false">
      <c r="A56" s="54"/>
      <c r="B56" s="54"/>
      <c r="C56" s="74" t="str">
        <f aca="false">IF(
D56="","  -  ZZZ",
"  -  "&amp;F56&amp;E56&amp;F56)</f>
        <v>  -  ZZZ</v>
      </c>
      <c r="D56" s="75"/>
      <c r="E56" s="64"/>
      <c r="F56" s="64"/>
      <c r="G56" s="64"/>
      <c r="H56" s="40"/>
      <c r="I56" s="40"/>
      <c r="J56" s="40"/>
      <c r="K56" s="65"/>
      <c r="L56" s="60" t="str">
        <f aca="false">IF(
I56&lt;&gt;"","Delete",
IF(
AND(G56="Self",H56&lt;&gt;""),"Defer",
IF(
AND(G56&lt;&gt;"",G56&lt;&gt;"Self",H56&lt;&gt;""),"Delegate",
IF(
D56="Project","Projects",
IF(
D56="Routine","Routines",
IF(
D56="Task","Someday",
IF(
D56="Reference","Reference",
""
)
)
)
)
)
)
)</f>
        <v/>
      </c>
      <c r="M56" s="60" t="str">
        <f aca="false">IF(
D56="Project","Project Details",
IF(
D56="Routine","Routine Details",
IF(
D56="Reference","Reference Details",
""
)
)
)</f>
        <v/>
      </c>
      <c r="N56" s="60" t="str">
        <f aca="false">IF(
D56="","",
IF(
AND(H56&lt;&gt;"",I56="",H56&lt;$A$2),"Overdue",
IF(
AND(H56&lt;&gt;"",I56="",(7*1+$A$2)&gt;H56),"Due 7d",
IF(
AND(H56&lt;&gt;"",I56="",(30*1+$A$2)&gt;H56),"Due 30d",
"None"
)
)
)
)</f>
        <v/>
      </c>
      <c r="O56" s="60" t="str">
        <f aca="false">IF(
D56="","",
IF(
I56&gt;($A$2-7*$B$2),"Yes",
IF(
J56&gt;($A$2-7*$B$2),"Yes", 
"No"
)
)
)</f>
        <v/>
      </c>
      <c r="P56" s="61" t="str">
        <f aca="false">IF(
D56="","",
IF(
AND(H56&lt;&gt;"",G56=""),"Error: no Owner for Task with Due Date",
"ok"
)
)</f>
        <v/>
      </c>
      <c r="Q56" s="64" t="s">
        <v>469</v>
      </c>
    </row>
    <row r="57" customFormat="false" ht="12.75" hidden="false" customHeight="true" outlineLevel="0" collapsed="false">
      <c r="A57" s="54"/>
      <c r="B57" s="54"/>
      <c r="C57" s="74" t="str">
        <f aca="false">IF(
D57="","  -  ZZZ",
"  -  "&amp;F57&amp;E57&amp;F57)</f>
        <v>  -  ZZZ</v>
      </c>
      <c r="D57" s="75"/>
      <c r="E57" s="64"/>
      <c r="F57" s="64"/>
      <c r="G57" s="64"/>
      <c r="H57" s="40"/>
      <c r="I57" s="40"/>
      <c r="J57" s="40"/>
      <c r="K57" s="65"/>
      <c r="L57" s="60" t="str">
        <f aca="false">IF(
I57&lt;&gt;"","Delete",
IF(
AND(G57="Self",H57&lt;&gt;""),"Defer",
IF(
AND(G57&lt;&gt;"",G57&lt;&gt;"Self",H57&lt;&gt;""),"Delegate",
IF(
D57="Project","Projects",
IF(
D57="Routine","Routines",
IF(
D57="Task","Someday",
IF(
D57="Reference","Reference",
""
)
)
)
)
)
)
)</f>
        <v/>
      </c>
      <c r="M57" s="60" t="str">
        <f aca="false">IF(
D57="Project","Project Details",
IF(
D57="Routine","Routine Details",
IF(
D57="Reference","Reference Details",
""
)
)
)</f>
        <v/>
      </c>
      <c r="N57" s="60" t="str">
        <f aca="false">IF(
D57="","",
IF(
AND(H57&lt;&gt;"",I57="",H57&lt;$A$2),"Overdue",
IF(
AND(H57&lt;&gt;"",I57="",(7*1+$A$2)&gt;H57),"Due 7d",
IF(
AND(H57&lt;&gt;"",I57="",(30*1+$A$2)&gt;H57),"Due 30d",
"None"
)
)
)
)</f>
        <v/>
      </c>
      <c r="O57" s="60" t="str">
        <f aca="false">IF(
D57="","",
IF(
I57&gt;($A$2-7*$B$2),"Yes",
IF(
J57&gt;($A$2-7*$B$2),"Yes", 
"No"
)
)
)</f>
        <v/>
      </c>
      <c r="P57" s="61" t="str">
        <f aca="false">IF(
D57="","",
IF(
AND(H57&lt;&gt;"",G57=""),"Error: no Owner for Task with Due Date",
"ok"
)
)</f>
        <v/>
      </c>
      <c r="Q57" s="64" t="s">
        <v>469</v>
      </c>
    </row>
    <row r="58" customFormat="false" ht="12.75" hidden="false" customHeight="true" outlineLevel="0" collapsed="false">
      <c r="A58" s="54"/>
      <c r="B58" s="54"/>
      <c r="C58" s="74" t="str">
        <f aca="false">IF(
D58="","  -  ZZZ",
"  -  "&amp;F58&amp;E58&amp;F58)</f>
        <v>  -  ZZZ</v>
      </c>
      <c r="D58" s="75"/>
      <c r="E58" s="64"/>
      <c r="F58" s="64"/>
      <c r="G58" s="64"/>
      <c r="H58" s="40"/>
      <c r="I58" s="40"/>
      <c r="J58" s="40"/>
      <c r="K58" s="65"/>
      <c r="L58" s="60" t="str">
        <f aca="false">IF(
I58&lt;&gt;"","Delete",
IF(
AND(G58="Self",H58&lt;&gt;""),"Defer",
IF(
AND(G58&lt;&gt;"",G58&lt;&gt;"Self",H58&lt;&gt;""),"Delegate",
IF(
D58="Project","Projects",
IF(
D58="Routine","Routines",
IF(
D58="Task","Someday",
IF(
D58="Reference","Reference",
""
)
)
)
)
)
)
)</f>
        <v/>
      </c>
      <c r="M58" s="60" t="str">
        <f aca="false">IF(
D58="Project","Project Details",
IF(
D58="Routine","Routine Details",
IF(
D58="Reference","Reference Details",
""
)
)
)</f>
        <v/>
      </c>
      <c r="N58" s="60" t="str">
        <f aca="false">IF(
D58="","",
IF(
AND(H58&lt;&gt;"",I58="",H58&lt;$A$2),"Overdue",
IF(
AND(H58&lt;&gt;"",I58="",(7*1+$A$2)&gt;H58),"Due 7d",
IF(
AND(H58&lt;&gt;"",I58="",(30*1+$A$2)&gt;H58),"Due 30d",
"None"
)
)
)
)</f>
        <v/>
      </c>
      <c r="O58" s="60" t="str">
        <f aca="false">IF(
D58="","",
IF(
I58&gt;($A$2-7*$B$2),"Yes",
IF(
J58&gt;($A$2-7*$B$2),"Yes", 
"No"
)
)
)</f>
        <v/>
      </c>
      <c r="P58" s="61" t="str">
        <f aca="false">IF(
D58="","",
IF(
AND(H58&lt;&gt;"",G58=""),"Error: no Owner for Task with Due Date",
"ok"
)
)</f>
        <v/>
      </c>
      <c r="Q58" s="64" t="s">
        <v>469</v>
      </c>
    </row>
    <row r="59" customFormat="false" ht="12.75" hidden="false" customHeight="true" outlineLevel="0" collapsed="false">
      <c r="A59" s="54"/>
      <c r="B59" s="54"/>
      <c r="C59" s="74" t="str">
        <f aca="false">IF(
D59="","  -  ZZZ",
"  -  "&amp;F59&amp;E59&amp;F59)</f>
        <v>  -  ZZZ</v>
      </c>
      <c r="D59" s="75"/>
      <c r="E59" s="64"/>
      <c r="F59" s="64"/>
      <c r="G59" s="65"/>
      <c r="H59" s="76"/>
      <c r="I59" s="76"/>
      <c r="J59" s="76"/>
      <c r="K59" s="64"/>
      <c r="L59" s="60" t="str">
        <f aca="false">IF(
I59&lt;&gt;"","Delete",
IF(
AND(G59="Self",H59&lt;&gt;""),"Defer",
IF(
AND(G59&lt;&gt;"",G59&lt;&gt;"Self",H59&lt;&gt;""),"Delegate",
IF(
D59="Project","Projects",
IF(
D59="Routine","Routines",
IF(
D59="Task","Someday",
IF(
D59="Reference","Reference",
""
)
)
)
)
)
)
)</f>
        <v/>
      </c>
      <c r="M59" s="60" t="str">
        <f aca="false">IF(
D59="Project","Project Details",
IF(
D59="Routine","Routine Details",
IF(
D59="Reference","Reference Details",
""
)
)
)</f>
        <v/>
      </c>
      <c r="N59" s="60" t="str">
        <f aca="false">IF(
D59="","",
IF(
AND(H59&lt;&gt;"",I59="",H59&lt;$A$2),"Overdue",
IF(
AND(H59&lt;&gt;"",I59="",(7*1+$A$2)&gt;H59),"Due 7d",
IF(
AND(H59&lt;&gt;"",I59="",(30*1+$A$2)&gt;H59),"Due 30d",
"None"
)
)
)
)</f>
        <v/>
      </c>
      <c r="O59" s="60" t="str">
        <f aca="false">IF(
D59="","",
IF(
I59&gt;($A$2-7*$B$2),"Yes",
IF(
J59&gt;($A$2-7*$B$2),"Yes", 
"No"
)
)
)</f>
        <v/>
      </c>
      <c r="P59" s="61" t="str">
        <f aca="false">IF(
D59="","",
IF(
AND(H59&lt;&gt;"",G59=""),"Error: no Owner for Task with Due Date",
"ok"
)
)</f>
        <v/>
      </c>
      <c r="Q59" s="64" t="s">
        <v>469</v>
      </c>
    </row>
    <row r="60" customFormat="false" ht="12.75" hidden="false" customHeight="true" outlineLevel="0" collapsed="false">
      <c r="A60" s="54"/>
      <c r="B60" s="54"/>
      <c r="C60" s="74" t="str">
        <f aca="false">IF(
D60="","  -  ZZZ",
"  -  "&amp;F60&amp;E60&amp;F60)</f>
        <v>  -  ZZZ</v>
      </c>
      <c r="D60" s="75"/>
      <c r="E60" s="64"/>
      <c r="F60" s="64"/>
      <c r="G60" s="64"/>
      <c r="H60" s="40"/>
      <c r="I60" s="40"/>
      <c r="J60" s="40"/>
      <c r="K60" s="64"/>
      <c r="L60" s="60" t="str">
        <f aca="false">IF(
I60&lt;&gt;"","Delete",
IF(
AND(G60="Self",H60&lt;&gt;""),"Defer",
IF(
AND(G60&lt;&gt;"",G60&lt;&gt;"Self",H60&lt;&gt;""),"Delegate",
IF(
D60="Project","Projects",
IF(
D60="Routine","Routines",
IF(
D60="Task","Someday",
IF(
D60="Reference","Reference",
""
)
)
)
)
)
)
)</f>
        <v/>
      </c>
      <c r="M60" s="60" t="str">
        <f aca="false">IF(
D60="Project","Project Details",
IF(
D60="Routine","Routine Details",
IF(
D60="Reference","Reference Details",
""
)
)
)</f>
        <v/>
      </c>
      <c r="N60" s="60" t="str">
        <f aca="false">IF(
D60="","",
IF(
AND(H60&lt;&gt;"",I60="",H60&lt;$A$2),"Overdue",
IF(
AND(H60&lt;&gt;"",I60="",(7*1+$A$2)&gt;H60),"Due 7d",
IF(
AND(H60&lt;&gt;"",I60="",(30*1+$A$2)&gt;H60),"Due 30d",
"None"
)
)
)
)</f>
        <v/>
      </c>
      <c r="O60" s="60" t="str">
        <f aca="false">IF(
D60="","",
IF(
I60&gt;($A$2-7*$B$2),"Yes",
IF(
J60&gt;($A$2-7*$B$2),"Yes", 
"No"
)
)
)</f>
        <v/>
      </c>
      <c r="P60" s="61" t="str">
        <f aca="false">IF(
D60="","",
IF(
AND(H60&lt;&gt;"",G60=""),"Error: no Owner for Task with Due Date",
"ok"
)
)</f>
        <v/>
      </c>
      <c r="Q60" s="64" t="s">
        <v>469</v>
      </c>
    </row>
    <row r="61" customFormat="false" ht="12.75" hidden="false" customHeight="true" outlineLevel="0" collapsed="false">
      <c r="A61" s="54"/>
      <c r="B61" s="54"/>
      <c r="C61" s="74" t="str">
        <f aca="false">IF(
D61="","  -  ZZZ",
"  -  "&amp;F61&amp;E61&amp;F61)</f>
        <v>  -  ZZZ</v>
      </c>
      <c r="D61" s="75"/>
      <c r="E61" s="64"/>
      <c r="F61" s="64"/>
      <c r="G61" s="64"/>
      <c r="H61" s="40"/>
      <c r="I61" s="40"/>
      <c r="J61" s="40"/>
      <c r="K61" s="65"/>
      <c r="L61" s="60" t="str">
        <f aca="false">IF(
I61&lt;&gt;"","Delete",
IF(
AND(G61="Self",H61&lt;&gt;""),"Defer",
IF(
AND(G61&lt;&gt;"",G61&lt;&gt;"Self",H61&lt;&gt;""),"Delegate",
IF(
D61="Project","Projects",
IF(
D61="Routine","Routines",
IF(
D61="Task","Someday",
IF(
D61="Reference","Reference",
""
)
)
)
)
)
)
)</f>
        <v/>
      </c>
      <c r="M61" s="60" t="str">
        <f aca="false">IF(
D61="Project","Project Details",
IF(
D61="Routine","Routine Details",
IF(
D61="Reference","Reference Details",
""
)
)
)</f>
        <v/>
      </c>
      <c r="N61" s="60" t="str">
        <f aca="false">IF(
D61="","",
IF(
AND(H61&lt;&gt;"",I61="",H61&lt;$A$2),"Overdue",
IF(
AND(H61&lt;&gt;"",I61="",(7*1+$A$2)&gt;H61),"Due 7d",
IF(
AND(H61&lt;&gt;"",I61="",(30*1+$A$2)&gt;H61),"Due 30d",
"None"
)
)
)
)</f>
        <v/>
      </c>
      <c r="O61" s="60" t="str">
        <f aca="false">IF(
D61="","",
IF(
I61&gt;($A$2-7*$B$2),"Yes",
IF(
J61&gt;($A$2-7*$B$2),"Yes", 
"No"
)
)
)</f>
        <v/>
      </c>
      <c r="P61" s="61" t="str">
        <f aca="false">IF(
D61="","",
IF(
AND(H61&lt;&gt;"",G61=""),"Error: no Owner for Task with Due Date",
"ok"
)
)</f>
        <v/>
      </c>
      <c r="Q61" s="64" t="s">
        <v>469</v>
      </c>
    </row>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sheetData>
  <autoFilter ref="A4:Q61"/>
  <conditionalFormatting sqref="N5:N62">
    <cfRule type="cellIs" priority="2" operator="equal" aboveAverage="0" equalAverage="0" bottom="0" percent="0" rank="0" text="" dxfId="10">
      <formula>"Overdue"</formula>
    </cfRule>
  </conditionalFormatting>
  <conditionalFormatting sqref="N5:N61">
    <cfRule type="cellIs" priority="3" operator="equal" aboveAverage="0" equalAverage="0" bottom="0" percent="0" rank="0" text="" dxfId="11">
      <formula>"Due 7d"</formula>
    </cfRule>
    <cfRule type="cellIs" priority="4" operator="equal" aboveAverage="0" equalAverage="0" bottom="0" percent="0" rank="0" text="" dxfId="12">
      <formula>0</formula>
    </cfRule>
  </conditionalFormatting>
  <conditionalFormatting sqref="N5:N61">
    <cfRule type="cellIs" priority="5" operator="equal" aboveAverage="0" equalAverage="0" bottom="0" percent="0" rank="0" text="" dxfId="13">
      <formula>"Due 30d"</formula>
    </cfRule>
  </conditionalFormatting>
  <conditionalFormatting sqref="O5:O62">
    <cfRule type="cellIs" priority="6" operator="equal" aboveAverage="0" equalAverage="0" bottom="0" percent="0" rank="0" text="" dxfId="10">
      <formula>"Yes"</formula>
    </cfRule>
  </conditionalFormatting>
  <conditionalFormatting sqref="P5:P62">
    <cfRule type="cellIs" priority="7" operator="notEqual" aboveAverage="0" equalAverage="0" bottom="0" percent="0" rank="0" text="" dxfId="10">
      <formula>"ok"</formula>
    </cfRule>
  </conditionalFormatting>
  <dataValidations count="1">
    <dataValidation allowBlank="true" errorStyle="stop" operator="equal" showDropDown="false" showErrorMessage="true" showInputMessage="false" sqref="D5:D61" type="list">
      <formula1>"Project,Routine,Task,Reference"</formula1>
      <formula2>0</formula2>
    </dataValidation>
  </dataValidation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AKS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K36" activeCellId="0" sqref="K36"/>
    </sheetView>
  </sheetViews>
  <sheetFormatPr defaultColWidth="15.1015625" defaultRowHeight="12.8" zeroHeight="false" outlineLevelRow="1" outlineLevelCol="1"/>
  <cols>
    <col collapsed="false" customWidth="true" hidden="true" outlineLevel="1" max="1" min="1" style="3" width="1.8"/>
    <col collapsed="false" customWidth="true" hidden="true" outlineLevel="1" max="2" min="2" style="29" width="6.21"/>
    <col collapsed="false" customWidth="true" hidden="true" outlineLevel="1" max="3" min="3" style="29" width="7.53"/>
    <col collapsed="false" customWidth="true" hidden="true" outlineLevel="1" max="4" min="4" style="29" width="8.75"/>
    <col collapsed="false" customWidth="true" hidden="true" outlineLevel="1" max="5" min="5" style="29" width="7.16"/>
    <col collapsed="false" customWidth="true" hidden="true" outlineLevel="1" max="7" min="6" style="29" width="6.21"/>
    <col collapsed="false" customWidth="true" hidden="false" outlineLevel="0" max="8" min="8" style="29" width="18.23"/>
    <col collapsed="false" customWidth="true" hidden="false" outlineLevel="0" max="9" min="9" style="3" width="12.5"/>
    <col collapsed="false" customWidth="true" hidden="false" outlineLevel="0" max="10" min="10" style="3" width="23.84"/>
    <col collapsed="false" customWidth="true" hidden="false" outlineLevel="0" max="11" min="11" style="29" width="43.52"/>
    <col collapsed="false" customWidth="true" hidden="false" outlineLevel="0" max="12" min="12" style="3" width="22.38"/>
    <col collapsed="false" customWidth="true" hidden="false" outlineLevel="0" max="13" min="13" style="29" width="6.56"/>
    <col collapsed="false" customWidth="true" hidden="false" outlineLevel="0" max="14" min="14" style="3" width="7.83"/>
    <col collapsed="false" customWidth="true" hidden="false" outlineLevel="0" max="15" min="15" style="1" width="2.54"/>
    <col collapsed="false" customWidth="false" hidden="true" outlineLevel="0" max="981" min="16" style="1" width="15.08"/>
    <col collapsed="false" customWidth="true" hidden="false" outlineLevel="0" max="992" min="982" style="1" width="11.52"/>
    <col collapsed="false" customWidth="true" hidden="false" outlineLevel="0" max="16384" min="16346" style="1" width="11.53"/>
  </cols>
  <sheetData>
    <row r="1" customFormat="false" ht="12.8" hidden="true" customHeight="true" outlineLevel="1" collapsed="false">
      <c r="A1" s="30"/>
      <c r="B1" s="33"/>
      <c r="C1" s="33"/>
      <c r="D1" s="33"/>
      <c r="E1" s="33"/>
      <c r="F1" s="33"/>
      <c r="G1" s="33"/>
      <c r="H1" s="31"/>
      <c r="I1" s="31"/>
      <c r="J1" s="34"/>
      <c r="K1" s="31"/>
      <c r="L1" s="31"/>
      <c r="M1" s="33"/>
      <c r="N1" s="31"/>
      <c r="O1" s="31" t="s">
        <v>364</v>
      </c>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c r="CT1" s="35"/>
      <c r="CU1" s="35"/>
      <c r="CV1" s="35"/>
      <c r="CW1" s="35"/>
      <c r="CX1" s="35"/>
      <c r="CY1" s="35"/>
      <c r="CZ1" s="35"/>
      <c r="DA1" s="35"/>
      <c r="DB1" s="35"/>
      <c r="DC1" s="35"/>
      <c r="DD1" s="35"/>
      <c r="DE1" s="35"/>
      <c r="DF1" s="35"/>
      <c r="DG1" s="35"/>
      <c r="DH1" s="35"/>
      <c r="DI1" s="35"/>
      <c r="DJ1" s="35"/>
      <c r="DK1" s="35"/>
      <c r="DL1" s="35"/>
      <c r="DM1" s="35"/>
      <c r="DN1" s="35"/>
      <c r="DO1" s="35"/>
      <c r="DP1" s="35"/>
      <c r="DQ1" s="35"/>
      <c r="DR1" s="35"/>
      <c r="DS1" s="35"/>
      <c r="DT1" s="35"/>
      <c r="DU1" s="35"/>
      <c r="DV1" s="35"/>
      <c r="DW1" s="35"/>
      <c r="DX1" s="35"/>
      <c r="DY1" s="35"/>
      <c r="DZ1" s="35"/>
      <c r="EA1" s="35"/>
      <c r="EB1" s="35"/>
      <c r="EC1" s="35"/>
      <c r="ED1" s="35"/>
      <c r="EE1" s="35"/>
      <c r="EF1" s="35"/>
      <c r="EG1" s="35"/>
      <c r="EH1" s="35"/>
      <c r="EI1" s="35"/>
      <c r="EJ1" s="35"/>
      <c r="EK1" s="35"/>
      <c r="EL1" s="35"/>
      <c r="EM1" s="35"/>
      <c r="EN1" s="35"/>
      <c r="EO1" s="35"/>
      <c r="EP1" s="35"/>
      <c r="EQ1" s="35"/>
      <c r="ER1" s="35"/>
      <c r="ES1" s="35"/>
      <c r="ET1" s="35"/>
      <c r="EU1" s="35"/>
      <c r="EV1" s="35"/>
      <c r="EW1" s="35"/>
      <c r="EX1" s="35"/>
      <c r="EY1" s="35"/>
      <c r="EZ1" s="35"/>
      <c r="FA1" s="35"/>
      <c r="FB1" s="35"/>
      <c r="FC1" s="35"/>
      <c r="FD1" s="35"/>
      <c r="FE1" s="35"/>
      <c r="FF1" s="35"/>
      <c r="FG1" s="35"/>
      <c r="FH1" s="35"/>
      <c r="FI1" s="35"/>
      <c r="FJ1" s="35"/>
      <c r="FK1" s="35"/>
      <c r="FL1" s="35"/>
      <c r="FM1" s="35"/>
      <c r="FN1" s="35"/>
      <c r="FO1" s="35"/>
      <c r="FP1" s="35"/>
      <c r="FQ1" s="35"/>
      <c r="FR1" s="35"/>
      <c r="FS1" s="35"/>
      <c r="FT1" s="35"/>
      <c r="FU1" s="35"/>
      <c r="FV1" s="35"/>
      <c r="FW1" s="35"/>
      <c r="FX1" s="35"/>
      <c r="FY1" s="35"/>
      <c r="FZ1" s="35"/>
      <c r="GA1" s="35"/>
      <c r="GB1" s="35"/>
      <c r="GC1" s="35"/>
      <c r="GD1" s="35"/>
      <c r="GE1" s="35"/>
      <c r="GF1" s="35"/>
      <c r="GG1" s="35"/>
      <c r="GH1" s="35"/>
      <c r="GI1" s="35"/>
      <c r="GJ1" s="35"/>
      <c r="GK1" s="35"/>
      <c r="GL1" s="35"/>
      <c r="GM1" s="35"/>
      <c r="GN1" s="35"/>
      <c r="GO1" s="35"/>
      <c r="GP1" s="35"/>
      <c r="GQ1" s="35"/>
      <c r="GR1" s="35"/>
      <c r="GS1" s="35"/>
      <c r="GT1" s="35"/>
      <c r="GU1" s="35"/>
      <c r="GV1" s="35"/>
      <c r="GW1" s="35"/>
      <c r="GX1" s="35"/>
      <c r="GY1" s="35"/>
      <c r="GZ1" s="35"/>
      <c r="HA1" s="35"/>
      <c r="HB1" s="35"/>
      <c r="HC1" s="35"/>
      <c r="HD1" s="35"/>
      <c r="HE1" s="35"/>
      <c r="HF1" s="35"/>
      <c r="HG1" s="35"/>
      <c r="HH1" s="35"/>
      <c r="HI1" s="35"/>
      <c r="HJ1" s="35"/>
      <c r="HK1" s="35"/>
      <c r="HL1" s="35"/>
      <c r="HM1" s="35"/>
      <c r="HN1" s="35"/>
      <c r="HO1" s="35"/>
      <c r="HP1" s="35"/>
      <c r="HQ1" s="35"/>
      <c r="HR1" s="35"/>
      <c r="HS1" s="35"/>
      <c r="HT1" s="35"/>
      <c r="HU1" s="35"/>
      <c r="HV1" s="35"/>
      <c r="HW1" s="35"/>
      <c r="HX1" s="35"/>
      <c r="HY1" s="35"/>
      <c r="HZ1" s="35"/>
      <c r="IA1" s="35"/>
      <c r="IB1" s="35"/>
      <c r="IC1" s="35"/>
      <c r="ID1" s="35"/>
      <c r="IE1" s="35"/>
      <c r="IF1" s="35"/>
      <c r="IG1" s="35"/>
      <c r="IH1" s="35"/>
      <c r="II1" s="35"/>
      <c r="IJ1" s="35"/>
      <c r="IK1" s="35"/>
      <c r="IL1" s="35"/>
      <c r="IM1" s="35"/>
      <c r="IN1" s="35"/>
      <c r="IO1" s="35"/>
      <c r="IP1" s="35"/>
      <c r="IQ1" s="35"/>
      <c r="IR1" s="35"/>
      <c r="IS1" s="35"/>
      <c r="IT1" s="35"/>
      <c r="IU1" s="35"/>
      <c r="IV1" s="35"/>
      <c r="IW1" s="35"/>
      <c r="IX1" s="35"/>
      <c r="IY1" s="35"/>
      <c r="IZ1" s="35"/>
      <c r="JA1" s="35"/>
      <c r="JB1" s="35"/>
      <c r="JC1" s="35"/>
      <c r="JD1" s="35"/>
      <c r="JE1" s="35"/>
      <c r="JF1" s="35"/>
      <c r="JG1" s="35"/>
      <c r="JH1" s="35"/>
      <c r="JI1" s="35"/>
      <c r="JJ1" s="35"/>
      <c r="JK1" s="35"/>
      <c r="JL1" s="35"/>
      <c r="JM1" s="35"/>
      <c r="JN1" s="35"/>
      <c r="JO1" s="35"/>
      <c r="JP1" s="35"/>
      <c r="JQ1" s="35"/>
      <c r="JR1" s="35"/>
      <c r="JS1" s="35"/>
      <c r="JT1" s="35"/>
      <c r="JU1" s="35"/>
      <c r="JV1" s="35"/>
      <c r="JW1" s="35"/>
      <c r="JX1" s="35"/>
      <c r="JY1" s="35"/>
      <c r="JZ1" s="35"/>
      <c r="KA1" s="35"/>
      <c r="KB1" s="35"/>
      <c r="KC1" s="35"/>
      <c r="KD1" s="35"/>
      <c r="KE1" s="35"/>
      <c r="KF1" s="35"/>
      <c r="KG1" s="35"/>
      <c r="KH1" s="35"/>
      <c r="KI1" s="35"/>
      <c r="KJ1" s="35"/>
      <c r="KK1" s="35"/>
      <c r="KL1" s="35"/>
      <c r="KM1" s="35"/>
      <c r="KN1" s="35"/>
      <c r="KO1" s="35"/>
      <c r="KP1" s="35"/>
      <c r="KQ1" s="35"/>
      <c r="KR1" s="35"/>
      <c r="KS1" s="35"/>
      <c r="KT1" s="35"/>
      <c r="KU1" s="35"/>
      <c r="KV1" s="35"/>
      <c r="KW1" s="35"/>
      <c r="KX1" s="35"/>
      <c r="KY1" s="35"/>
      <c r="KZ1" s="35"/>
      <c r="LA1" s="35"/>
      <c r="LB1" s="35"/>
      <c r="LC1" s="35"/>
      <c r="LD1" s="35"/>
      <c r="LE1" s="35"/>
      <c r="LF1" s="35"/>
      <c r="LG1" s="35"/>
      <c r="LH1" s="35"/>
      <c r="LI1" s="35"/>
      <c r="LJ1" s="35"/>
      <c r="LK1" s="35"/>
      <c r="LL1" s="35"/>
      <c r="LM1" s="35"/>
      <c r="LN1" s="35"/>
      <c r="LO1" s="35"/>
      <c r="LP1" s="35"/>
      <c r="LQ1" s="35"/>
      <c r="LR1" s="35"/>
      <c r="LS1" s="35"/>
      <c r="LT1" s="35"/>
      <c r="LU1" s="35"/>
      <c r="LV1" s="35"/>
      <c r="LW1" s="35"/>
      <c r="LX1" s="35"/>
      <c r="LY1" s="35"/>
      <c r="LZ1" s="35"/>
      <c r="MA1" s="35"/>
      <c r="MB1" s="35"/>
      <c r="MC1" s="35"/>
      <c r="MD1" s="35"/>
      <c r="ME1" s="35"/>
      <c r="MF1" s="35"/>
      <c r="MG1" s="35"/>
      <c r="MH1" s="35"/>
      <c r="MI1" s="35"/>
      <c r="MJ1" s="35"/>
      <c r="MK1" s="35"/>
      <c r="ML1" s="35"/>
      <c r="MM1" s="35"/>
      <c r="MN1" s="35"/>
      <c r="MO1" s="35"/>
      <c r="MP1" s="35"/>
      <c r="MQ1" s="35"/>
      <c r="MR1" s="35"/>
      <c r="MS1" s="35"/>
      <c r="MT1" s="35"/>
      <c r="MU1" s="35"/>
      <c r="MV1" s="35"/>
      <c r="MW1" s="35"/>
      <c r="MX1" s="35"/>
      <c r="MY1" s="35"/>
      <c r="MZ1" s="35"/>
      <c r="NA1" s="35"/>
      <c r="NB1" s="35"/>
      <c r="NC1" s="35"/>
      <c r="ND1" s="35"/>
      <c r="NE1" s="35"/>
      <c r="NF1" s="35"/>
      <c r="NG1" s="35"/>
      <c r="NH1" s="35"/>
      <c r="NI1" s="35"/>
      <c r="NJ1" s="35"/>
      <c r="NK1" s="35"/>
      <c r="NL1" s="35"/>
      <c r="NM1" s="35"/>
      <c r="NN1" s="35"/>
      <c r="NO1" s="35"/>
      <c r="NP1" s="35"/>
      <c r="NQ1" s="35"/>
      <c r="NR1" s="35"/>
      <c r="NS1" s="35"/>
      <c r="NT1" s="35"/>
      <c r="NU1" s="35"/>
      <c r="NV1" s="35"/>
      <c r="NW1" s="35"/>
      <c r="NX1" s="35"/>
      <c r="NY1" s="35"/>
      <c r="NZ1" s="35"/>
      <c r="OA1" s="35"/>
      <c r="OB1" s="35"/>
      <c r="OC1" s="35"/>
      <c r="OD1" s="35"/>
      <c r="OE1" s="35"/>
      <c r="OF1" s="35"/>
      <c r="OG1" s="35"/>
      <c r="OH1" s="35"/>
      <c r="OI1" s="35"/>
      <c r="OJ1" s="35"/>
      <c r="OK1" s="35"/>
      <c r="OL1" s="35"/>
      <c r="OM1" s="35"/>
      <c r="ON1" s="35"/>
      <c r="OO1" s="35"/>
      <c r="OP1" s="35"/>
      <c r="OQ1" s="35"/>
      <c r="OR1" s="35"/>
      <c r="OS1" s="35"/>
      <c r="OT1" s="35"/>
      <c r="OU1" s="35"/>
      <c r="OV1" s="35"/>
      <c r="OW1" s="35"/>
      <c r="OX1" s="35"/>
      <c r="OY1" s="35"/>
      <c r="OZ1" s="35"/>
      <c r="PA1" s="35"/>
      <c r="PB1" s="35"/>
      <c r="PC1" s="35"/>
      <c r="PD1" s="35"/>
      <c r="PE1" s="35"/>
      <c r="PF1" s="35"/>
      <c r="PG1" s="35"/>
      <c r="PH1" s="35"/>
      <c r="PI1" s="35"/>
      <c r="PJ1" s="35"/>
      <c r="PK1" s="35"/>
      <c r="PL1" s="35"/>
      <c r="PM1" s="35"/>
      <c r="PN1" s="35"/>
      <c r="PO1" s="35"/>
      <c r="PP1" s="35"/>
      <c r="PQ1" s="35"/>
      <c r="PR1" s="35"/>
      <c r="PS1" s="35"/>
      <c r="PT1" s="35"/>
      <c r="PU1" s="35"/>
      <c r="PV1" s="35"/>
      <c r="PW1" s="35"/>
      <c r="PX1" s="35"/>
      <c r="PY1" s="35"/>
      <c r="PZ1" s="35"/>
      <c r="QA1" s="35"/>
      <c r="QB1" s="35"/>
      <c r="QC1" s="35"/>
      <c r="QD1" s="35"/>
      <c r="QE1" s="35"/>
      <c r="QF1" s="35"/>
      <c r="QG1" s="35"/>
      <c r="QH1" s="35"/>
      <c r="QI1" s="35"/>
      <c r="QJ1" s="35"/>
      <c r="QK1" s="35"/>
      <c r="QL1" s="35"/>
      <c r="QM1" s="35"/>
      <c r="QN1" s="35"/>
      <c r="QO1" s="35"/>
      <c r="QP1" s="35"/>
      <c r="QQ1" s="35"/>
      <c r="QR1" s="35"/>
      <c r="QS1" s="35"/>
      <c r="QT1" s="35"/>
      <c r="QU1" s="35"/>
      <c r="QV1" s="35"/>
      <c r="QW1" s="35"/>
      <c r="QX1" s="35"/>
      <c r="QY1" s="35"/>
      <c r="QZ1" s="35"/>
      <c r="RA1" s="35"/>
      <c r="RB1" s="35"/>
      <c r="RC1" s="35"/>
      <c r="RD1" s="35"/>
      <c r="RE1" s="35"/>
      <c r="RF1" s="35"/>
      <c r="RG1" s="35"/>
      <c r="RH1" s="35"/>
      <c r="RI1" s="35"/>
      <c r="RJ1" s="35"/>
      <c r="RK1" s="35"/>
      <c r="RL1" s="35"/>
      <c r="RM1" s="35"/>
      <c r="RN1" s="35"/>
      <c r="RO1" s="35"/>
      <c r="RP1" s="35"/>
      <c r="RQ1" s="35"/>
      <c r="RR1" s="35"/>
      <c r="RS1" s="35"/>
      <c r="RT1" s="35"/>
      <c r="RU1" s="35"/>
      <c r="RV1" s="35"/>
      <c r="RW1" s="35"/>
      <c r="RX1" s="35"/>
      <c r="RY1" s="35"/>
      <c r="RZ1" s="35"/>
      <c r="SA1" s="35"/>
      <c r="SB1" s="35"/>
      <c r="SC1" s="35"/>
      <c r="SD1" s="35"/>
      <c r="SE1" s="35"/>
      <c r="SF1" s="35"/>
      <c r="SG1" s="35"/>
      <c r="SH1" s="35"/>
      <c r="SI1" s="35"/>
      <c r="SJ1" s="35"/>
      <c r="SK1" s="35"/>
      <c r="SL1" s="35"/>
      <c r="SM1" s="35"/>
      <c r="SN1" s="35"/>
      <c r="SO1" s="35"/>
      <c r="SP1" s="35"/>
      <c r="SQ1" s="35"/>
      <c r="SR1" s="35"/>
      <c r="SS1" s="35"/>
      <c r="ST1" s="35"/>
      <c r="SU1" s="35"/>
      <c r="SV1" s="35"/>
      <c r="SW1" s="35"/>
      <c r="SX1" s="35"/>
      <c r="SY1" s="35"/>
      <c r="SZ1" s="35"/>
      <c r="TA1" s="35"/>
      <c r="TB1" s="35"/>
      <c r="TC1" s="35"/>
      <c r="TD1" s="35"/>
      <c r="TE1" s="35"/>
      <c r="TF1" s="35"/>
      <c r="TG1" s="35"/>
      <c r="TH1" s="35"/>
      <c r="TI1" s="35"/>
      <c r="TJ1" s="35"/>
      <c r="TK1" s="35"/>
      <c r="TL1" s="35"/>
      <c r="TM1" s="35"/>
      <c r="TN1" s="35"/>
      <c r="TO1" s="35"/>
      <c r="TP1" s="35"/>
      <c r="TQ1" s="35"/>
      <c r="TR1" s="35"/>
      <c r="TS1" s="35"/>
      <c r="TT1" s="35"/>
      <c r="TU1" s="35"/>
      <c r="TV1" s="35"/>
      <c r="TW1" s="35"/>
      <c r="TX1" s="35"/>
      <c r="TY1" s="35"/>
      <c r="TZ1" s="35"/>
      <c r="UA1" s="35"/>
      <c r="UB1" s="35"/>
      <c r="UC1" s="35"/>
      <c r="UD1" s="35"/>
      <c r="UE1" s="35"/>
      <c r="UF1" s="35"/>
      <c r="UG1" s="35"/>
      <c r="UH1" s="35"/>
      <c r="UI1" s="35"/>
      <c r="UJ1" s="35"/>
      <c r="UK1" s="35"/>
      <c r="UL1" s="35"/>
      <c r="UM1" s="35"/>
      <c r="UN1" s="35"/>
      <c r="UO1" s="35"/>
      <c r="UP1" s="35"/>
      <c r="UQ1" s="35"/>
      <c r="UR1" s="35"/>
      <c r="US1" s="35"/>
      <c r="UT1" s="35"/>
      <c r="UU1" s="35"/>
      <c r="UV1" s="35"/>
      <c r="UW1" s="35"/>
      <c r="UX1" s="35"/>
      <c r="UY1" s="35"/>
      <c r="UZ1" s="35"/>
      <c r="VA1" s="35"/>
      <c r="VB1" s="35"/>
      <c r="VC1" s="35"/>
      <c r="VD1" s="35"/>
      <c r="VE1" s="35"/>
      <c r="VF1" s="35"/>
      <c r="VG1" s="35"/>
      <c r="VH1" s="35"/>
      <c r="VI1" s="35"/>
      <c r="VJ1" s="35"/>
      <c r="VK1" s="35"/>
      <c r="VL1" s="35"/>
      <c r="VM1" s="35"/>
      <c r="VN1" s="35"/>
      <c r="VO1" s="35"/>
      <c r="VP1" s="35"/>
      <c r="VQ1" s="35"/>
      <c r="VR1" s="35"/>
      <c r="VS1" s="35"/>
      <c r="VT1" s="35"/>
      <c r="VU1" s="35"/>
      <c r="VV1" s="35"/>
      <c r="VW1" s="35"/>
      <c r="VX1" s="35"/>
      <c r="VY1" s="35"/>
      <c r="VZ1" s="35"/>
      <c r="WA1" s="35"/>
      <c r="WB1" s="35"/>
      <c r="WC1" s="35"/>
      <c r="WD1" s="35"/>
      <c r="WE1" s="35"/>
      <c r="WF1" s="35"/>
      <c r="WG1" s="35"/>
      <c r="WH1" s="35"/>
      <c r="WI1" s="35"/>
      <c r="WJ1" s="35"/>
      <c r="WK1" s="35"/>
      <c r="WL1" s="35"/>
      <c r="WM1" s="35"/>
      <c r="WN1" s="35"/>
      <c r="WO1" s="35"/>
      <c r="WP1" s="35"/>
      <c r="WQ1" s="35"/>
      <c r="WR1" s="35"/>
      <c r="WS1" s="35"/>
      <c r="WT1" s="35"/>
      <c r="WU1" s="35"/>
      <c r="WV1" s="35"/>
      <c r="WW1" s="35"/>
      <c r="WX1" s="35"/>
      <c r="WY1" s="35"/>
      <c r="WZ1" s="35"/>
      <c r="XA1" s="35"/>
      <c r="XB1" s="35"/>
      <c r="XC1" s="35"/>
      <c r="XD1" s="35"/>
      <c r="XE1" s="35"/>
      <c r="XF1" s="35"/>
      <c r="XG1" s="35"/>
      <c r="XH1" s="35"/>
      <c r="XI1" s="35"/>
      <c r="XJ1" s="35"/>
      <c r="XK1" s="35"/>
      <c r="XL1" s="35"/>
      <c r="XM1" s="35"/>
      <c r="XN1" s="35"/>
      <c r="XO1" s="35"/>
      <c r="XP1" s="35"/>
      <c r="XQ1" s="35"/>
      <c r="XR1" s="35"/>
      <c r="XS1" s="35"/>
      <c r="XT1" s="35"/>
      <c r="XU1" s="35"/>
      <c r="XV1" s="35"/>
      <c r="XW1" s="35"/>
      <c r="XX1" s="35"/>
      <c r="XY1" s="35"/>
      <c r="XZ1" s="35"/>
      <c r="YA1" s="35"/>
      <c r="YB1" s="35"/>
      <c r="YC1" s="35"/>
      <c r="YD1" s="35"/>
      <c r="YE1" s="35"/>
      <c r="YF1" s="35"/>
      <c r="YG1" s="35"/>
      <c r="YH1" s="35"/>
      <c r="YI1" s="35"/>
      <c r="YJ1" s="35"/>
      <c r="YK1" s="35"/>
      <c r="YL1" s="35"/>
      <c r="YM1" s="35"/>
      <c r="YN1" s="35"/>
      <c r="YO1" s="35"/>
      <c r="YP1" s="35"/>
      <c r="YQ1" s="35"/>
      <c r="YR1" s="35"/>
      <c r="YS1" s="35"/>
      <c r="YT1" s="35"/>
      <c r="YU1" s="35"/>
      <c r="YV1" s="35"/>
      <c r="YW1" s="35"/>
      <c r="YX1" s="35"/>
      <c r="YY1" s="35"/>
      <c r="YZ1" s="35"/>
      <c r="ZA1" s="35"/>
      <c r="ZB1" s="35"/>
      <c r="ZC1" s="35"/>
      <c r="ZD1" s="35"/>
      <c r="ZE1" s="35"/>
      <c r="ZF1" s="35"/>
      <c r="ZG1" s="35"/>
      <c r="ZH1" s="35"/>
      <c r="ZI1" s="35"/>
      <c r="ZJ1" s="35"/>
      <c r="ZK1" s="35"/>
      <c r="ZL1" s="35"/>
      <c r="ZM1" s="35"/>
      <c r="ZN1" s="35"/>
      <c r="ZO1" s="35"/>
      <c r="ZP1" s="35"/>
      <c r="ZQ1" s="35"/>
      <c r="ZR1" s="35"/>
      <c r="ZS1" s="35"/>
      <c r="ZT1" s="35"/>
      <c r="ZU1" s="35"/>
      <c r="ZV1" s="35"/>
      <c r="ZW1" s="35"/>
      <c r="ZX1" s="35"/>
      <c r="ZY1" s="35"/>
      <c r="ZZ1" s="35"/>
      <c r="AAA1" s="35"/>
      <c r="AAB1" s="35"/>
      <c r="AAC1" s="35"/>
      <c r="AAD1" s="35"/>
      <c r="AAE1" s="35"/>
      <c r="AAF1" s="35"/>
      <c r="AAG1" s="35"/>
      <c r="AAH1" s="35"/>
      <c r="AAI1" s="35"/>
      <c r="AAJ1" s="35"/>
      <c r="AAK1" s="35"/>
      <c r="AAL1" s="35"/>
      <c r="AAM1" s="35"/>
      <c r="AAN1" s="35"/>
      <c r="AAO1" s="35"/>
      <c r="AAP1" s="35"/>
      <c r="AAQ1" s="35"/>
      <c r="AAR1" s="35"/>
      <c r="AAS1" s="35"/>
      <c r="AAT1" s="35"/>
      <c r="AAU1" s="35"/>
      <c r="AAV1" s="35"/>
      <c r="AAW1" s="35"/>
      <c r="AAX1" s="35"/>
      <c r="AAY1" s="35"/>
      <c r="AAZ1" s="35"/>
      <c r="ABA1" s="35"/>
      <c r="ABB1" s="35"/>
      <c r="ABC1" s="35"/>
      <c r="ABD1" s="35"/>
      <c r="ABE1" s="35"/>
      <c r="ABF1" s="35"/>
      <c r="ABG1" s="35"/>
      <c r="ABH1" s="35"/>
      <c r="ABI1" s="35"/>
      <c r="ABJ1" s="35"/>
      <c r="ABK1" s="35"/>
      <c r="ABL1" s="35"/>
      <c r="ABM1" s="35"/>
      <c r="ABN1" s="35"/>
      <c r="ABO1" s="35"/>
      <c r="ABP1" s="35"/>
      <c r="ABQ1" s="35"/>
      <c r="ABR1" s="35"/>
      <c r="ABS1" s="35"/>
      <c r="ABT1" s="35"/>
      <c r="ABU1" s="35"/>
      <c r="ABV1" s="35"/>
      <c r="ABW1" s="35"/>
      <c r="ABX1" s="35"/>
      <c r="ABY1" s="35"/>
      <c r="ABZ1" s="35"/>
      <c r="ACA1" s="35"/>
      <c r="ACB1" s="35"/>
      <c r="ACC1" s="35"/>
      <c r="ACD1" s="35"/>
      <c r="ACE1" s="35"/>
      <c r="ACF1" s="35"/>
      <c r="ACG1" s="35"/>
      <c r="ACH1" s="35"/>
      <c r="ACI1" s="35"/>
      <c r="ACJ1" s="35"/>
      <c r="ACK1" s="35"/>
      <c r="ACL1" s="35"/>
      <c r="ACM1" s="35"/>
      <c r="ACN1" s="35"/>
      <c r="ACO1" s="35"/>
      <c r="ACP1" s="35"/>
      <c r="ACQ1" s="35"/>
      <c r="ACR1" s="35"/>
      <c r="ACS1" s="35"/>
      <c r="ACT1" s="35"/>
      <c r="ACU1" s="35"/>
      <c r="ACV1" s="35"/>
      <c r="ACW1" s="35"/>
      <c r="ACX1" s="35"/>
      <c r="ACY1" s="35"/>
      <c r="ACZ1" s="35"/>
      <c r="ADA1" s="35"/>
      <c r="ADB1" s="35"/>
      <c r="ADC1" s="35"/>
      <c r="ADD1" s="35"/>
      <c r="ADE1" s="35"/>
      <c r="ADF1" s="35"/>
      <c r="ADG1" s="35"/>
      <c r="ADH1" s="35"/>
      <c r="ADI1" s="35"/>
      <c r="ADJ1" s="35"/>
      <c r="ADK1" s="35"/>
      <c r="ADL1" s="35"/>
      <c r="ADM1" s="35"/>
      <c r="ADN1" s="35"/>
      <c r="ADO1" s="35"/>
      <c r="ADP1" s="35"/>
      <c r="ADQ1" s="35"/>
      <c r="ADR1" s="35"/>
      <c r="ADS1" s="35"/>
      <c r="ADT1" s="35"/>
      <c r="ADU1" s="35"/>
      <c r="ADV1" s="35"/>
      <c r="ADW1" s="35"/>
      <c r="ADX1" s="35"/>
      <c r="ADY1" s="35"/>
      <c r="ADZ1" s="35"/>
      <c r="AEA1" s="35"/>
      <c r="AEB1" s="35"/>
      <c r="AEC1" s="35"/>
      <c r="AED1" s="35"/>
      <c r="AEE1" s="35"/>
      <c r="AEF1" s="35"/>
      <c r="AEG1" s="35"/>
      <c r="AEH1" s="35"/>
      <c r="AEI1" s="35"/>
      <c r="AEJ1" s="35"/>
      <c r="AEK1" s="35"/>
      <c r="AEL1" s="35"/>
      <c r="AEM1" s="35"/>
      <c r="AEN1" s="35"/>
      <c r="AEO1" s="35"/>
      <c r="AEP1" s="35"/>
      <c r="AEQ1" s="35"/>
      <c r="AER1" s="35"/>
      <c r="AES1" s="35"/>
      <c r="AET1" s="35"/>
      <c r="AEU1" s="35"/>
      <c r="AEV1" s="35"/>
      <c r="AEW1" s="35"/>
      <c r="AEX1" s="35"/>
      <c r="AEY1" s="35"/>
      <c r="AEZ1" s="35"/>
      <c r="AFA1" s="35"/>
      <c r="AFB1" s="35"/>
      <c r="AFC1" s="35"/>
      <c r="AFD1" s="35"/>
      <c r="AFE1" s="35"/>
      <c r="AFF1" s="35"/>
      <c r="AFG1" s="35"/>
      <c r="AFH1" s="35"/>
      <c r="AFI1" s="35"/>
      <c r="AFJ1" s="35"/>
      <c r="AFK1" s="35"/>
      <c r="AFL1" s="35"/>
      <c r="AFM1" s="35"/>
      <c r="AFN1" s="35"/>
      <c r="AFO1" s="35"/>
      <c r="AFP1" s="35"/>
      <c r="AFQ1" s="35"/>
      <c r="AFR1" s="35"/>
      <c r="AFS1" s="35"/>
      <c r="AFT1" s="35"/>
      <c r="AFU1" s="35"/>
      <c r="AFV1" s="35"/>
      <c r="AFW1" s="35"/>
      <c r="AFX1" s="35"/>
      <c r="AFY1" s="35"/>
      <c r="AFZ1" s="35"/>
      <c r="AGA1" s="35"/>
      <c r="AGB1" s="35"/>
      <c r="AGC1" s="35"/>
      <c r="AGD1" s="35"/>
      <c r="AGE1" s="35"/>
      <c r="AGF1" s="35"/>
      <c r="AGG1" s="35"/>
      <c r="AGH1" s="35"/>
      <c r="AGI1" s="35"/>
      <c r="AGJ1" s="35"/>
      <c r="AGK1" s="35"/>
      <c r="AGL1" s="35"/>
      <c r="AGM1" s="35"/>
      <c r="AGN1" s="35"/>
      <c r="AGO1" s="35"/>
      <c r="AGP1" s="35"/>
      <c r="AGQ1" s="35"/>
      <c r="AGR1" s="35"/>
      <c r="AGS1" s="35"/>
      <c r="AGT1" s="35"/>
      <c r="AGU1" s="35"/>
      <c r="AGV1" s="35"/>
      <c r="AGW1" s="35"/>
      <c r="AGX1" s="35"/>
      <c r="AGY1" s="35"/>
      <c r="AGZ1" s="35"/>
      <c r="AHA1" s="35"/>
      <c r="AHB1" s="35"/>
      <c r="AHC1" s="35"/>
      <c r="AHD1" s="35"/>
      <c r="AHE1" s="35"/>
      <c r="AHF1" s="35"/>
      <c r="AHG1" s="35"/>
      <c r="AHH1" s="35"/>
      <c r="AHI1" s="35"/>
      <c r="AHJ1" s="35"/>
      <c r="AHK1" s="35"/>
      <c r="AHL1" s="35"/>
      <c r="AHM1" s="35"/>
      <c r="AHN1" s="35"/>
      <c r="AHO1" s="35"/>
      <c r="AHP1" s="35"/>
      <c r="AHQ1" s="35"/>
      <c r="AHR1" s="35"/>
      <c r="AHS1" s="35"/>
      <c r="AHT1" s="35"/>
      <c r="AHU1" s="35"/>
      <c r="AHV1" s="35"/>
      <c r="AHW1" s="35"/>
      <c r="AHX1" s="35"/>
      <c r="AHY1" s="35"/>
      <c r="AHZ1" s="35"/>
      <c r="AIA1" s="35"/>
      <c r="AIB1" s="35"/>
      <c r="AIC1" s="35"/>
      <c r="AID1" s="35"/>
      <c r="AIE1" s="35"/>
      <c r="AIF1" s="35"/>
      <c r="AIG1" s="35"/>
      <c r="AIH1" s="35"/>
      <c r="AII1" s="35"/>
      <c r="AIJ1" s="35"/>
      <c r="AIK1" s="35"/>
      <c r="AIL1" s="35"/>
      <c r="AIM1" s="35"/>
      <c r="AIN1" s="35"/>
      <c r="AIO1" s="35"/>
      <c r="AIP1" s="35"/>
      <c r="AIQ1" s="35"/>
      <c r="AIR1" s="35"/>
      <c r="AIS1" s="35"/>
      <c r="AIT1" s="35"/>
      <c r="AIU1" s="35"/>
      <c r="AIV1" s="35"/>
      <c r="AIW1" s="35"/>
      <c r="AIX1" s="35"/>
      <c r="AIY1" s="35"/>
      <c r="AIZ1" s="35"/>
      <c r="AJA1" s="35"/>
      <c r="AJB1" s="35"/>
      <c r="AJC1" s="35"/>
      <c r="AJD1" s="35"/>
      <c r="AJE1" s="35"/>
      <c r="AJF1" s="35"/>
      <c r="AJG1" s="35"/>
      <c r="AJH1" s="35"/>
      <c r="AJI1" s="35"/>
      <c r="AJJ1" s="35"/>
      <c r="AJK1" s="35"/>
      <c r="AJL1" s="35"/>
      <c r="AJM1" s="35"/>
      <c r="AJN1" s="35"/>
      <c r="AJO1" s="35"/>
      <c r="AJP1" s="35"/>
      <c r="AJQ1" s="35"/>
      <c r="AJR1" s="35"/>
      <c r="AJS1" s="35"/>
      <c r="AJT1" s="35"/>
      <c r="AJU1" s="35"/>
      <c r="AJV1" s="35"/>
      <c r="AJW1" s="35"/>
      <c r="AJX1" s="35"/>
      <c r="AJY1" s="35"/>
      <c r="AJZ1" s="35"/>
      <c r="AKA1" s="35"/>
      <c r="AKB1" s="35"/>
      <c r="AKC1" s="35"/>
      <c r="AKD1" s="35"/>
      <c r="AKE1" s="35"/>
      <c r="AKF1" s="35"/>
      <c r="AKG1" s="35"/>
      <c r="AKH1" s="35"/>
      <c r="AKI1" s="35"/>
      <c r="AKJ1" s="35"/>
      <c r="AKK1" s="35"/>
      <c r="AKL1" s="35"/>
      <c r="AKM1" s="35"/>
      <c r="AKN1" s="35"/>
      <c r="AKO1" s="35"/>
      <c r="AKP1" s="35"/>
      <c r="AKQ1" s="35"/>
      <c r="AKR1" s="35"/>
      <c r="AKS1" s="35"/>
    </row>
    <row r="2" customFormat="false" ht="12.8" hidden="true" customHeight="true" outlineLevel="1" collapsed="false">
      <c r="A2" s="30"/>
      <c r="B2" s="33"/>
      <c r="C2" s="33"/>
      <c r="D2" s="33"/>
      <c r="E2" s="33"/>
      <c r="F2" s="33"/>
      <c r="G2" s="33"/>
      <c r="H2" s="31"/>
      <c r="I2" s="31"/>
      <c r="J2" s="34"/>
      <c r="K2" s="31"/>
      <c r="L2" s="31"/>
      <c r="M2" s="33"/>
      <c r="N2" s="31"/>
      <c r="O2" s="31" t="s">
        <v>364</v>
      </c>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c r="CF2" s="35"/>
      <c r="CG2" s="35"/>
      <c r="CH2" s="35"/>
      <c r="CI2" s="35"/>
      <c r="CJ2" s="35"/>
      <c r="CK2" s="35"/>
      <c r="CL2" s="35"/>
      <c r="CM2" s="35"/>
      <c r="CN2" s="35"/>
      <c r="CO2" s="35"/>
      <c r="CP2" s="35"/>
      <c r="CQ2" s="35"/>
      <c r="CR2" s="35"/>
      <c r="CS2" s="35"/>
      <c r="CT2" s="35"/>
      <c r="CU2" s="35"/>
      <c r="CV2" s="35"/>
      <c r="CW2" s="35"/>
      <c r="CX2" s="35"/>
      <c r="CY2" s="35"/>
      <c r="CZ2" s="35"/>
      <c r="DA2" s="35"/>
      <c r="DB2" s="35"/>
      <c r="DC2" s="35"/>
      <c r="DD2" s="35"/>
      <c r="DE2" s="35"/>
      <c r="DF2" s="35"/>
      <c r="DG2" s="35"/>
      <c r="DH2" s="35"/>
      <c r="DI2" s="35"/>
      <c r="DJ2" s="35"/>
      <c r="DK2" s="35"/>
      <c r="DL2" s="35"/>
      <c r="DM2" s="35"/>
      <c r="DN2" s="35"/>
      <c r="DO2" s="35"/>
      <c r="DP2" s="35"/>
      <c r="DQ2" s="35"/>
      <c r="DR2" s="35"/>
      <c r="DS2" s="35"/>
      <c r="DT2" s="35"/>
      <c r="DU2" s="35"/>
      <c r="DV2" s="35"/>
      <c r="DW2" s="35"/>
      <c r="DX2" s="35"/>
      <c r="DY2" s="35"/>
      <c r="DZ2" s="35"/>
      <c r="EA2" s="35"/>
      <c r="EB2" s="35"/>
      <c r="EC2" s="35"/>
      <c r="ED2" s="35"/>
      <c r="EE2" s="35"/>
      <c r="EF2" s="35"/>
      <c r="EG2" s="35"/>
      <c r="EH2" s="35"/>
      <c r="EI2" s="35"/>
      <c r="EJ2" s="35"/>
      <c r="EK2" s="35"/>
      <c r="EL2" s="35"/>
      <c r="EM2" s="35"/>
      <c r="EN2" s="35"/>
      <c r="EO2" s="35"/>
      <c r="EP2" s="35"/>
      <c r="EQ2" s="35"/>
      <c r="ER2" s="35"/>
      <c r="ES2" s="35"/>
      <c r="ET2" s="35"/>
      <c r="EU2" s="35"/>
      <c r="EV2" s="35"/>
      <c r="EW2" s="35"/>
      <c r="EX2" s="35"/>
      <c r="EY2" s="35"/>
      <c r="EZ2" s="35"/>
      <c r="FA2" s="35"/>
      <c r="FB2" s="35"/>
      <c r="FC2" s="35"/>
      <c r="FD2" s="35"/>
      <c r="FE2" s="35"/>
      <c r="FF2" s="35"/>
      <c r="FG2" s="35"/>
      <c r="FH2" s="35"/>
      <c r="FI2" s="35"/>
      <c r="FJ2" s="35"/>
      <c r="FK2" s="35"/>
      <c r="FL2" s="35"/>
      <c r="FM2" s="35"/>
      <c r="FN2" s="35"/>
      <c r="FO2" s="35"/>
      <c r="FP2" s="35"/>
      <c r="FQ2" s="35"/>
      <c r="FR2" s="35"/>
      <c r="FS2" s="35"/>
      <c r="FT2" s="35"/>
      <c r="FU2" s="35"/>
      <c r="FV2" s="35"/>
      <c r="FW2" s="35"/>
      <c r="FX2" s="35"/>
      <c r="FY2" s="35"/>
      <c r="FZ2" s="35"/>
      <c r="GA2" s="35"/>
      <c r="GB2" s="35"/>
      <c r="GC2" s="35"/>
      <c r="GD2" s="35"/>
      <c r="GE2" s="35"/>
      <c r="GF2" s="35"/>
      <c r="GG2" s="35"/>
      <c r="GH2" s="35"/>
      <c r="GI2" s="35"/>
      <c r="GJ2" s="35"/>
      <c r="GK2" s="35"/>
      <c r="GL2" s="35"/>
      <c r="GM2" s="35"/>
      <c r="GN2" s="35"/>
      <c r="GO2" s="35"/>
      <c r="GP2" s="35"/>
      <c r="GQ2" s="35"/>
      <c r="GR2" s="35"/>
      <c r="GS2" s="35"/>
      <c r="GT2" s="35"/>
      <c r="GU2" s="35"/>
      <c r="GV2" s="35"/>
      <c r="GW2" s="35"/>
      <c r="GX2" s="35"/>
      <c r="GY2" s="35"/>
      <c r="GZ2" s="35"/>
      <c r="HA2" s="35"/>
      <c r="HB2" s="35"/>
      <c r="HC2" s="35"/>
      <c r="HD2" s="35"/>
      <c r="HE2" s="35"/>
      <c r="HF2" s="35"/>
      <c r="HG2" s="35"/>
      <c r="HH2" s="35"/>
      <c r="HI2" s="35"/>
      <c r="HJ2" s="35"/>
      <c r="HK2" s="35"/>
      <c r="HL2" s="35"/>
      <c r="HM2" s="35"/>
      <c r="HN2" s="35"/>
      <c r="HO2" s="35"/>
      <c r="HP2" s="35"/>
      <c r="HQ2" s="35"/>
      <c r="HR2" s="35"/>
      <c r="HS2" s="35"/>
      <c r="HT2" s="35"/>
      <c r="HU2" s="35"/>
      <c r="HV2" s="35"/>
      <c r="HW2" s="35"/>
      <c r="HX2" s="35"/>
      <c r="HY2" s="35"/>
      <c r="HZ2" s="35"/>
      <c r="IA2" s="35"/>
      <c r="IB2" s="35"/>
      <c r="IC2" s="35"/>
      <c r="ID2" s="35"/>
      <c r="IE2" s="35"/>
      <c r="IF2" s="35"/>
      <c r="IG2" s="35"/>
      <c r="IH2" s="35"/>
      <c r="II2" s="35"/>
      <c r="IJ2" s="35"/>
      <c r="IK2" s="35"/>
      <c r="IL2" s="35"/>
      <c r="IM2" s="35"/>
      <c r="IN2" s="35"/>
      <c r="IO2" s="35"/>
      <c r="IP2" s="35"/>
      <c r="IQ2" s="35"/>
      <c r="IR2" s="35"/>
      <c r="IS2" s="35"/>
      <c r="IT2" s="35"/>
      <c r="IU2" s="35"/>
      <c r="IV2" s="35"/>
      <c r="IW2" s="35"/>
      <c r="IX2" s="35"/>
      <c r="IY2" s="35"/>
      <c r="IZ2" s="35"/>
      <c r="JA2" s="35"/>
      <c r="JB2" s="35"/>
      <c r="JC2" s="35"/>
      <c r="JD2" s="35"/>
      <c r="JE2" s="35"/>
      <c r="JF2" s="35"/>
      <c r="JG2" s="35"/>
      <c r="JH2" s="35"/>
      <c r="JI2" s="35"/>
      <c r="JJ2" s="35"/>
      <c r="JK2" s="35"/>
      <c r="JL2" s="35"/>
      <c r="JM2" s="35"/>
      <c r="JN2" s="35"/>
      <c r="JO2" s="35"/>
      <c r="JP2" s="35"/>
      <c r="JQ2" s="35"/>
      <c r="JR2" s="35"/>
      <c r="JS2" s="35"/>
      <c r="JT2" s="35"/>
      <c r="JU2" s="35"/>
      <c r="JV2" s="35"/>
      <c r="JW2" s="35"/>
      <c r="JX2" s="35"/>
      <c r="JY2" s="35"/>
      <c r="JZ2" s="35"/>
      <c r="KA2" s="35"/>
      <c r="KB2" s="35"/>
      <c r="KC2" s="35"/>
      <c r="KD2" s="35"/>
      <c r="KE2" s="35"/>
      <c r="KF2" s="35"/>
      <c r="KG2" s="35"/>
      <c r="KH2" s="35"/>
      <c r="KI2" s="35"/>
      <c r="KJ2" s="35"/>
      <c r="KK2" s="35"/>
      <c r="KL2" s="35"/>
      <c r="KM2" s="35"/>
      <c r="KN2" s="35"/>
      <c r="KO2" s="35"/>
      <c r="KP2" s="35"/>
      <c r="KQ2" s="35"/>
      <c r="KR2" s="35"/>
      <c r="KS2" s="35"/>
      <c r="KT2" s="35"/>
      <c r="KU2" s="35"/>
      <c r="KV2" s="35"/>
      <c r="KW2" s="35"/>
      <c r="KX2" s="35"/>
      <c r="KY2" s="35"/>
      <c r="KZ2" s="35"/>
      <c r="LA2" s="35"/>
      <c r="LB2" s="35"/>
      <c r="LC2" s="35"/>
      <c r="LD2" s="35"/>
      <c r="LE2" s="35"/>
      <c r="LF2" s="35"/>
      <c r="LG2" s="35"/>
      <c r="LH2" s="35"/>
      <c r="LI2" s="35"/>
      <c r="LJ2" s="35"/>
      <c r="LK2" s="35"/>
      <c r="LL2" s="35"/>
      <c r="LM2" s="35"/>
      <c r="LN2" s="35"/>
      <c r="LO2" s="35"/>
      <c r="LP2" s="35"/>
      <c r="LQ2" s="35"/>
      <c r="LR2" s="35"/>
      <c r="LS2" s="35"/>
      <c r="LT2" s="35"/>
      <c r="LU2" s="35"/>
      <c r="LV2" s="35"/>
      <c r="LW2" s="35"/>
      <c r="LX2" s="35"/>
      <c r="LY2" s="35"/>
      <c r="LZ2" s="35"/>
      <c r="MA2" s="35"/>
      <c r="MB2" s="35"/>
      <c r="MC2" s="35"/>
      <c r="MD2" s="35"/>
      <c r="ME2" s="35"/>
      <c r="MF2" s="35"/>
      <c r="MG2" s="35"/>
      <c r="MH2" s="35"/>
      <c r="MI2" s="35"/>
      <c r="MJ2" s="35"/>
      <c r="MK2" s="35"/>
      <c r="ML2" s="35"/>
      <c r="MM2" s="35"/>
      <c r="MN2" s="35"/>
      <c r="MO2" s="35"/>
      <c r="MP2" s="35"/>
      <c r="MQ2" s="35"/>
      <c r="MR2" s="35"/>
      <c r="MS2" s="35"/>
      <c r="MT2" s="35"/>
      <c r="MU2" s="35"/>
      <c r="MV2" s="35"/>
      <c r="MW2" s="35"/>
      <c r="MX2" s="35"/>
      <c r="MY2" s="35"/>
      <c r="MZ2" s="35"/>
      <c r="NA2" s="35"/>
      <c r="NB2" s="35"/>
      <c r="NC2" s="35"/>
      <c r="ND2" s="35"/>
      <c r="NE2" s="35"/>
      <c r="NF2" s="35"/>
      <c r="NG2" s="35"/>
      <c r="NH2" s="35"/>
      <c r="NI2" s="35"/>
      <c r="NJ2" s="35"/>
      <c r="NK2" s="35"/>
      <c r="NL2" s="35"/>
      <c r="NM2" s="35"/>
      <c r="NN2" s="35"/>
      <c r="NO2" s="35"/>
      <c r="NP2" s="35"/>
      <c r="NQ2" s="35"/>
      <c r="NR2" s="35"/>
      <c r="NS2" s="35"/>
      <c r="NT2" s="35"/>
      <c r="NU2" s="35"/>
      <c r="NV2" s="35"/>
      <c r="NW2" s="35"/>
      <c r="NX2" s="35"/>
      <c r="NY2" s="35"/>
      <c r="NZ2" s="35"/>
      <c r="OA2" s="35"/>
      <c r="OB2" s="35"/>
      <c r="OC2" s="35"/>
      <c r="OD2" s="35"/>
      <c r="OE2" s="35"/>
      <c r="OF2" s="35"/>
      <c r="OG2" s="35"/>
      <c r="OH2" s="35"/>
      <c r="OI2" s="35"/>
      <c r="OJ2" s="35"/>
      <c r="OK2" s="35"/>
      <c r="OL2" s="35"/>
      <c r="OM2" s="35"/>
      <c r="ON2" s="35"/>
      <c r="OO2" s="35"/>
      <c r="OP2" s="35"/>
      <c r="OQ2" s="35"/>
      <c r="OR2" s="35"/>
      <c r="OS2" s="35"/>
      <c r="OT2" s="35"/>
      <c r="OU2" s="35"/>
      <c r="OV2" s="35"/>
      <c r="OW2" s="35"/>
      <c r="OX2" s="35"/>
      <c r="OY2" s="35"/>
      <c r="OZ2" s="35"/>
      <c r="PA2" s="35"/>
      <c r="PB2" s="35"/>
      <c r="PC2" s="35"/>
      <c r="PD2" s="35"/>
      <c r="PE2" s="35"/>
      <c r="PF2" s="35"/>
      <c r="PG2" s="35"/>
      <c r="PH2" s="35"/>
      <c r="PI2" s="35"/>
      <c r="PJ2" s="35"/>
      <c r="PK2" s="35"/>
      <c r="PL2" s="35"/>
      <c r="PM2" s="35"/>
      <c r="PN2" s="35"/>
      <c r="PO2" s="35"/>
      <c r="PP2" s="35"/>
      <c r="PQ2" s="35"/>
      <c r="PR2" s="35"/>
      <c r="PS2" s="35"/>
      <c r="PT2" s="35"/>
      <c r="PU2" s="35"/>
      <c r="PV2" s="35"/>
      <c r="PW2" s="35"/>
      <c r="PX2" s="35"/>
      <c r="PY2" s="35"/>
      <c r="PZ2" s="35"/>
      <c r="QA2" s="35"/>
      <c r="QB2" s="35"/>
      <c r="QC2" s="35"/>
      <c r="QD2" s="35"/>
      <c r="QE2" s="35"/>
      <c r="QF2" s="35"/>
      <c r="QG2" s="35"/>
      <c r="QH2" s="35"/>
      <c r="QI2" s="35"/>
      <c r="QJ2" s="35"/>
      <c r="QK2" s="35"/>
      <c r="QL2" s="35"/>
      <c r="QM2" s="35"/>
      <c r="QN2" s="35"/>
      <c r="QO2" s="35"/>
      <c r="QP2" s="35"/>
      <c r="QQ2" s="35"/>
      <c r="QR2" s="35"/>
      <c r="QS2" s="35"/>
      <c r="QT2" s="35"/>
      <c r="QU2" s="35"/>
      <c r="QV2" s="35"/>
      <c r="QW2" s="35"/>
      <c r="QX2" s="35"/>
      <c r="QY2" s="35"/>
      <c r="QZ2" s="35"/>
      <c r="RA2" s="35"/>
      <c r="RB2" s="35"/>
      <c r="RC2" s="35"/>
      <c r="RD2" s="35"/>
      <c r="RE2" s="35"/>
      <c r="RF2" s="35"/>
      <c r="RG2" s="35"/>
      <c r="RH2" s="35"/>
      <c r="RI2" s="35"/>
      <c r="RJ2" s="35"/>
      <c r="RK2" s="35"/>
      <c r="RL2" s="35"/>
      <c r="RM2" s="35"/>
      <c r="RN2" s="35"/>
      <c r="RO2" s="35"/>
      <c r="RP2" s="35"/>
      <c r="RQ2" s="35"/>
      <c r="RR2" s="35"/>
      <c r="RS2" s="35"/>
      <c r="RT2" s="35"/>
      <c r="RU2" s="35"/>
      <c r="RV2" s="35"/>
      <c r="RW2" s="35"/>
      <c r="RX2" s="35"/>
      <c r="RY2" s="35"/>
      <c r="RZ2" s="35"/>
      <c r="SA2" s="35"/>
      <c r="SB2" s="35"/>
      <c r="SC2" s="35"/>
      <c r="SD2" s="35"/>
      <c r="SE2" s="35"/>
      <c r="SF2" s="35"/>
      <c r="SG2" s="35"/>
      <c r="SH2" s="35"/>
      <c r="SI2" s="35"/>
      <c r="SJ2" s="35"/>
      <c r="SK2" s="35"/>
      <c r="SL2" s="35"/>
      <c r="SM2" s="35"/>
      <c r="SN2" s="35"/>
      <c r="SO2" s="35"/>
      <c r="SP2" s="35"/>
      <c r="SQ2" s="35"/>
      <c r="SR2" s="35"/>
      <c r="SS2" s="35"/>
      <c r="ST2" s="35"/>
      <c r="SU2" s="35"/>
      <c r="SV2" s="35"/>
      <c r="SW2" s="35"/>
      <c r="SX2" s="35"/>
      <c r="SY2" s="35"/>
      <c r="SZ2" s="35"/>
      <c r="TA2" s="35"/>
      <c r="TB2" s="35"/>
      <c r="TC2" s="35"/>
      <c r="TD2" s="35"/>
      <c r="TE2" s="35"/>
      <c r="TF2" s="35"/>
      <c r="TG2" s="35"/>
      <c r="TH2" s="35"/>
      <c r="TI2" s="35"/>
      <c r="TJ2" s="35"/>
      <c r="TK2" s="35"/>
      <c r="TL2" s="35"/>
      <c r="TM2" s="35"/>
      <c r="TN2" s="35"/>
      <c r="TO2" s="35"/>
      <c r="TP2" s="35"/>
      <c r="TQ2" s="35"/>
      <c r="TR2" s="35"/>
      <c r="TS2" s="35"/>
      <c r="TT2" s="35"/>
      <c r="TU2" s="35"/>
      <c r="TV2" s="35"/>
      <c r="TW2" s="35"/>
      <c r="TX2" s="35"/>
      <c r="TY2" s="35"/>
      <c r="TZ2" s="35"/>
      <c r="UA2" s="35"/>
      <c r="UB2" s="35"/>
      <c r="UC2" s="35"/>
      <c r="UD2" s="35"/>
      <c r="UE2" s="35"/>
      <c r="UF2" s="35"/>
      <c r="UG2" s="35"/>
      <c r="UH2" s="35"/>
      <c r="UI2" s="35"/>
      <c r="UJ2" s="35"/>
      <c r="UK2" s="35"/>
      <c r="UL2" s="35"/>
      <c r="UM2" s="35"/>
      <c r="UN2" s="35"/>
      <c r="UO2" s="35"/>
      <c r="UP2" s="35"/>
      <c r="UQ2" s="35"/>
      <c r="UR2" s="35"/>
      <c r="US2" s="35"/>
      <c r="UT2" s="35"/>
      <c r="UU2" s="35"/>
      <c r="UV2" s="35"/>
      <c r="UW2" s="35"/>
      <c r="UX2" s="35"/>
      <c r="UY2" s="35"/>
      <c r="UZ2" s="35"/>
      <c r="VA2" s="35"/>
      <c r="VB2" s="35"/>
      <c r="VC2" s="35"/>
      <c r="VD2" s="35"/>
      <c r="VE2" s="35"/>
      <c r="VF2" s="35"/>
      <c r="VG2" s="35"/>
      <c r="VH2" s="35"/>
      <c r="VI2" s="35"/>
      <c r="VJ2" s="35"/>
      <c r="VK2" s="35"/>
      <c r="VL2" s="35"/>
      <c r="VM2" s="35"/>
      <c r="VN2" s="35"/>
      <c r="VO2" s="35"/>
      <c r="VP2" s="35"/>
      <c r="VQ2" s="35"/>
      <c r="VR2" s="35"/>
      <c r="VS2" s="35"/>
      <c r="VT2" s="35"/>
      <c r="VU2" s="35"/>
      <c r="VV2" s="35"/>
      <c r="VW2" s="35"/>
      <c r="VX2" s="35"/>
      <c r="VY2" s="35"/>
      <c r="VZ2" s="35"/>
      <c r="WA2" s="35"/>
      <c r="WB2" s="35"/>
      <c r="WC2" s="35"/>
      <c r="WD2" s="35"/>
      <c r="WE2" s="35"/>
      <c r="WF2" s="35"/>
      <c r="WG2" s="35"/>
      <c r="WH2" s="35"/>
      <c r="WI2" s="35"/>
      <c r="WJ2" s="35"/>
      <c r="WK2" s="35"/>
      <c r="WL2" s="35"/>
      <c r="WM2" s="35"/>
      <c r="WN2" s="35"/>
      <c r="WO2" s="35"/>
      <c r="WP2" s="35"/>
      <c r="WQ2" s="35"/>
      <c r="WR2" s="35"/>
      <c r="WS2" s="35"/>
      <c r="WT2" s="35"/>
      <c r="WU2" s="35"/>
      <c r="WV2" s="35"/>
      <c r="WW2" s="35"/>
      <c r="WX2" s="35"/>
      <c r="WY2" s="35"/>
      <c r="WZ2" s="35"/>
      <c r="XA2" s="35"/>
      <c r="XB2" s="35"/>
      <c r="XC2" s="35"/>
      <c r="XD2" s="35"/>
      <c r="XE2" s="35"/>
      <c r="XF2" s="35"/>
      <c r="XG2" s="35"/>
      <c r="XH2" s="35"/>
      <c r="XI2" s="35"/>
      <c r="XJ2" s="35"/>
      <c r="XK2" s="35"/>
      <c r="XL2" s="35"/>
      <c r="XM2" s="35"/>
      <c r="XN2" s="35"/>
      <c r="XO2" s="35"/>
      <c r="XP2" s="35"/>
      <c r="XQ2" s="35"/>
      <c r="XR2" s="35"/>
      <c r="XS2" s="35"/>
      <c r="XT2" s="35"/>
      <c r="XU2" s="35"/>
      <c r="XV2" s="35"/>
      <c r="XW2" s="35"/>
      <c r="XX2" s="35"/>
      <c r="XY2" s="35"/>
      <c r="XZ2" s="35"/>
      <c r="YA2" s="35"/>
      <c r="YB2" s="35"/>
      <c r="YC2" s="35"/>
      <c r="YD2" s="35"/>
      <c r="YE2" s="35"/>
      <c r="YF2" s="35"/>
      <c r="YG2" s="35"/>
      <c r="YH2" s="35"/>
      <c r="YI2" s="35"/>
      <c r="YJ2" s="35"/>
      <c r="YK2" s="35"/>
      <c r="YL2" s="35"/>
      <c r="YM2" s="35"/>
      <c r="YN2" s="35"/>
      <c r="YO2" s="35"/>
      <c r="YP2" s="35"/>
      <c r="YQ2" s="35"/>
      <c r="YR2" s="35"/>
      <c r="YS2" s="35"/>
      <c r="YT2" s="35"/>
      <c r="YU2" s="35"/>
      <c r="YV2" s="35"/>
      <c r="YW2" s="35"/>
      <c r="YX2" s="35"/>
      <c r="YY2" s="35"/>
      <c r="YZ2" s="35"/>
      <c r="ZA2" s="35"/>
      <c r="ZB2" s="35"/>
      <c r="ZC2" s="35"/>
      <c r="ZD2" s="35"/>
      <c r="ZE2" s="35"/>
      <c r="ZF2" s="35"/>
      <c r="ZG2" s="35"/>
      <c r="ZH2" s="35"/>
      <c r="ZI2" s="35"/>
      <c r="ZJ2" s="35"/>
      <c r="ZK2" s="35"/>
      <c r="ZL2" s="35"/>
      <c r="ZM2" s="35"/>
      <c r="ZN2" s="35"/>
      <c r="ZO2" s="35"/>
      <c r="ZP2" s="35"/>
      <c r="ZQ2" s="35"/>
      <c r="ZR2" s="35"/>
      <c r="ZS2" s="35"/>
      <c r="ZT2" s="35"/>
      <c r="ZU2" s="35"/>
      <c r="ZV2" s="35"/>
      <c r="ZW2" s="35"/>
      <c r="ZX2" s="35"/>
      <c r="ZY2" s="35"/>
      <c r="ZZ2" s="35"/>
      <c r="AAA2" s="35"/>
      <c r="AAB2" s="35"/>
      <c r="AAC2" s="35"/>
      <c r="AAD2" s="35"/>
      <c r="AAE2" s="35"/>
      <c r="AAF2" s="35"/>
      <c r="AAG2" s="35"/>
      <c r="AAH2" s="35"/>
      <c r="AAI2" s="35"/>
      <c r="AAJ2" s="35"/>
      <c r="AAK2" s="35"/>
      <c r="AAL2" s="35"/>
      <c r="AAM2" s="35"/>
      <c r="AAN2" s="35"/>
      <c r="AAO2" s="35"/>
      <c r="AAP2" s="35"/>
      <c r="AAQ2" s="35"/>
      <c r="AAR2" s="35"/>
      <c r="AAS2" s="35"/>
      <c r="AAT2" s="35"/>
      <c r="AAU2" s="35"/>
      <c r="AAV2" s="35"/>
      <c r="AAW2" s="35"/>
      <c r="AAX2" s="35"/>
      <c r="AAY2" s="35"/>
      <c r="AAZ2" s="35"/>
      <c r="ABA2" s="35"/>
      <c r="ABB2" s="35"/>
      <c r="ABC2" s="35"/>
      <c r="ABD2" s="35"/>
      <c r="ABE2" s="35"/>
      <c r="ABF2" s="35"/>
      <c r="ABG2" s="35"/>
      <c r="ABH2" s="35"/>
      <c r="ABI2" s="35"/>
      <c r="ABJ2" s="35"/>
      <c r="ABK2" s="35"/>
      <c r="ABL2" s="35"/>
      <c r="ABM2" s="35"/>
      <c r="ABN2" s="35"/>
      <c r="ABO2" s="35"/>
      <c r="ABP2" s="35"/>
      <c r="ABQ2" s="35"/>
      <c r="ABR2" s="35"/>
      <c r="ABS2" s="35"/>
      <c r="ABT2" s="35"/>
      <c r="ABU2" s="35"/>
      <c r="ABV2" s="35"/>
      <c r="ABW2" s="35"/>
      <c r="ABX2" s="35"/>
      <c r="ABY2" s="35"/>
      <c r="ABZ2" s="35"/>
      <c r="ACA2" s="35"/>
      <c r="ACB2" s="35"/>
      <c r="ACC2" s="35"/>
      <c r="ACD2" s="35"/>
      <c r="ACE2" s="35"/>
      <c r="ACF2" s="35"/>
      <c r="ACG2" s="35"/>
      <c r="ACH2" s="35"/>
      <c r="ACI2" s="35"/>
      <c r="ACJ2" s="35"/>
      <c r="ACK2" s="35"/>
      <c r="ACL2" s="35"/>
      <c r="ACM2" s="35"/>
      <c r="ACN2" s="35"/>
      <c r="ACO2" s="35"/>
      <c r="ACP2" s="35"/>
      <c r="ACQ2" s="35"/>
      <c r="ACR2" s="35"/>
      <c r="ACS2" s="35"/>
      <c r="ACT2" s="35"/>
      <c r="ACU2" s="35"/>
      <c r="ACV2" s="35"/>
      <c r="ACW2" s="35"/>
      <c r="ACX2" s="35"/>
      <c r="ACY2" s="35"/>
      <c r="ACZ2" s="35"/>
      <c r="ADA2" s="35"/>
      <c r="ADB2" s="35"/>
      <c r="ADC2" s="35"/>
      <c r="ADD2" s="35"/>
      <c r="ADE2" s="35"/>
      <c r="ADF2" s="35"/>
      <c r="ADG2" s="35"/>
      <c r="ADH2" s="35"/>
      <c r="ADI2" s="35"/>
      <c r="ADJ2" s="35"/>
      <c r="ADK2" s="35"/>
      <c r="ADL2" s="35"/>
      <c r="ADM2" s="35"/>
      <c r="ADN2" s="35"/>
      <c r="ADO2" s="35"/>
      <c r="ADP2" s="35"/>
      <c r="ADQ2" s="35"/>
      <c r="ADR2" s="35"/>
      <c r="ADS2" s="35"/>
      <c r="ADT2" s="35"/>
      <c r="ADU2" s="35"/>
      <c r="ADV2" s="35"/>
      <c r="ADW2" s="35"/>
      <c r="ADX2" s="35"/>
      <c r="ADY2" s="35"/>
      <c r="ADZ2" s="35"/>
      <c r="AEA2" s="35"/>
      <c r="AEB2" s="35"/>
      <c r="AEC2" s="35"/>
      <c r="AED2" s="35"/>
      <c r="AEE2" s="35"/>
      <c r="AEF2" s="35"/>
      <c r="AEG2" s="35"/>
      <c r="AEH2" s="35"/>
      <c r="AEI2" s="35"/>
      <c r="AEJ2" s="35"/>
      <c r="AEK2" s="35"/>
      <c r="AEL2" s="35"/>
      <c r="AEM2" s="35"/>
      <c r="AEN2" s="35"/>
      <c r="AEO2" s="35"/>
      <c r="AEP2" s="35"/>
      <c r="AEQ2" s="35"/>
      <c r="AER2" s="35"/>
      <c r="AES2" s="35"/>
      <c r="AET2" s="35"/>
      <c r="AEU2" s="35"/>
      <c r="AEV2" s="35"/>
      <c r="AEW2" s="35"/>
      <c r="AEX2" s="35"/>
      <c r="AEY2" s="35"/>
      <c r="AEZ2" s="35"/>
      <c r="AFA2" s="35"/>
      <c r="AFB2" s="35"/>
      <c r="AFC2" s="35"/>
      <c r="AFD2" s="35"/>
      <c r="AFE2" s="35"/>
      <c r="AFF2" s="35"/>
      <c r="AFG2" s="35"/>
      <c r="AFH2" s="35"/>
      <c r="AFI2" s="35"/>
      <c r="AFJ2" s="35"/>
      <c r="AFK2" s="35"/>
      <c r="AFL2" s="35"/>
      <c r="AFM2" s="35"/>
      <c r="AFN2" s="35"/>
      <c r="AFO2" s="35"/>
      <c r="AFP2" s="35"/>
      <c r="AFQ2" s="35"/>
      <c r="AFR2" s="35"/>
      <c r="AFS2" s="35"/>
      <c r="AFT2" s="35"/>
      <c r="AFU2" s="35"/>
      <c r="AFV2" s="35"/>
      <c r="AFW2" s="35"/>
      <c r="AFX2" s="35"/>
      <c r="AFY2" s="35"/>
      <c r="AFZ2" s="35"/>
      <c r="AGA2" s="35"/>
      <c r="AGB2" s="35"/>
      <c r="AGC2" s="35"/>
      <c r="AGD2" s="35"/>
      <c r="AGE2" s="35"/>
      <c r="AGF2" s="35"/>
      <c r="AGG2" s="35"/>
      <c r="AGH2" s="35"/>
      <c r="AGI2" s="35"/>
      <c r="AGJ2" s="35"/>
      <c r="AGK2" s="35"/>
      <c r="AGL2" s="35"/>
      <c r="AGM2" s="35"/>
      <c r="AGN2" s="35"/>
      <c r="AGO2" s="35"/>
      <c r="AGP2" s="35"/>
      <c r="AGQ2" s="35"/>
      <c r="AGR2" s="35"/>
      <c r="AGS2" s="35"/>
      <c r="AGT2" s="35"/>
      <c r="AGU2" s="35"/>
      <c r="AGV2" s="35"/>
      <c r="AGW2" s="35"/>
      <c r="AGX2" s="35"/>
      <c r="AGY2" s="35"/>
      <c r="AGZ2" s="35"/>
      <c r="AHA2" s="35"/>
      <c r="AHB2" s="35"/>
      <c r="AHC2" s="35"/>
      <c r="AHD2" s="35"/>
      <c r="AHE2" s="35"/>
      <c r="AHF2" s="35"/>
      <c r="AHG2" s="35"/>
      <c r="AHH2" s="35"/>
      <c r="AHI2" s="35"/>
      <c r="AHJ2" s="35"/>
      <c r="AHK2" s="35"/>
      <c r="AHL2" s="35"/>
      <c r="AHM2" s="35"/>
      <c r="AHN2" s="35"/>
      <c r="AHO2" s="35"/>
      <c r="AHP2" s="35"/>
      <c r="AHQ2" s="35"/>
      <c r="AHR2" s="35"/>
      <c r="AHS2" s="35"/>
      <c r="AHT2" s="35"/>
      <c r="AHU2" s="35"/>
      <c r="AHV2" s="35"/>
      <c r="AHW2" s="35"/>
      <c r="AHX2" s="35"/>
      <c r="AHY2" s="35"/>
      <c r="AHZ2" s="35"/>
      <c r="AIA2" s="35"/>
      <c r="AIB2" s="35"/>
      <c r="AIC2" s="35"/>
      <c r="AID2" s="35"/>
      <c r="AIE2" s="35"/>
      <c r="AIF2" s="35"/>
      <c r="AIG2" s="35"/>
      <c r="AIH2" s="35"/>
      <c r="AII2" s="35"/>
      <c r="AIJ2" s="35"/>
      <c r="AIK2" s="35"/>
      <c r="AIL2" s="35"/>
      <c r="AIM2" s="35"/>
      <c r="AIN2" s="35"/>
      <c r="AIO2" s="35"/>
      <c r="AIP2" s="35"/>
      <c r="AIQ2" s="35"/>
      <c r="AIR2" s="35"/>
      <c r="AIS2" s="35"/>
      <c r="AIT2" s="35"/>
      <c r="AIU2" s="35"/>
      <c r="AIV2" s="35"/>
      <c r="AIW2" s="35"/>
      <c r="AIX2" s="35"/>
      <c r="AIY2" s="35"/>
      <c r="AIZ2" s="35"/>
      <c r="AJA2" s="35"/>
      <c r="AJB2" s="35"/>
      <c r="AJC2" s="35"/>
      <c r="AJD2" s="35"/>
      <c r="AJE2" s="35"/>
      <c r="AJF2" s="35"/>
      <c r="AJG2" s="35"/>
      <c r="AJH2" s="35"/>
      <c r="AJI2" s="35"/>
      <c r="AJJ2" s="35"/>
      <c r="AJK2" s="35"/>
      <c r="AJL2" s="35"/>
      <c r="AJM2" s="35"/>
      <c r="AJN2" s="35"/>
      <c r="AJO2" s="35"/>
      <c r="AJP2" s="35"/>
      <c r="AJQ2" s="35"/>
      <c r="AJR2" s="35"/>
      <c r="AJS2" s="35"/>
      <c r="AJT2" s="35"/>
      <c r="AJU2" s="35"/>
      <c r="AJV2" s="35"/>
      <c r="AJW2" s="35"/>
      <c r="AJX2" s="35"/>
      <c r="AJY2" s="35"/>
      <c r="AJZ2" s="35"/>
      <c r="AKA2" s="35"/>
      <c r="AKB2" s="35"/>
      <c r="AKC2" s="35"/>
      <c r="AKD2" s="35"/>
      <c r="AKE2" s="35"/>
      <c r="AKF2" s="35"/>
      <c r="AKG2" s="35"/>
      <c r="AKH2" s="35"/>
      <c r="AKI2" s="35"/>
      <c r="AKJ2" s="35"/>
      <c r="AKK2" s="35"/>
      <c r="AKL2" s="35"/>
      <c r="AKM2" s="35"/>
      <c r="AKN2" s="35"/>
      <c r="AKO2" s="35"/>
      <c r="AKP2" s="35"/>
      <c r="AKQ2" s="35"/>
      <c r="AKR2" s="35"/>
      <c r="AKS2" s="35"/>
    </row>
    <row r="3" customFormat="false" ht="12.8" hidden="true" customHeight="true" outlineLevel="1" collapsed="false">
      <c r="A3" s="30"/>
      <c r="B3" s="33"/>
      <c r="C3" s="33"/>
      <c r="D3" s="33"/>
      <c r="E3" s="33"/>
      <c r="F3" s="33"/>
      <c r="G3" s="33"/>
      <c r="H3" s="31"/>
      <c r="I3" s="31"/>
      <c r="J3" s="34"/>
      <c r="K3" s="31"/>
      <c r="L3" s="31"/>
      <c r="M3" s="33"/>
      <c r="N3" s="31"/>
      <c r="O3" s="31" t="s">
        <v>364</v>
      </c>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35"/>
      <c r="BA3" s="35"/>
      <c r="BB3" s="35"/>
      <c r="BC3" s="35"/>
      <c r="BD3" s="35"/>
      <c r="BE3" s="35"/>
      <c r="BF3" s="35"/>
      <c r="BG3" s="35"/>
      <c r="BH3" s="35"/>
      <c r="BI3" s="35"/>
      <c r="BJ3" s="35"/>
      <c r="BK3" s="35"/>
      <c r="BL3" s="35"/>
      <c r="BM3" s="35"/>
      <c r="BN3" s="35"/>
      <c r="BO3" s="35"/>
      <c r="BP3" s="35"/>
      <c r="BQ3" s="35"/>
      <c r="BR3" s="35"/>
      <c r="BS3" s="35"/>
      <c r="BT3" s="35"/>
      <c r="BU3" s="35"/>
      <c r="BV3" s="35"/>
      <c r="BW3" s="35"/>
      <c r="BX3" s="35"/>
      <c r="BY3" s="35"/>
      <c r="BZ3" s="35"/>
      <c r="CA3" s="35"/>
      <c r="CB3" s="35"/>
      <c r="CC3" s="35"/>
      <c r="CD3" s="35"/>
      <c r="CE3" s="35"/>
      <c r="CF3" s="35"/>
      <c r="CG3" s="35"/>
      <c r="CH3" s="35"/>
      <c r="CI3" s="35"/>
      <c r="CJ3" s="35"/>
      <c r="CK3" s="35"/>
      <c r="CL3" s="35"/>
      <c r="CM3" s="35"/>
      <c r="CN3" s="35"/>
      <c r="CO3" s="35"/>
      <c r="CP3" s="35"/>
      <c r="CQ3" s="35"/>
      <c r="CR3" s="35"/>
      <c r="CS3" s="35"/>
      <c r="CT3" s="35"/>
      <c r="CU3" s="35"/>
      <c r="CV3" s="35"/>
      <c r="CW3" s="35"/>
      <c r="CX3" s="35"/>
      <c r="CY3" s="35"/>
      <c r="CZ3" s="35"/>
      <c r="DA3" s="35"/>
      <c r="DB3" s="35"/>
      <c r="DC3" s="35"/>
      <c r="DD3" s="35"/>
      <c r="DE3" s="35"/>
      <c r="DF3" s="35"/>
      <c r="DG3" s="35"/>
      <c r="DH3" s="35"/>
      <c r="DI3" s="35"/>
      <c r="DJ3" s="35"/>
      <c r="DK3" s="35"/>
      <c r="DL3" s="35"/>
      <c r="DM3" s="35"/>
      <c r="DN3" s="35"/>
      <c r="DO3" s="35"/>
      <c r="DP3" s="35"/>
      <c r="DQ3" s="35"/>
      <c r="DR3" s="35"/>
      <c r="DS3" s="35"/>
      <c r="DT3" s="35"/>
      <c r="DU3" s="35"/>
      <c r="DV3" s="35"/>
      <c r="DW3" s="35"/>
      <c r="DX3" s="35"/>
      <c r="DY3" s="35"/>
      <c r="DZ3" s="35"/>
      <c r="EA3" s="35"/>
      <c r="EB3" s="35"/>
      <c r="EC3" s="35"/>
      <c r="ED3" s="35"/>
      <c r="EE3" s="35"/>
      <c r="EF3" s="35"/>
      <c r="EG3" s="35"/>
      <c r="EH3" s="35"/>
      <c r="EI3" s="35"/>
      <c r="EJ3" s="35"/>
      <c r="EK3" s="35"/>
      <c r="EL3" s="35"/>
      <c r="EM3" s="35"/>
      <c r="EN3" s="35"/>
      <c r="EO3" s="35"/>
      <c r="EP3" s="35"/>
      <c r="EQ3" s="35"/>
      <c r="ER3" s="35"/>
      <c r="ES3" s="35"/>
      <c r="ET3" s="35"/>
      <c r="EU3" s="35"/>
      <c r="EV3" s="35"/>
      <c r="EW3" s="35"/>
      <c r="EX3" s="35"/>
      <c r="EY3" s="35"/>
      <c r="EZ3" s="35"/>
      <c r="FA3" s="35"/>
      <c r="FB3" s="35"/>
      <c r="FC3" s="35"/>
      <c r="FD3" s="35"/>
      <c r="FE3" s="35"/>
      <c r="FF3" s="35"/>
      <c r="FG3" s="35"/>
      <c r="FH3" s="35"/>
      <c r="FI3" s="35"/>
      <c r="FJ3" s="35"/>
      <c r="FK3" s="35"/>
      <c r="FL3" s="35"/>
      <c r="FM3" s="35"/>
      <c r="FN3" s="35"/>
      <c r="FO3" s="35"/>
      <c r="FP3" s="35"/>
      <c r="FQ3" s="35"/>
      <c r="FR3" s="35"/>
      <c r="FS3" s="35"/>
      <c r="FT3" s="35"/>
      <c r="FU3" s="35"/>
      <c r="FV3" s="35"/>
      <c r="FW3" s="35"/>
      <c r="FX3" s="35"/>
      <c r="FY3" s="35"/>
      <c r="FZ3" s="35"/>
      <c r="GA3" s="35"/>
      <c r="GB3" s="35"/>
      <c r="GC3" s="35"/>
      <c r="GD3" s="35"/>
      <c r="GE3" s="35"/>
      <c r="GF3" s="35"/>
      <c r="GG3" s="35"/>
      <c r="GH3" s="35"/>
      <c r="GI3" s="35"/>
      <c r="GJ3" s="35"/>
      <c r="GK3" s="35"/>
      <c r="GL3" s="35"/>
      <c r="GM3" s="35"/>
      <c r="GN3" s="35"/>
      <c r="GO3" s="35"/>
      <c r="GP3" s="35"/>
      <c r="GQ3" s="35"/>
      <c r="GR3" s="35"/>
      <c r="GS3" s="35"/>
      <c r="GT3" s="35"/>
      <c r="GU3" s="35"/>
      <c r="GV3" s="35"/>
      <c r="GW3" s="35"/>
      <c r="GX3" s="35"/>
      <c r="GY3" s="35"/>
      <c r="GZ3" s="35"/>
      <c r="HA3" s="35"/>
      <c r="HB3" s="35"/>
      <c r="HC3" s="35"/>
      <c r="HD3" s="35"/>
      <c r="HE3" s="35"/>
      <c r="HF3" s="35"/>
      <c r="HG3" s="35"/>
      <c r="HH3" s="35"/>
      <c r="HI3" s="35"/>
      <c r="HJ3" s="35"/>
      <c r="HK3" s="35"/>
      <c r="HL3" s="35"/>
      <c r="HM3" s="35"/>
      <c r="HN3" s="35"/>
      <c r="HO3" s="35"/>
      <c r="HP3" s="35"/>
      <c r="HQ3" s="35"/>
      <c r="HR3" s="35"/>
      <c r="HS3" s="35"/>
      <c r="HT3" s="35"/>
      <c r="HU3" s="35"/>
      <c r="HV3" s="35"/>
      <c r="HW3" s="35"/>
      <c r="HX3" s="35"/>
      <c r="HY3" s="35"/>
      <c r="HZ3" s="35"/>
      <c r="IA3" s="35"/>
      <c r="IB3" s="35"/>
      <c r="IC3" s="35"/>
      <c r="ID3" s="35"/>
      <c r="IE3" s="35"/>
      <c r="IF3" s="35"/>
      <c r="IG3" s="35"/>
      <c r="IH3" s="35"/>
      <c r="II3" s="35"/>
      <c r="IJ3" s="35"/>
      <c r="IK3" s="35"/>
      <c r="IL3" s="35"/>
      <c r="IM3" s="35"/>
      <c r="IN3" s="35"/>
      <c r="IO3" s="35"/>
      <c r="IP3" s="35"/>
      <c r="IQ3" s="35"/>
      <c r="IR3" s="35"/>
      <c r="IS3" s="35"/>
      <c r="IT3" s="35"/>
      <c r="IU3" s="35"/>
      <c r="IV3" s="35"/>
      <c r="IW3" s="35"/>
      <c r="IX3" s="35"/>
      <c r="IY3" s="35"/>
      <c r="IZ3" s="35"/>
      <c r="JA3" s="35"/>
      <c r="JB3" s="35"/>
      <c r="JC3" s="35"/>
      <c r="JD3" s="35"/>
      <c r="JE3" s="35"/>
      <c r="JF3" s="35"/>
      <c r="JG3" s="35"/>
      <c r="JH3" s="35"/>
      <c r="JI3" s="35"/>
      <c r="JJ3" s="35"/>
      <c r="JK3" s="35"/>
      <c r="JL3" s="35"/>
      <c r="JM3" s="35"/>
      <c r="JN3" s="35"/>
      <c r="JO3" s="35"/>
      <c r="JP3" s="35"/>
      <c r="JQ3" s="35"/>
      <c r="JR3" s="35"/>
      <c r="JS3" s="35"/>
      <c r="JT3" s="35"/>
      <c r="JU3" s="35"/>
      <c r="JV3" s="35"/>
      <c r="JW3" s="35"/>
      <c r="JX3" s="35"/>
      <c r="JY3" s="35"/>
      <c r="JZ3" s="35"/>
      <c r="KA3" s="35"/>
      <c r="KB3" s="35"/>
      <c r="KC3" s="35"/>
      <c r="KD3" s="35"/>
      <c r="KE3" s="35"/>
      <c r="KF3" s="35"/>
      <c r="KG3" s="35"/>
      <c r="KH3" s="35"/>
      <c r="KI3" s="35"/>
      <c r="KJ3" s="35"/>
      <c r="KK3" s="35"/>
      <c r="KL3" s="35"/>
      <c r="KM3" s="35"/>
      <c r="KN3" s="35"/>
      <c r="KO3" s="35"/>
      <c r="KP3" s="35"/>
      <c r="KQ3" s="35"/>
      <c r="KR3" s="35"/>
      <c r="KS3" s="35"/>
      <c r="KT3" s="35"/>
      <c r="KU3" s="35"/>
      <c r="KV3" s="35"/>
      <c r="KW3" s="35"/>
      <c r="KX3" s="35"/>
      <c r="KY3" s="35"/>
      <c r="KZ3" s="35"/>
      <c r="LA3" s="35"/>
      <c r="LB3" s="35"/>
      <c r="LC3" s="35"/>
      <c r="LD3" s="35"/>
      <c r="LE3" s="35"/>
      <c r="LF3" s="35"/>
      <c r="LG3" s="35"/>
      <c r="LH3" s="35"/>
      <c r="LI3" s="35"/>
      <c r="LJ3" s="35"/>
      <c r="LK3" s="35"/>
      <c r="LL3" s="35"/>
      <c r="LM3" s="35"/>
      <c r="LN3" s="35"/>
      <c r="LO3" s="35"/>
      <c r="LP3" s="35"/>
      <c r="LQ3" s="35"/>
      <c r="LR3" s="35"/>
      <c r="LS3" s="35"/>
      <c r="LT3" s="35"/>
      <c r="LU3" s="35"/>
      <c r="LV3" s="35"/>
      <c r="LW3" s="35"/>
      <c r="LX3" s="35"/>
      <c r="LY3" s="35"/>
      <c r="LZ3" s="35"/>
      <c r="MA3" s="35"/>
      <c r="MB3" s="35"/>
      <c r="MC3" s="35"/>
      <c r="MD3" s="35"/>
      <c r="ME3" s="35"/>
      <c r="MF3" s="35"/>
      <c r="MG3" s="35"/>
      <c r="MH3" s="35"/>
      <c r="MI3" s="35"/>
      <c r="MJ3" s="35"/>
      <c r="MK3" s="35"/>
      <c r="ML3" s="35"/>
      <c r="MM3" s="35"/>
      <c r="MN3" s="35"/>
      <c r="MO3" s="35"/>
      <c r="MP3" s="35"/>
      <c r="MQ3" s="35"/>
      <c r="MR3" s="35"/>
      <c r="MS3" s="35"/>
      <c r="MT3" s="35"/>
      <c r="MU3" s="35"/>
      <c r="MV3" s="35"/>
      <c r="MW3" s="35"/>
      <c r="MX3" s="35"/>
      <c r="MY3" s="35"/>
      <c r="MZ3" s="35"/>
      <c r="NA3" s="35"/>
      <c r="NB3" s="35"/>
      <c r="NC3" s="35"/>
      <c r="ND3" s="35"/>
      <c r="NE3" s="35"/>
      <c r="NF3" s="35"/>
      <c r="NG3" s="35"/>
      <c r="NH3" s="35"/>
      <c r="NI3" s="35"/>
      <c r="NJ3" s="35"/>
      <c r="NK3" s="35"/>
      <c r="NL3" s="35"/>
      <c r="NM3" s="35"/>
      <c r="NN3" s="35"/>
      <c r="NO3" s="35"/>
      <c r="NP3" s="35"/>
      <c r="NQ3" s="35"/>
      <c r="NR3" s="35"/>
      <c r="NS3" s="35"/>
      <c r="NT3" s="35"/>
      <c r="NU3" s="35"/>
      <c r="NV3" s="35"/>
      <c r="NW3" s="35"/>
      <c r="NX3" s="35"/>
      <c r="NY3" s="35"/>
      <c r="NZ3" s="35"/>
      <c r="OA3" s="35"/>
      <c r="OB3" s="35"/>
      <c r="OC3" s="35"/>
      <c r="OD3" s="35"/>
      <c r="OE3" s="35"/>
      <c r="OF3" s="35"/>
      <c r="OG3" s="35"/>
      <c r="OH3" s="35"/>
      <c r="OI3" s="35"/>
      <c r="OJ3" s="35"/>
      <c r="OK3" s="35"/>
      <c r="OL3" s="35"/>
      <c r="OM3" s="35"/>
      <c r="ON3" s="35"/>
      <c r="OO3" s="35"/>
      <c r="OP3" s="35"/>
      <c r="OQ3" s="35"/>
      <c r="OR3" s="35"/>
      <c r="OS3" s="35"/>
      <c r="OT3" s="35"/>
      <c r="OU3" s="35"/>
      <c r="OV3" s="35"/>
      <c r="OW3" s="35"/>
      <c r="OX3" s="35"/>
      <c r="OY3" s="35"/>
      <c r="OZ3" s="35"/>
      <c r="PA3" s="35"/>
      <c r="PB3" s="35"/>
      <c r="PC3" s="35"/>
      <c r="PD3" s="35"/>
      <c r="PE3" s="35"/>
      <c r="PF3" s="35"/>
      <c r="PG3" s="35"/>
      <c r="PH3" s="35"/>
      <c r="PI3" s="35"/>
      <c r="PJ3" s="35"/>
      <c r="PK3" s="35"/>
      <c r="PL3" s="35"/>
      <c r="PM3" s="35"/>
      <c r="PN3" s="35"/>
      <c r="PO3" s="35"/>
      <c r="PP3" s="35"/>
      <c r="PQ3" s="35"/>
      <c r="PR3" s="35"/>
      <c r="PS3" s="35"/>
      <c r="PT3" s="35"/>
      <c r="PU3" s="35"/>
      <c r="PV3" s="35"/>
      <c r="PW3" s="35"/>
      <c r="PX3" s="35"/>
      <c r="PY3" s="35"/>
      <c r="PZ3" s="35"/>
      <c r="QA3" s="35"/>
      <c r="QB3" s="35"/>
      <c r="QC3" s="35"/>
      <c r="QD3" s="35"/>
      <c r="QE3" s="35"/>
      <c r="QF3" s="35"/>
      <c r="QG3" s="35"/>
      <c r="QH3" s="35"/>
      <c r="QI3" s="35"/>
      <c r="QJ3" s="35"/>
      <c r="QK3" s="35"/>
      <c r="QL3" s="35"/>
      <c r="QM3" s="35"/>
      <c r="QN3" s="35"/>
      <c r="QO3" s="35"/>
      <c r="QP3" s="35"/>
      <c r="QQ3" s="35"/>
      <c r="QR3" s="35"/>
      <c r="QS3" s="35"/>
      <c r="QT3" s="35"/>
      <c r="QU3" s="35"/>
      <c r="QV3" s="35"/>
      <c r="QW3" s="35"/>
      <c r="QX3" s="35"/>
      <c r="QY3" s="35"/>
      <c r="QZ3" s="35"/>
      <c r="RA3" s="35"/>
      <c r="RB3" s="35"/>
      <c r="RC3" s="35"/>
      <c r="RD3" s="35"/>
      <c r="RE3" s="35"/>
      <c r="RF3" s="35"/>
      <c r="RG3" s="35"/>
      <c r="RH3" s="35"/>
      <c r="RI3" s="35"/>
      <c r="RJ3" s="35"/>
      <c r="RK3" s="35"/>
      <c r="RL3" s="35"/>
      <c r="RM3" s="35"/>
      <c r="RN3" s="35"/>
      <c r="RO3" s="35"/>
      <c r="RP3" s="35"/>
      <c r="RQ3" s="35"/>
      <c r="RR3" s="35"/>
      <c r="RS3" s="35"/>
      <c r="RT3" s="35"/>
      <c r="RU3" s="35"/>
      <c r="RV3" s="35"/>
      <c r="RW3" s="35"/>
      <c r="RX3" s="35"/>
      <c r="RY3" s="35"/>
      <c r="RZ3" s="35"/>
      <c r="SA3" s="35"/>
      <c r="SB3" s="35"/>
      <c r="SC3" s="35"/>
      <c r="SD3" s="35"/>
      <c r="SE3" s="35"/>
      <c r="SF3" s="35"/>
      <c r="SG3" s="35"/>
      <c r="SH3" s="35"/>
      <c r="SI3" s="35"/>
      <c r="SJ3" s="35"/>
      <c r="SK3" s="35"/>
      <c r="SL3" s="35"/>
      <c r="SM3" s="35"/>
      <c r="SN3" s="35"/>
      <c r="SO3" s="35"/>
      <c r="SP3" s="35"/>
      <c r="SQ3" s="35"/>
      <c r="SR3" s="35"/>
      <c r="SS3" s="35"/>
      <c r="ST3" s="35"/>
      <c r="SU3" s="35"/>
      <c r="SV3" s="35"/>
      <c r="SW3" s="35"/>
      <c r="SX3" s="35"/>
      <c r="SY3" s="35"/>
      <c r="SZ3" s="35"/>
      <c r="TA3" s="35"/>
      <c r="TB3" s="35"/>
      <c r="TC3" s="35"/>
      <c r="TD3" s="35"/>
      <c r="TE3" s="35"/>
      <c r="TF3" s="35"/>
      <c r="TG3" s="35"/>
      <c r="TH3" s="35"/>
      <c r="TI3" s="35"/>
      <c r="TJ3" s="35"/>
      <c r="TK3" s="35"/>
      <c r="TL3" s="35"/>
      <c r="TM3" s="35"/>
      <c r="TN3" s="35"/>
      <c r="TO3" s="35"/>
      <c r="TP3" s="35"/>
      <c r="TQ3" s="35"/>
      <c r="TR3" s="35"/>
      <c r="TS3" s="35"/>
      <c r="TT3" s="35"/>
      <c r="TU3" s="35"/>
      <c r="TV3" s="35"/>
      <c r="TW3" s="35"/>
      <c r="TX3" s="35"/>
      <c r="TY3" s="35"/>
      <c r="TZ3" s="35"/>
      <c r="UA3" s="35"/>
      <c r="UB3" s="35"/>
      <c r="UC3" s="35"/>
      <c r="UD3" s="35"/>
      <c r="UE3" s="35"/>
      <c r="UF3" s="35"/>
      <c r="UG3" s="35"/>
      <c r="UH3" s="35"/>
      <c r="UI3" s="35"/>
      <c r="UJ3" s="35"/>
      <c r="UK3" s="35"/>
      <c r="UL3" s="35"/>
      <c r="UM3" s="35"/>
      <c r="UN3" s="35"/>
      <c r="UO3" s="35"/>
      <c r="UP3" s="35"/>
      <c r="UQ3" s="35"/>
      <c r="UR3" s="35"/>
      <c r="US3" s="35"/>
      <c r="UT3" s="35"/>
      <c r="UU3" s="35"/>
      <c r="UV3" s="35"/>
      <c r="UW3" s="35"/>
      <c r="UX3" s="35"/>
      <c r="UY3" s="35"/>
      <c r="UZ3" s="35"/>
      <c r="VA3" s="35"/>
      <c r="VB3" s="35"/>
      <c r="VC3" s="35"/>
      <c r="VD3" s="35"/>
      <c r="VE3" s="35"/>
      <c r="VF3" s="35"/>
      <c r="VG3" s="35"/>
      <c r="VH3" s="35"/>
      <c r="VI3" s="35"/>
      <c r="VJ3" s="35"/>
      <c r="VK3" s="35"/>
      <c r="VL3" s="35"/>
      <c r="VM3" s="35"/>
      <c r="VN3" s="35"/>
      <c r="VO3" s="35"/>
      <c r="VP3" s="35"/>
      <c r="VQ3" s="35"/>
      <c r="VR3" s="35"/>
      <c r="VS3" s="35"/>
      <c r="VT3" s="35"/>
      <c r="VU3" s="35"/>
      <c r="VV3" s="35"/>
      <c r="VW3" s="35"/>
      <c r="VX3" s="35"/>
      <c r="VY3" s="35"/>
      <c r="VZ3" s="35"/>
      <c r="WA3" s="35"/>
      <c r="WB3" s="35"/>
      <c r="WC3" s="35"/>
      <c r="WD3" s="35"/>
      <c r="WE3" s="35"/>
      <c r="WF3" s="35"/>
      <c r="WG3" s="35"/>
      <c r="WH3" s="35"/>
      <c r="WI3" s="35"/>
      <c r="WJ3" s="35"/>
      <c r="WK3" s="35"/>
      <c r="WL3" s="35"/>
      <c r="WM3" s="35"/>
      <c r="WN3" s="35"/>
      <c r="WO3" s="35"/>
      <c r="WP3" s="35"/>
      <c r="WQ3" s="35"/>
      <c r="WR3" s="35"/>
      <c r="WS3" s="35"/>
      <c r="WT3" s="35"/>
      <c r="WU3" s="35"/>
      <c r="WV3" s="35"/>
      <c r="WW3" s="35"/>
      <c r="WX3" s="35"/>
      <c r="WY3" s="35"/>
      <c r="WZ3" s="35"/>
      <c r="XA3" s="35"/>
      <c r="XB3" s="35"/>
      <c r="XC3" s="35"/>
      <c r="XD3" s="35"/>
      <c r="XE3" s="35"/>
      <c r="XF3" s="35"/>
      <c r="XG3" s="35"/>
      <c r="XH3" s="35"/>
      <c r="XI3" s="35"/>
      <c r="XJ3" s="35"/>
      <c r="XK3" s="35"/>
      <c r="XL3" s="35"/>
      <c r="XM3" s="35"/>
      <c r="XN3" s="35"/>
      <c r="XO3" s="35"/>
      <c r="XP3" s="35"/>
      <c r="XQ3" s="35"/>
      <c r="XR3" s="35"/>
      <c r="XS3" s="35"/>
      <c r="XT3" s="35"/>
      <c r="XU3" s="35"/>
      <c r="XV3" s="35"/>
      <c r="XW3" s="35"/>
      <c r="XX3" s="35"/>
      <c r="XY3" s="35"/>
      <c r="XZ3" s="35"/>
      <c r="YA3" s="35"/>
      <c r="YB3" s="35"/>
      <c r="YC3" s="35"/>
      <c r="YD3" s="35"/>
      <c r="YE3" s="35"/>
      <c r="YF3" s="35"/>
      <c r="YG3" s="35"/>
      <c r="YH3" s="35"/>
      <c r="YI3" s="35"/>
      <c r="YJ3" s="35"/>
      <c r="YK3" s="35"/>
      <c r="YL3" s="35"/>
      <c r="YM3" s="35"/>
      <c r="YN3" s="35"/>
      <c r="YO3" s="35"/>
      <c r="YP3" s="35"/>
      <c r="YQ3" s="35"/>
      <c r="YR3" s="35"/>
      <c r="YS3" s="35"/>
      <c r="YT3" s="35"/>
      <c r="YU3" s="35"/>
      <c r="YV3" s="35"/>
      <c r="YW3" s="35"/>
      <c r="YX3" s="35"/>
      <c r="YY3" s="35"/>
      <c r="YZ3" s="35"/>
      <c r="ZA3" s="35"/>
      <c r="ZB3" s="35"/>
      <c r="ZC3" s="35"/>
      <c r="ZD3" s="35"/>
      <c r="ZE3" s="35"/>
      <c r="ZF3" s="35"/>
      <c r="ZG3" s="35"/>
      <c r="ZH3" s="35"/>
      <c r="ZI3" s="35"/>
      <c r="ZJ3" s="35"/>
      <c r="ZK3" s="35"/>
      <c r="ZL3" s="35"/>
      <c r="ZM3" s="35"/>
      <c r="ZN3" s="35"/>
      <c r="ZO3" s="35"/>
      <c r="ZP3" s="35"/>
      <c r="ZQ3" s="35"/>
      <c r="ZR3" s="35"/>
      <c r="ZS3" s="35"/>
      <c r="ZT3" s="35"/>
      <c r="ZU3" s="35"/>
      <c r="ZV3" s="35"/>
      <c r="ZW3" s="35"/>
      <c r="ZX3" s="35"/>
      <c r="ZY3" s="35"/>
      <c r="ZZ3" s="35"/>
      <c r="AAA3" s="35"/>
      <c r="AAB3" s="35"/>
      <c r="AAC3" s="35"/>
      <c r="AAD3" s="35"/>
      <c r="AAE3" s="35"/>
      <c r="AAF3" s="35"/>
      <c r="AAG3" s="35"/>
      <c r="AAH3" s="35"/>
      <c r="AAI3" s="35"/>
      <c r="AAJ3" s="35"/>
      <c r="AAK3" s="35"/>
      <c r="AAL3" s="35"/>
      <c r="AAM3" s="35"/>
      <c r="AAN3" s="35"/>
      <c r="AAO3" s="35"/>
      <c r="AAP3" s="35"/>
      <c r="AAQ3" s="35"/>
      <c r="AAR3" s="35"/>
      <c r="AAS3" s="35"/>
      <c r="AAT3" s="35"/>
      <c r="AAU3" s="35"/>
      <c r="AAV3" s="35"/>
      <c r="AAW3" s="35"/>
      <c r="AAX3" s="35"/>
      <c r="AAY3" s="35"/>
      <c r="AAZ3" s="35"/>
      <c r="ABA3" s="35"/>
      <c r="ABB3" s="35"/>
      <c r="ABC3" s="35"/>
      <c r="ABD3" s="35"/>
      <c r="ABE3" s="35"/>
      <c r="ABF3" s="35"/>
      <c r="ABG3" s="35"/>
      <c r="ABH3" s="35"/>
      <c r="ABI3" s="35"/>
      <c r="ABJ3" s="35"/>
      <c r="ABK3" s="35"/>
      <c r="ABL3" s="35"/>
      <c r="ABM3" s="35"/>
      <c r="ABN3" s="35"/>
      <c r="ABO3" s="35"/>
      <c r="ABP3" s="35"/>
      <c r="ABQ3" s="35"/>
      <c r="ABR3" s="35"/>
      <c r="ABS3" s="35"/>
      <c r="ABT3" s="35"/>
      <c r="ABU3" s="35"/>
      <c r="ABV3" s="35"/>
      <c r="ABW3" s="35"/>
      <c r="ABX3" s="35"/>
      <c r="ABY3" s="35"/>
      <c r="ABZ3" s="35"/>
      <c r="ACA3" s="35"/>
      <c r="ACB3" s="35"/>
      <c r="ACC3" s="35"/>
      <c r="ACD3" s="35"/>
      <c r="ACE3" s="35"/>
      <c r="ACF3" s="35"/>
      <c r="ACG3" s="35"/>
      <c r="ACH3" s="35"/>
      <c r="ACI3" s="35"/>
      <c r="ACJ3" s="35"/>
      <c r="ACK3" s="35"/>
      <c r="ACL3" s="35"/>
      <c r="ACM3" s="35"/>
      <c r="ACN3" s="35"/>
      <c r="ACO3" s="35"/>
      <c r="ACP3" s="35"/>
      <c r="ACQ3" s="35"/>
      <c r="ACR3" s="35"/>
      <c r="ACS3" s="35"/>
      <c r="ACT3" s="35"/>
      <c r="ACU3" s="35"/>
      <c r="ACV3" s="35"/>
      <c r="ACW3" s="35"/>
      <c r="ACX3" s="35"/>
      <c r="ACY3" s="35"/>
      <c r="ACZ3" s="35"/>
      <c r="ADA3" s="35"/>
      <c r="ADB3" s="35"/>
      <c r="ADC3" s="35"/>
      <c r="ADD3" s="35"/>
      <c r="ADE3" s="35"/>
      <c r="ADF3" s="35"/>
      <c r="ADG3" s="35"/>
      <c r="ADH3" s="35"/>
      <c r="ADI3" s="35"/>
      <c r="ADJ3" s="35"/>
      <c r="ADK3" s="35"/>
      <c r="ADL3" s="35"/>
      <c r="ADM3" s="35"/>
      <c r="ADN3" s="35"/>
      <c r="ADO3" s="35"/>
      <c r="ADP3" s="35"/>
      <c r="ADQ3" s="35"/>
      <c r="ADR3" s="35"/>
      <c r="ADS3" s="35"/>
      <c r="ADT3" s="35"/>
      <c r="ADU3" s="35"/>
      <c r="ADV3" s="35"/>
      <c r="ADW3" s="35"/>
      <c r="ADX3" s="35"/>
      <c r="ADY3" s="35"/>
      <c r="ADZ3" s="35"/>
      <c r="AEA3" s="35"/>
      <c r="AEB3" s="35"/>
      <c r="AEC3" s="35"/>
      <c r="AED3" s="35"/>
      <c r="AEE3" s="35"/>
      <c r="AEF3" s="35"/>
      <c r="AEG3" s="35"/>
      <c r="AEH3" s="35"/>
      <c r="AEI3" s="35"/>
      <c r="AEJ3" s="35"/>
      <c r="AEK3" s="35"/>
      <c r="AEL3" s="35"/>
      <c r="AEM3" s="35"/>
      <c r="AEN3" s="35"/>
      <c r="AEO3" s="35"/>
      <c r="AEP3" s="35"/>
      <c r="AEQ3" s="35"/>
      <c r="AER3" s="35"/>
      <c r="AES3" s="35"/>
      <c r="AET3" s="35"/>
      <c r="AEU3" s="35"/>
      <c r="AEV3" s="35"/>
      <c r="AEW3" s="35"/>
      <c r="AEX3" s="35"/>
      <c r="AEY3" s="35"/>
      <c r="AEZ3" s="35"/>
      <c r="AFA3" s="35"/>
      <c r="AFB3" s="35"/>
      <c r="AFC3" s="35"/>
      <c r="AFD3" s="35"/>
      <c r="AFE3" s="35"/>
      <c r="AFF3" s="35"/>
      <c r="AFG3" s="35"/>
      <c r="AFH3" s="35"/>
      <c r="AFI3" s="35"/>
      <c r="AFJ3" s="35"/>
      <c r="AFK3" s="35"/>
      <c r="AFL3" s="35"/>
      <c r="AFM3" s="35"/>
      <c r="AFN3" s="35"/>
      <c r="AFO3" s="35"/>
      <c r="AFP3" s="35"/>
      <c r="AFQ3" s="35"/>
      <c r="AFR3" s="35"/>
      <c r="AFS3" s="35"/>
      <c r="AFT3" s="35"/>
      <c r="AFU3" s="35"/>
      <c r="AFV3" s="35"/>
      <c r="AFW3" s="35"/>
      <c r="AFX3" s="35"/>
      <c r="AFY3" s="35"/>
      <c r="AFZ3" s="35"/>
      <c r="AGA3" s="35"/>
      <c r="AGB3" s="35"/>
      <c r="AGC3" s="35"/>
      <c r="AGD3" s="35"/>
      <c r="AGE3" s="35"/>
      <c r="AGF3" s="35"/>
      <c r="AGG3" s="35"/>
      <c r="AGH3" s="35"/>
      <c r="AGI3" s="35"/>
      <c r="AGJ3" s="35"/>
      <c r="AGK3" s="35"/>
      <c r="AGL3" s="35"/>
      <c r="AGM3" s="35"/>
      <c r="AGN3" s="35"/>
      <c r="AGO3" s="35"/>
      <c r="AGP3" s="35"/>
      <c r="AGQ3" s="35"/>
      <c r="AGR3" s="35"/>
      <c r="AGS3" s="35"/>
      <c r="AGT3" s="35"/>
      <c r="AGU3" s="35"/>
      <c r="AGV3" s="35"/>
      <c r="AGW3" s="35"/>
      <c r="AGX3" s="35"/>
      <c r="AGY3" s="35"/>
      <c r="AGZ3" s="35"/>
      <c r="AHA3" s="35"/>
      <c r="AHB3" s="35"/>
      <c r="AHC3" s="35"/>
      <c r="AHD3" s="35"/>
      <c r="AHE3" s="35"/>
      <c r="AHF3" s="35"/>
      <c r="AHG3" s="35"/>
      <c r="AHH3" s="35"/>
      <c r="AHI3" s="35"/>
      <c r="AHJ3" s="35"/>
      <c r="AHK3" s="35"/>
      <c r="AHL3" s="35"/>
      <c r="AHM3" s="35"/>
      <c r="AHN3" s="35"/>
      <c r="AHO3" s="35"/>
      <c r="AHP3" s="35"/>
      <c r="AHQ3" s="35"/>
      <c r="AHR3" s="35"/>
      <c r="AHS3" s="35"/>
      <c r="AHT3" s="35"/>
      <c r="AHU3" s="35"/>
      <c r="AHV3" s="35"/>
      <c r="AHW3" s="35"/>
      <c r="AHX3" s="35"/>
      <c r="AHY3" s="35"/>
      <c r="AHZ3" s="35"/>
      <c r="AIA3" s="35"/>
      <c r="AIB3" s="35"/>
      <c r="AIC3" s="35"/>
      <c r="AID3" s="35"/>
      <c r="AIE3" s="35"/>
      <c r="AIF3" s="35"/>
      <c r="AIG3" s="35"/>
      <c r="AIH3" s="35"/>
      <c r="AII3" s="35"/>
      <c r="AIJ3" s="35"/>
      <c r="AIK3" s="35"/>
      <c r="AIL3" s="35"/>
      <c r="AIM3" s="35"/>
      <c r="AIN3" s="35"/>
      <c r="AIO3" s="35"/>
      <c r="AIP3" s="35"/>
      <c r="AIQ3" s="35"/>
      <c r="AIR3" s="35"/>
      <c r="AIS3" s="35"/>
      <c r="AIT3" s="35"/>
      <c r="AIU3" s="35"/>
      <c r="AIV3" s="35"/>
      <c r="AIW3" s="35"/>
      <c r="AIX3" s="35"/>
      <c r="AIY3" s="35"/>
      <c r="AIZ3" s="35"/>
      <c r="AJA3" s="35"/>
      <c r="AJB3" s="35"/>
      <c r="AJC3" s="35"/>
      <c r="AJD3" s="35"/>
      <c r="AJE3" s="35"/>
      <c r="AJF3" s="35"/>
      <c r="AJG3" s="35"/>
      <c r="AJH3" s="35"/>
      <c r="AJI3" s="35"/>
      <c r="AJJ3" s="35"/>
      <c r="AJK3" s="35"/>
      <c r="AJL3" s="35"/>
      <c r="AJM3" s="35"/>
      <c r="AJN3" s="35"/>
      <c r="AJO3" s="35"/>
      <c r="AJP3" s="35"/>
      <c r="AJQ3" s="35"/>
      <c r="AJR3" s="35"/>
      <c r="AJS3" s="35"/>
      <c r="AJT3" s="35"/>
      <c r="AJU3" s="35"/>
      <c r="AJV3" s="35"/>
      <c r="AJW3" s="35"/>
      <c r="AJX3" s="35"/>
      <c r="AJY3" s="35"/>
      <c r="AJZ3" s="35"/>
      <c r="AKA3" s="35"/>
      <c r="AKB3" s="35"/>
      <c r="AKC3" s="35"/>
      <c r="AKD3" s="35"/>
      <c r="AKE3" s="35"/>
      <c r="AKF3" s="35"/>
      <c r="AKG3" s="35"/>
      <c r="AKH3" s="35"/>
      <c r="AKI3" s="35"/>
      <c r="AKJ3" s="35"/>
      <c r="AKK3" s="35"/>
      <c r="AKL3" s="35"/>
      <c r="AKM3" s="35"/>
      <c r="AKN3" s="35"/>
      <c r="AKO3" s="35"/>
      <c r="AKP3" s="35"/>
      <c r="AKQ3" s="35"/>
      <c r="AKR3" s="35"/>
      <c r="AKS3" s="35"/>
    </row>
    <row r="4" customFormat="false" ht="7.85" hidden="true" customHeight="true" outlineLevel="1" collapsed="false">
      <c r="A4" s="36" t="n">
        <f aca="false">A3</f>
        <v>0</v>
      </c>
      <c r="B4" s="37" t="n">
        <f aca="false">B3</f>
        <v>0</v>
      </c>
      <c r="C4" s="37" t="n">
        <f aca="false">C3</f>
        <v>0</v>
      </c>
      <c r="D4" s="37" t="n">
        <f aca="false">D3</f>
        <v>0</v>
      </c>
      <c r="E4" s="37" t="n">
        <f aca="false">E3</f>
        <v>0</v>
      </c>
      <c r="F4" s="37" t="n">
        <f aca="false">F3</f>
        <v>0</v>
      </c>
      <c r="G4" s="37" t="n">
        <f aca="false">G3</f>
        <v>0</v>
      </c>
      <c r="H4" s="37"/>
      <c r="I4" s="39"/>
      <c r="J4" s="37" t="n">
        <f aca="false">J3</f>
        <v>0</v>
      </c>
      <c r="K4" s="37" t="n">
        <f aca="false">K3</f>
        <v>0</v>
      </c>
      <c r="L4" s="37" t="n">
        <f aca="false">L3</f>
        <v>0</v>
      </c>
      <c r="M4" s="37" t="n">
        <f aca="false">M3</f>
        <v>0</v>
      </c>
      <c r="N4" s="37" t="n">
        <f aca="false">N3</f>
        <v>0</v>
      </c>
      <c r="O4" s="37" t="str">
        <f aca="false">O3</f>
        <v>x</v>
      </c>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5"/>
      <c r="BB4" s="35"/>
      <c r="BC4" s="35"/>
      <c r="BD4" s="35"/>
      <c r="BE4" s="35"/>
      <c r="BF4" s="35"/>
      <c r="BG4" s="35"/>
      <c r="BH4" s="35"/>
      <c r="BI4" s="35"/>
      <c r="BJ4" s="35"/>
      <c r="BK4" s="35"/>
      <c r="BL4" s="35"/>
      <c r="BM4" s="35"/>
      <c r="BN4" s="35"/>
      <c r="BO4" s="35"/>
      <c r="BP4" s="35"/>
      <c r="BQ4" s="35"/>
      <c r="BR4" s="35"/>
      <c r="BS4" s="35"/>
      <c r="BT4" s="35"/>
      <c r="BU4" s="35"/>
      <c r="BV4" s="35"/>
      <c r="BW4" s="35"/>
      <c r="BX4" s="35"/>
      <c r="BY4" s="35"/>
      <c r="BZ4" s="35"/>
      <c r="CA4" s="35"/>
      <c r="CB4" s="35"/>
      <c r="CC4" s="35"/>
      <c r="CD4" s="35"/>
      <c r="CE4" s="35"/>
      <c r="CF4" s="35"/>
      <c r="CG4" s="35"/>
      <c r="CH4" s="35"/>
      <c r="CI4" s="35"/>
      <c r="CJ4" s="35"/>
      <c r="CK4" s="35"/>
      <c r="CL4" s="35"/>
      <c r="CM4" s="35"/>
      <c r="CN4" s="35"/>
      <c r="CO4" s="35"/>
      <c r="CP4" s="35"/>
      <c r="CQ4" s="35"/>
      <c r="CR4" s="35"/>
      <c r="CS4" s="35"/>
      <c r="CT4" s="35"/>
      <c r="CU4" s="35"/>
      <c r="CV4" s="35"/>
      <c r="CW4" s="35"/>
      <c r="CX4" s="35"/>
      <c r="CY4" s="35"/>
      <c r="CZ4" s="35"/>
      <c r="DA4" s="35"/>
      <c r="DB4" s="35"/>
      <c r="DC4" s="35"/>
      <c r="DD4" s="35"/>
      <c r="DE4" s="35"/>
      <c r="DF4" s="35"/>
      <c r="DG4" s="35"/>
      <c r="DH4" s="35"/>
      <c r="DI4" s="35"/>
      <c r="DJ4" s="35"/>
      <c r="DK4" s="35"/>
      <c r="DL4" s="35"/>
      <c r="DM4" s="35"/>
      <c r="DN4" s="35"/>
      <c r="DO4" s="35"/>
      <c r="DP4" s="35"/>
      <c r="DQ4" s="35"/>
      <c r="DR4" s="35"/>
      <c r="DS4" s="35"/>
      <c r="DT4" s="35"/>
      <c r="DU4" s="35"/>
      <c r="DV4" s="35"/>
      <c r="DW4" s="35"/>
      <c r="DX4" s="35"/>
      <c r="DY4" s="35"/>
      <c r="DZ4" s="35"/>
      <c r="EA4" s="35"/>
      <c r="EB4" s="35"/>
      <c r="EC4" s="35"/>
      <c r="ED4" s="35"/>
      <c r="EE4" s="35"/>
      <c r="EF4" s="35"/>
      <c r="EG4" s="35"/>
      <c r="EH4" s="35"/>
      <c r="EI4" s="35"/>
      <c r="EJ4" s="35"/>
      <c r="EK4" s="35"/>
      <c r="EL4" s="35"/>
      <c r="EM4" s="35"/>
      <c r="EN4" s="35"/>
      <c r="EO4" s="35"/>
      <c r="EP4" s="35"/>
      <c r="EQ4" s="35"/>
      <c r="ER4" s="35"/>
      <c r="ES4" s="35"/>
      <c r="ET4" s="35"/>
      <c r="EU4" s="35"/>
      <c r="EV4" s="35"/>
      <c r="EW4" s="35"/>
      <c r="EX4" s="35"/>
      <c r="EY4" s="35"/>
      <c r="EZ4" s="35"/>
      <c r="FA4" s="35"/>
      <c r="FB4" s="35"/>
      <c r="FC4" s="35"/>
      <c r="FD4" s="35"/>
      <c r="FE4" s="35"/>
      <c r="FF4" s="35"/>
      <c r="FG4" s="35"/>
      <c r="FH4" s="35"/>
      <c r="FI4" s="35"/>
      <c r="FJ4" s="35"/>
      <c r="FK4" s="35"/>
      <c r="FL4" s="35"/>
      <c r="FM4" s="35"/>
      <c r="FN4" s="35"/>
      <c r="FO4" s="35"/>
      <c r="FP4" s="35"/>
      <c r="FQ4" s="35"/>
      <c r="FR4" s="35"/>
      <c r="FS4" s="35"/>
      <c r="FT4" s="35"/>
      <c r="FU4" s="35"/>
      <c r="FV4" s="35"/>
      <c r="FW4" s="35"/>
      <c r="FX4" s="35"/>
      <c r="FY4" s="35"/>
      <c r="FZ4" s="35"/>
      <c r="GA4" s="35"/>
      <c r="GB4" s="35"/>
      <c r="GC4" s="35"/>
      <c r="GD4" s="35"/>
      <c r="GE4" s="35"/>
      <c r="GF4" s="35"/>
      <c r="GG4" s="35"/>
      <c r="GH4" s="35"/>
      <c r="GI4" s="35"/>
      <c r="GJ4" s="35"/>
      <c r="GK4" s="35"/>
      <c r="GL4" s="35"/>
      <c r="GM4" s="35"/>
      <c r="GN4" s="35"/>
      <c r="GO4" s="35"/>
      <c r="GP4" s="35"/>
      <c r="GQ4" s="35"/>
      <c r="GR4" s="35"/>
      <c r="GS4" s="35"/>
      <c r="GT4" s="35"/>
      <c r="GU4" s="35"/>
      <c r="GV4" s="35"/>
      <c r="GW4" s="35"/>
      <c r="GX4" s="35"/>
      <c r="GY4" s="35"/>
      <c r="GZ4" s="35"/>
      <c r="HA4" s="35"/>
      <c r="HB4" s="35"/>
      <c r="HC4" s="35"/>
      <c r="HD4" s="35"/>
      <c r="HE4" s="35"/>
      <c r="HF4" s="35"/>
      <c r="HG4" s="35"/>
      <c r="HH4" s="35"/>
      <c r="HI4" s="35"/>
      <c r="HJ4" s="35"/>
      <c r="HK4" s="35"/>
      <c r="HL4" s="35"/>
      <c r="HM4" s="35"/>
      <c r="HN4" s="35"/>
      <c r="HO4" s="35"/>
      <c r="HP4" s="35"/>
      <c r="HQ4" s="35"/>
      <c r="HR4" s="35"/>
      <c r="HS4" s="35"/>
      <c r="HT4" s="35"/>
      <c r="HU4" s="35"/>
      <c r="HV4" s="35"/>
      <c r="HW4" s="35"/>
      <c r="HX4" s="35"/>
      <c r="HY4" s="35"/>
      <c r="HZ4" s="35"/>
      <c r="IA4" s="35"/>
      <c r="IB4" s="35"/>
      <c r="IC4" s="35"/>
      <c r="ID4" s="35"/>
      <c r="IE4" s="35"/>
      <c r="IF4" s="35"/>
      <c r="IG4" s="35"/>
      <c r="IH4" s="35"/>
      <c r="II4" s="35"/>
      <c r="IJ4" s="35"/>
      <c r="IK4" s="35"/>
      <c r="IL4" s="35"/>
      <c r="IM4" s="35"/>
      <c r="IN4" s="35"/>
      <c r="IO4" s="35"/>
      <c r="IP4" s="35"/>
      <c r="IQ4" s="35"/>
      <c r="IR4" s="35"/>
      <c r="IS4" s="35"/>
      <c r="IT4" s="35"/>
      <c r="IU4" s="35"/>
      <c r="IV4" s="35"/>
      <c r="IW4" s="35"/>
      <c r="IX4" s="35"/>
      <c r="IY4" s="35"/>
      <c r="IZ4" s="35"/>
      <c r="JA4" s="35"/>
      <c r="JB4" s="35"/>
      <c r="JC4" s="35"/>
      <c r="JD4" s="35"/>
      <c r="JE4" s="35"/>
      <c r="JF4" s="35"/>
      <c r="JG4" s="35"/>
      <c r="JH4" s="35"/>
      <c r="JI4" s="35"/>
      <c r="JJ4" s="35"/>
      <c r="JK4" s="35"/>
      <c r="JL4" s="35"/>
      <c r="JM4" s="35"/>
      <c r="JN4" s="35"/>
      <c r="JO4" s="35"/>
      <c r="JP4" s="35"/>
      <c r="JQ4" s="35"/>
      <c r="JR4" s="35"/>
      <c r="JS4" s="35"/>
      <c r="JT4" s="35"/>
      <c r="JU4" s="35"/>
      <c r="JV4" s="35"/>
      <c r="JW4" s="35"/>
      <c r="JX4" s="35"/>
      <c r="JY4" s="35"/>
      <c r="JZ4" s="35"/>
      <c r="KA4" s="35"/>
      <c r="KB4" s="35"/>
      <c r="KC4" s="35"/>
      <c r="KD4" s="35"/>
      <c r="KE4" s="35"/>
      <c r="KF4" s="35"/>
      <c r="KG4" s="35"/>
      <c r="KH4" s="35"/>
      <c r="KI4" s="35"/>
      <c r="KJ4" s="35"/>
      <c r="KK4" s="35"/>
      <c r="KL4" s="35"/>
      <c r="KM4" s="35"/>
      <c r="KN4" s="35"/>
      <c r="KO4" s="35"/>
      <c r="KP4" s="35"/>
      <c r="KQ4" s="35"/>
      <c r="KR4" s="35"/>
      <c r="KS4" s="35"/>
      <c r="KT4" s="35"/>
      <c r="KU4" s="35"/>
      <c r="KV4" s="35"/>
      <c r="KW4" s="35"/>
      <c r="KX4" s="35"/>
      <c r="KY4" s="35"/>
      <c r="KZ4" s="35"/>
      <c r="LA4" s="35"/>
      <c r="LB4" s="35"/>
      <c r="LC4" s="35"/>
      <c r="LD4" s="35"/>
      <c r="LE4" s="35"/>
      <c r="LF4" s="35"/>
      <c r="LG4" s="35"/>
      <c r="LH4" s="35"/>
      <c r="LI4" s="35"/>
      <c r="LJ4" s="35"/>
      <c r="LK4" s="35"/>
      <c r="LL4" s="35"/>
      <c r="LM4" s="35"/>
      <c r="LN4" s="35"/>
      <c r="LO4" s="35"/>
      <c r="LP4" s="35"/>
      <c r="LQ4" s="35"/>
      <c r="LR4" s="35"/>
      <c r="LS4" s="35"/>
      <c r="LT4" s="35"/>
      <c r="LU4" s="35"/>
      <c r="LV4" s="35"/>
      <c r="LW4" s="35"/>
      <c r="LX4" s="35"/>
      <c r="LY4" s="35"/>
      <c r="LZ4" s="35"/>
      <c r="MA4" s="35"/>
      <c r="MB4" s="35"/>
      <c r="MC4" s="35"/>
      <c r="MD4" s="35"/>
      <c r="ME4" s="35"/>
      <c r="MF4" s="35"/>
      <c r="MG4" s="35"/>
      <c r="MH4" s="35"/>
      <c r="MI4" s="35"/>
      <c r="MJ4" s="35"/>
      <c r="MK4" s="35"/>
      <c r="ML4" s="35"/>
      <c r="MM4" s="35"/>
      <c r="MN4" s="35"/>
      <c r="MO4" s="35"/>
      <c r="MP4" s="35"/>
      <c r="MQ4" s="35"/>
      <c r="MR4" s="35"/>
      <c r="MS4" s="35"/>
      <c r="MT4" s="35"/>
      <c r="MU4" s="35"/>
      <c r="MV4" s="35"/>
      <c r="MW4" s="35"/>
      <c r="MX4" s="35"/>
      <c r="MY4" s="35"/>
      <c r="MZ4" s="35"/>
      <c r="NA4" s="35"/>
      <c r="NB4" s="35"/>
      <c r="NC4" s="35"/>
      <c r="ND4" s="35"/>
      <c r="NE4" s="35"/>
      <c r="NF4" s="35"/>
      <c r="NG4" s="35"/>
      <c r="NH4" s="35"/>
      <c r="NI4" s="35"/>
      <c r="NJ4" s="35"/>
      <c r="NK4" s="35"/>
      <c r="NL4" s="35"/>
      <c r="NM4" s="35"/>
      <c r="NN4" s="35"/>
      <c r="NO4" s="35"/>
      <c r="NP4" s="35"/>
      <c r="NQ4" s="35"/>
      <c r="NR4" s="35"/>
      <c r="NS4" s="35"/>
      <c r="NT4" s="35"/>
      <c r="NU4" s="35"/>
      <c r="NV4" s="35"/>
      <c r="NW4" s="35"/>
      <c r="NX4" s="35"/>
      <c r="NY4" s="35"/>
      <c r="NZ4" s="35"/>
      <c r="OA4" s="35"/>
      <c r="OB4" s="35"/>
      <c r="OC4" s="35"/>
      <c r="OD4" s="35"/>
      <c r="OE4" s="35"/>
      <c r="OF4" s="35"/>
      <c r="OG4" s="35"/>
      <c r="OH4" s="35"/>
      <c r="OI4" s="35"/>
      <c r="OJ4" s="35"/>
      <c r="OK4" s="35"/>
      <c r="OL4" s="35"/>
      <c r="OM4" s="35"/>
      <c r="ON4" s="35"/>
      <c r="OO4" s="35"/>
      <c r="OP4" s="35"/>
      <c r="OQ4" s="35"/>
      <c r="OR4" s="35"/>
      <c r="OS4" s="35"/>
      <c r="OT4" s="35"/>
      <c r="OU4" s="35"/>
      <c r="OV4" s="35"/>
      <c r="OW4" s="35"/>
      <c r="OX4" s="35"/>
      <c r="OY4" s="35"/>
      <c r="OZ4" s="35"/>
      <c r="PA4" s="35"/>
      <c r="PB4" s="35"/>
      <c r="PC4" s="35"/>
      <c r="PD4" s="35"/>
      <c r="PE4" s="35"/>
      <c r="PF4" s="35"/>
      <c r="PG4" s="35"/>
      <c r="PH4" s="35"/>
      <c r="PI4" s="35"/>
      <c r="PJ4" s="35"/>
      <c r="PK4" s="35"/>
      <c r="PL4" s="35"/>
      <c r="PM4" s="35"/>
      <c r="PN4" s="35"/>
      <c r="PO4" s="35"/>
      <c r="PP4" s="35"/>
      <c r="PQ4" s="35"/>
      <c r="PR4" s="35"/>
      <c r="PS4" s="35"/>
      <c r="PT4" s="35"/>
      <c r="PU4" s="35"/>
      <c r="PV4" s="35"/>
      <c r="PW4" s="35"/>
      <c r="PX4" s="35"/>
      <c r="PY4" s="35"/>
      <c r="PZ4" s="35"/>
      <c r="QA4" s="35"/>
      <c r="QB4" s="35"/>
      <c r="QC4" s="35"/>
      <c r="QD4" s="35"/>
      <c r="QE4" s="35"/>
      <c r="QF4" s="35"/>
      <c r="QG4" s="35"/>
      <c r="QH4" s="35"/>
      <c r="QI4" s="35"/>
      <c r="QJ4" s="35"/>
      <c r="QK4" s="35"/>
      <c r="QL4" s="35"/>
      <c r="QM4" s="35"/>
      <c r="QN4" s="35"/>
      <c r="QO4" s="35"/>
      <c r="QP4" s="35"/>
      <c r="QQ4" s="35"/>
      <c r="QR4" s="35"/>
      <c r="QS4" s="35"/>
      <c r="QT4" s="35"/>
      <c r="QU4" s="35"/>
      <c r="QV4" s="35"/>
      <c r="QW4" s="35"/>
      <c r="QX4" s="35"/>
      <c r="QY4" s="35"/>
      <c r="QZ4" s="35"/>
      <c r="RA4" s="35"/>
      <c r="RB4" s="35"/>
      <c r="RC4" s="35"/>
      <c r="RD4" s="35"/>
      <c r="RE4" s="35"/>
      <c r="RF4" s="35"/>
      <c r="RG4" s="35"/>
      <c r="RH4" s="35"/>
      <c r="RI4" s="35"/>
      <c r="RJ4" s="35"/>
      <c r="RK4" s="35"/>
      <c r="RL4" s="35"/>
      <c r="RM4" s="35"/>
      <c r="RN4" s="35"/>
      <c r="RO4" s="35"/>
      <c r="RP4" s="35"/>
      <c r="RQ4" s="35"/>
      <c r="RR4" s="35"/>
      <c r="RS4" s="35"/>
      <c r="RT4" s="35"/>
      <c r="RU4" s="35"/>
      <c r="RV4" s="35"/>
      <c r="RW4" s="35"/>
      <c r="RX4" s="35"/>
      <c r="RY4" s="35"/>
      <c r="RZ4" s="35"/>
      <c r="SA4" s="35"/>
      <c r="SB4" s="35"/>
      <c r="SC4" s="35"/>
      <c r="SD4" s="35"/>
      <c r="SE4" s="35"/>
      <c r="SF4" s="35"/>
      <c r="SG4" s="35"/>
      <c r="SH4" s="35"/>
      <c r="SI4" s="35"/>
      <c r="SJ4" s="35"/>
      <c r="SK4" s="35"/>
      <c r="SL4" s="35"/>
      <c r="SM4" s="35"/>
      <c r="SN4" s="35"/>
      <c r="SO4" s="35"/>
      <c r="SP4" s="35"/>
      <c r="SQ4" s="35"/>
      <c r="SR4" s="35"/>
      <c r="SS4" s="35"/>
      <c r="ST4" s="35"/>
      <c r="SU4" s="35"/>
      <c r="SV4" s="35"/>
      <c r="SW4" s="35"/>
      <c r="SX4" s="35"/>
      <c r="SY4" s="35"/>
      <c r="SZ4" s="35"/>
      <c r="TA4" s="35"/>
      <c r="TB4" s="35"/>
      <c r="TC4" s="35"/>
      <c r="TD4" s="35"/>
      <c r="TE4" s="35"/>
      <c r="TF4" s="35"/>
      <c r="TG4" s="35"/>
      <c r="TH4" s="35"/>
      <c r="TI4" s="35"/>
      <c r="TJ4" s="35"/>
      <c r="TK4" s="35"/>
      <c r="TL4" s="35"/>
      <c r="TM4" s="35"/>
      <c r="TN4" s="35"/>
      <c r="TO4" s="35"/>
      <c r="TP4" s="35"/>
      <c r="TQ4" s="35"/>
      <c r="TR4" s="35"/>
      <c r="TS4" s="35"/>
      <c r="TT4" s="35"/>
      <c r="TU4" s="35"/>
      <c r="TV4" s="35"/>
      <c r="TW4" s="35"/>
      <c r="TX4" s="35"/>
      <c r="TY4" s="35"/>
      <c r="TZ4" s="35"/>
      <c r="UA4" s="35"/>
      <c r="UB4" s="35"/>
      <c r="UC4" s="35"/>
      <c r="UD4" s="35"/>
      <c r="UE4" s="35"/>
      <c r="UF4" s="35"/>
      <c r="UG4" s="35"/>
      <c r="UH4" s="35"/>
      <c r="UI4" s="35"/>
      <c r="UJ4" s="35"/>
      <c r="UK4" s="35"/>
      <c r="UL4" s="35"/>
      <c r="UM4" s="35"/>
      <c r="UN4" s="35"/>
      <c r="UO4" s="35"/>
      <c r="UP4" s="35"/>
      <c r="UQ4" s="35"/>
      <c r="UR4" s="35"/>
      <c r="US4" s="35"/>
      <c r="UT4" s="35"/>
      <c r="UU4" s="35"/>
      <c r="UV4" s="35"/>
      <c r="UW4" s="35"/>
      <c r="UX4" s="35"/>
      <c r="UY4" s="35"/>
      <c r="UZ4" s="35"/>
      <c r="VA4" s="35"/>
      <c r="VB4" s="35"/>
      <c r="VC4" s="35"/>
      <c r="VD4" s="35"/>
      <c r="VE4" s="35"/>
      <c r="VF4" s="35"/>
      <c r="VG4" s="35"/>
      <c r="VH4" s="35"/>
      <c r="VI4" s="35"/>
      <c r="VJ4" s="35"/>
      <c r="VK4" s="35"/>
      <c r="VL4" s="35"/>
      <c r="VM4" s="35"/>
      <c r="VN4" s="35"/>
      <c r="VO4" s="35"/>
      <c r="VP4" s="35"/>
      <c r="VQ4" s="35"/>
      <c r="VR4" s="35"/>
      <c r="VS4" s="35"/>
      <c r="VT4" s="35"/>
      <c r="VU4" s="35"/>
      <c r="VV4" s="35"/>
      <c r="VW4" s="35"/>
      <c r="VX4" s="35"/>
      <c r="VY4" s="35"/>
      <c r="VZ4" s="35"/>
      <c r="WA4" s="35"/>
      <c r="WB4" s="35"/>
      <c r="WC4" s="35"/>
      <c r="WD4" s="35"/>
      <c r="WE4" s="35"/>
      <c r="WF4" s="35"/>
      <c r="WG4" s="35"/>
      <c r="WH4" s="35"/>
      <c r="WI4" s="35"/>
      <c r="WJ4" s="35"/>
      <c r="WK4" s="35"/>
      <c r="WL4" s="35"/>
      <c r="WM4" s="35"/>
      <c r="WN4" s="35"/>
      <c r="WO4" s="35"/>
      <c r="WP4" s="35"/>
      <c r="WQ4" s="35"/>
      <c r="WR4" s="35"/>
      <c r="WS4" s="35"/>
      <c r="WT4" s="35"/>
      <c r="WU4" s="35"/>
      <c r="WV4" s="35"/>
      <c r="WW4" s="35"/>
      <c r="WX4" s="35"/>
      <c r="WY4" s="35"/>
      <c r="WZ4" s="35"/>
      <c r="XA4" s="35"/>
      <c r="XB4" s="35"/>
      <c r="XC4" s="35"/>
      <c r="XD4" s="35"/>
      <c r="XE4" s="35"/>
      <c r="XF4" s="35"/>
      <c r="XG4" s="35"/>
      <c r="XH4" s="35"/>
      <c r="XI4" s="35"/>
      <c r="XJ4" s="35"/>
      <c r="XK4" s="35"/>
      <c r="XL4" s="35"/>
      <c r="XM4" s="35"/>
      <c r="XN4" s="35"/>
      <c r="XO4" s="35"/>
      <c r="XP4" s="35"/>
      <c r="XQ4" s="35"/>
      <c r="XR4" s="35"/>
      <c r="XS4" s="35"/>
      <c r="XT4" s="35"/>
      <c r="XU4" s="35"/>
      <c r="XV4" s="35"/>
      <c r="XW4" s="35"/>
      <c r="XX4" s="35"/>
      <c r="XY4" s="35"/>
      <c r="XZ4" s="35"/>
      <c r="YA4" s="35"/>
      <c r="YB4" s="35"/>
      <c r="YC4" s="35"/>
      <c r="YD4" s="35"/>
      <c r="YE4" s="35"/>
      <c r="YF4" s="35"/>
      <c r="YG4" s="35"/>
      <c r="YH4" s="35"/>
      <c r="YI4" s="35"/>
      <c r="YJ4" s="35"/>
      <c r="YK4" s="35"/>
      <c r="YL4" s="35"/>
      <c r="YM4" s="35"/>
      <c r="YN4" s="35"/>
      <c r="YO4" s="35"/>
      <c r="YP4" s="35"/>
      <c r="YQ4" s="35"/>
      <c r="YR4" s="35"/>
      <c r="YS4" s="35"/>
      <c r="YT4" s="35"/>
      <c r="YU4" s="35"/>
      <c r="YV4" s="35"/>
      <c r="YW4" s="35"/>
      <c r="YX4" s="35"/>
      <c r="YY4" s="35"/>
      <c r="YZ4" s="35"/>
      <c r="ZA4" s="35"/>
      <c r="ZB4" s="35"/>
      <c r="ZC4" s="35"/>
      <c r="ZD4" s="35"/>
      <c r="ZE4" s="35"/>
      <c r="ZF4" s="35"/>
      <c r="ZG4" s="35"/>
      <c r="ZH4" s="35"/>
      <c r="ZI4" s="35"/>
      <c r="ZJ4" s="35"/>
      <c r="ZK4" s="35"/>
      <c r="ZL4" s="35"/>
      <c r="ZM4" s="35"/>
      <c r="ZN4" s="35"/>
      <c r="ZO4" s="35"/>
      <c r="ZP4" s="35"/>
      <c r="ZQ4" s="35"/>
      <c r="ZR4" s="35"/>
      <c r="ZS4" s="35"/>
      <c r="ZT4" s="35"/>
      <c r="ZU4" s="35"/>
      <c r="ZV4" s="35"/>
      <c r="ZW4" s="35"/>
      <c r="ZX4" s="35"/>
      <c r="ZY4" s="35"/>
      <c r="ZZ4" s="35"/>
      <c r="AAA4" s="35"/>
      <c r="AAB4" s="35"/>
      <c r="AAC4" s="35"/>
      <c r="AAD4" s="35"/>
      <c r="AAE4" s="35"/>
      <c r="AAF4" s="35"/>
      <c r="AAG4" s="35"/>
      <c r="AAH4" s="35"/>
      <c r="AAI4" s="35"/>
      <c r="AAJ4" s="35"/>
      <c r="AAK4" s="35"/>
      <c r="AAL4" s="35"/>
      <c r="AAM4" s="35"/>
      <c r="AAN4" s="35"/>
      <c r="AAO4" s="35"/>
      <c r="AAP4" s="35"/>
      <c r="AAQ4" s="35"/>
      <c r="AAR4" s="35"/>
      <c r="AAS4" s="35"/>
      <c r="AAT4" s="35"/>
      <c r="AAU4" s="35"/>
      <c r="AAV4" s="35"/>
      <c r="AAW4" s="35"/>
      <c r="AAX4" s="35"/>
      <c r="AAY4" s="35"/>
      <c r="AAZ4" s="35"/>
      <c r="ABA4" s="35"/>
      <c r="ABB4" s="35"/>
      <c r="ABC4" s="35"/>
      <c r="ABD4" s="35"/>
      <c r="ABE4" s="35"/>
      <c r="ABF4" s="35"/>
      <c r="ABG4" s="35"/>
      <c r="ABH4" s="35"/>
      <c r="ABI4" s="35"/>
      <c r="ABJ4" s="35"/>
      <c r="ABK4" s="35"/>
      <c r="ABL4" s="35"/>
      <c r="ABM4" s="35"/>
      <c r="ABN4" s="35"/>
      <c r="ABO4" s="35"/>
      <c r="ABP4" s="35"/>
      <c r="ABQ4" s="35"/>
      <c r="ABR4" s="35"/>
      <c r="ABS4" s="35"/>
      <c r="ABT4" s="35"/>
      <c r="ABU4" s="35"/>
      <c r="ABV4" s="35"/>
      <c r="ABW4" s="35"/>
      <c r="ABX4" s="35"/>
      <c r="ABY4" s="35"/>
      <c r="ABZ4" s="35"/>
      <c r="ACA4" s="35"/>
      <c r="ACB4" s="35"/>
      <c r="ACC4" s="35"/>
      <c r="ACD4" s="35"/>
      <c r="ACE4" s="35"/>
      <c r="ACF4" s="35"/>
      <c r="ACG4" s="35"/>
      <c r="ACH4" s="35"/>
      <c r="ACI4" s="35"/>
      <c r="ACJ4" s="35"/>
      <c r="ACK4" s="35"/>
      <c r="ACL4" s="35"/>
      <c r="ACM4" s="35"/>
      <c r="ACN4" s="35"/>
      <c r="ACO4" s="35"/>
      <c r="ACP4" s="35"/>
      <c r="ACQ4" s="35"/>
      <c r="ACR4" s="35"/>
      <c r="ACS4" s="35"/>
      <c r="ACT4" s="35"/>
      <c r="ACU4" s="35"/>
      <c r="ACV4" s="35"/>
      <c r="ACW4" s="35"/>
      <c r="ACX4" s="35"/>
      <c r="ACY4" s="35"/>
      <c r="ACZ4" s="35"/>
      <c r="ADA4" s="35"/>
      <c r="ADB4" s="35"/>
      <c r="ADC4" s="35"/>
      <c r="ADD4" s="35"/>
      <c r="ADE4" s="35"/>
      <c r="ADF4" s="35"/>
      <c r="ADG4" s="35"/>
      <c r="ADH4" s="35"/>
      <c r="ADI4" s="35"/>
      <c r="ADJ4" s="35"/>
      <c r="ADK4" s="35"/>
      <c r="ADL4" s="35"/>
      <c r="ADM4" s="35"/>
      <c r="ADN4" s="35"/>
      <c r="ADO4" s="35"/>
      <c r="ADP4" s="35"/>
      <c r="ADQ4" s="35"/>
      <c r="ADR4" s="35"/>
      <c r="ADS4" s="35"/>
      <c r="ADT4" s="35"/>
      <c r="ADU4" s="35"/>
      <c r="ADV4" s="35"/>
      <c r="ADW4" s="35"/>
      <c r="ADX4" s="35"/>
      <c r="ADY4" s="35"/>
      <c r="ADZ4" s="35"/>
      <c r="AEA4" s="35"/>
      <c r="AEB4" s="35"/>
      <c r="AEC4" s="35"/>
      <c r="AED4" s="35"/>
      <c r="AEE4" s="35"/>
      <c r="AEF4" s="35"/>
      <c r="AEG4" s="35"/>
      <c r="AEH4" s="35"/>
      <c r="AEI4" s="35"/>
      <c r="AEJ4" s="35"/>
      <c r="AEK4" s="35"/>
      <c r="AEL4" s="35"/>
      <c r="AEM4" s="35"/>
      <c r="AEN4" s="35"/>
      <c r="AEO4" s="35"/>
      <c r="AEP4" s="35"/>
      <c r="AEQ4" s="35"/>
      <c r="AER4" s="35"/>
      <c r="AES4" s="35"/>
      <c r="AET4" s="35"/>
      <c r="AEU4" s="35"/>
      <c r="AEV4" s="35"/>
      <c r="AEW4" s="35"/>
      <c r="AEX4" s="35"/>
      <c r="AEY4" s="35"/>
      <c r="AEZ4" s="35"/>
      <c r="AFA4" s="35"/>
      <c r="AFB4" s="35"/>
      <c r="AFC4" s="35"/>
      <c r="AFD4" s="35"/>
      <c r="AFE4" s="35"/>
      <c r="AFF4" s="35"/>
      <c r="AFG4" s="35"/>
      <c r="AFH4" s="35"/>
      <c r="AFI4" s="35"/>
      <c r="AFJ4" s="35"/>
      <c r="AFK4" s="35"/>
      <c r="AFL4" s="35"/>
      <c r="AFM4" s="35"/>
      <c r="AFN4" s="35"/>
      <c r="AFO4" s="35"/>
      <c r="AFP4" s="35"/>
      <c r="AFQ4" s="35"/>
      <c r="AFR4" s="35"/>
      <c r="AFS4" s="35"/>
      <c r="AFT4" s="35"/>
      <c r="AFU4" s="35"/>
      <c r="AFV4" s="35"/>
      <c r="AFW4" s="35"/>
      <c r="AFX4" s="35"/>
      <c r="AFY4" s="35"/>
      <c r="AFZ4" s="35"/>
      <c r="AGA4" s="35"/>
      <c r="AGB4" s="35"/>
      <c r="AGC4" s="35"/>
      <c r="AGD4" s="35"/>
      <c r="AGE4" s="35"/>
      <c r="AGF4" s="35"/>
      <c r="AGG4" s="35"/>
      <c r="AGH4" s="35"/>
      <c r="AGI4" s="35"/>
      <c r="AGJ4" s="35"/>
      <c r="AGK4" s="35"/>
      <c r="AGL4" s="35"/>
      <c r="AGM4" s="35"/>
      <c r="AGN4" s="35"/>
      <c r="AGO4" s="35"/>
      <c r="AGP4" s="35"/>
      <c r="AGQ4" s="35"/>
      <c r="AGR4" s="35"/>
      <c r="AGS4" s="35"/>
      <c r="AGT4" s="35"/>
      <c r="AGU4" s="35"/>
      <c r="AGV4" s="35"/>
      <c r="AGW4" s="35"/>
      <c r="AGX4" s="35"/>
      <c r="AGY4" s="35"/>
      <c r="AGZ4" s="35"/>
      <c r="AHA4" s="35"/>
      <c r="AHB4" s="35"/>
      <c r="AHC4" s="35"/>
      <c r="AHD4" s="35"/>
      <c r="AHE4" s="35"/>
      <c r="AHF4" s="35"/>
      <c r="AHG4" s="35"/>
      <c r="AHH4" s="35"/>
      <c r="AHI4" s="35"/>
      <c r="AHJ4" s="35"/>
      <c r="AHK4" s="35"/>
      <c r="AHL4" s="35"/>
      <c r="AHM4" s="35"/>
      <c r="AHN4" s="35"/>
      <c r="AHO4" s="35"/>
      <c r="AHP4" s="35"/>
      <c r="AHQ4" s="35"/>
      <c r="AHR4" s="35"/>
      <c r="AHS4" s="35"/>
      <c r="AHT4" s="35"/>
      <c r="AHU4" s="35"/>
      <c r="AHV4" s="35"/>
      <c r="AHW4" s="35"/>
      <c r="AHX4" s="35"/>
      <c r="AHY4" s="35"/>
      <c r="AHZ4" s="35"/>
      <c r="AIA4" s="35"/>
      <c r="AIB4" s="35"/>
      <c r="AIC4" s="35"/>
      <c r="AID4" s="35"/>
      <c r="AIE4" s="35"/>
      <c r="AIF4" s="35"/>
      <c r="AIG4" s="35"/>
      <c r="AIH4" s="35"/>
      <c r="AII4" s="35"/>
      <c r="AIJ4" s="35"/>
      <c r="AIK4" s="35"/>
      <c r="AIL4" s="35"/>
      <c r="AIM4" s="35"/>
      <c r="AIN4" s="35"/>
      <c r="AIO4" s="35"/>
      <c r="AIP4" s="35"/>
      <c r="AIQ4" s="35"/>
      <c r="AIR4" s="35"/>
      <c r="AIS4" s="35"/>
      <c r="AIT4" s="35"/>
      <c r="AIU4" s="35"/>
      <c r="AIV4" s="35"/>
      <c r="AIW4" s="35"/>
      <c r="AIX4" s="35"/>
      <c r="AIY4" s="35"/>
      <c r="AIZ4" s="35"/>
      <c r="AJA4" s="35"/>
      <c r="AJB4" s="35"/>
      <c r="AJC4" s="35"/>
      <c r="AJD4" s="35"/>
      <c r="AJE4" s="35"/>
      <c r="AJF4" s="35"/>
      <c r="AJG4" s="35"/>
      <c r="AJH4" s="35"/>
      <c r="AJI4" s="35"/>
      <c r="AJJ4" s="35"/>
      <c r="AJK4" s="35"/>
      <c r="AJL4" s="35"/>
      <c r="AJM4" s="35"/>
      <c r="AJN4" s="35"/>
      <c r="AJO4" s="35"/>
      <c r="AJP4" s="35"/>
      <c r="AJQ4" s="35"/>
      <c r="AJR4" s="35"/>
      <c r="AJS4" s="35"/>
      <c r="AJT4" s="35"/>
      <c r="AJU4" s="35"/>
      <c r="AJV4" s="35"/>
      <c r="AJW4" s="35"/>
      <c r="AJX4" s="35"/>
      <c r="AJY4" s="35"/>
      <c r="AJZ4" s="35"/>
      <c r="AKA4" s="35"/>
      <c r="AKB4" s="35"/>
      <c r="AKC4" s="35"/>
      <c r="AKD4" s="35"/>
      <c r="AKE4" s="35"/>
      <c r="AKF4" s="35"/>
      <c r="AKG4" s="35"/>
      <c r="AKH4" s="35"/>
      <c r="AKI4" s="35"/>
      <c r="AKJ4" s="35"/>
      <c r="AKK4" s="35"/>
      <c r="AKL4" s="35"/>
      <c r="AKM4" s="35"/>
      <c r="AKN4" s="35"/>
      <c r="AKO4" s="35"/>
      <c r="AKP4" s="35"/>
      <c r="AKQ4" s="35"/>
      <c r="AKR4" s="35"/>
      <c r="AKS4" s="35"/>
    </row>
    <row r="5" customFormat="false" ht="12.8" hidden="true" customHeight="true" outlineLevel="1" collapsed="false">
      <c r="A5" s="40"/>
      <c r="B5" s="40"/>
      <c r="C5" s="40"/>
      <c r="D5" s="40"/>
      <c r="E5" s="40"/>
      <c r="F5" s="40"/>
      <c r="G5" s="40"/>
      <c r="H5" s="40"/>
      <c r="I5" s="40"/>
      <c r="J5" s="40"/>
      <c r="K5" s="40"/>
      <c r="L5" s="40"/>
      <c r="M5" s="40"/>
      <c r="N5" s="40"/>
      <c r="O5" s="40" t="s">
        <v>364</v>
      </c>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5"/>
      <c r="BL5" s="35"/>
      <c r="BM5" s="35"/>
      <c r="BN5" s="35"/>
      <c r="BO5" s="35"/>
      <c r="BP5" s="35"/>
      <c r="BQ5" s="35"/>
      <c r="BR5" s="35"/>
      <c r="BS5" s="35"/>
      <c r="BT5" s="35"/>
      <c r="BU5" s="35"/>
      <c r="BV5" s="35"/>
      <c r="BW5" s="35"/>
      <c r="BX5" s="35"/>
      <c r="BY5" s="35"/>
      <c r="BZ5" s="35"/>
      <c r="CA5" s="35"/>
      <c r="CB5" s="35"/>
      <c r="CC5" s="35"/>
      <c r="CD5" s="35"/>
      <c r="CE5" s="35"/>
      <c r="CF5" s="35"/>
      <c r="CG5" s="35"/>
      <c r="CH5" s="35"/>
      <c r="CI5" s="35"/>
      <c r="CJ5" s="35"/>
      <c r="CK5" s="35"/>
      <c r="CL5" s="35"/>
      <c r="CM5" s="35"/>
      <c r="CN5" s="35"/>
      <c r="CO5" s="35"/>
      <c r="CP5" s="35"/>
      <c r="CQ5" s="35"/>
      <c r="CR5" s="35"/>
      <c r="CS5" s="35"/>
      <c r="CT5" s="35"/>
      <c r="CU5" s="35"/>
      <c r="CV5" s="35"/>
      <c r="CW5" s="35"/>
      <c r="CX5" s="35"/>
      <c r="CY5" s="35"/>
      <c r="CZ5" s="35"/>
      <c r="DA5" s="35"/>
      <c r="DB5" s="35"/>
      <c r="DC5" s="35"/>
      <c r="DD5" s="35"/>
      <c r="DE5" s="35"/>
      <c r="DF5" s="35"/>
      <c r="DG5" s="35"/>
      <c r="DH5" s="35"/>
      <c r="DI5" s="35"/>
      <c r="DJ5" s="35"/>
      <c r="DK5" s="35"/>
      <c r="DL5" s="35"/>
      <c r="DM5" s="35"/>
      <c r="DN5" s="35"/>
      <c r="DO5" s="35"/>
      <c r="DP5" s="35"/>
      <c r="DQ5" s="35"/>
      <c r="DR5" s="35"/>
      <c r="DS5" s="35"/>
      <c r="DT5" s="35"/>
      <c r="DU5" s="35"/>
      <c r="DV5" s="35"/>
      <c r="DW5" s="35"/>
      <c r="DX5" s="35"/>
      <c r="DY5" s="35"/>
      <c r="DZ5" s="35"/>
      <c r="EA5" s="35"/>
      <c r="EB5" s="35"/>
      <c r="EC5" s="35"/>
      <c r="ED5" s="35"/>
      <c r="EE5" s="35"/>
      <c r="EF5" s="35"/>
      <c r="EG5" s="35"/>
      <c r="EH5" s="35"/>
      <c r="EI5" s="35"/>
      <c r="EJ5" s="35"/>
      <c r="EK5" s="35"/>
      <c r="EL5" s="35"/>
      <c r="EM5" s="35"/>
      <c r="EN5" s="35"/>
      <c r="EO5" s="35"/>
      <c r="EP5" s="35"/>
      <c r="EQ5" s="35"/>
      <c r="ER5" s="35"/>
      <c r="ES5" s="35"/>
      <c r="ET5" s="35"/>
      <c r="EU5" s="35"/>
      <c r="EV5" s="35"/>
      <c r="EW5" s="35"/>
      <c r="EX5" s="35"/>
      <c r="EY5" s="35"/>
      <c r="EZ5" s="35"/>
      <c r="FA5" s="35"/>
      <c r="FB5" s="35"/>
      <c r="FC5" s="35"/>
      <c r="FD5" s="35"/>
      <c r="FE5" s="35"/>
      <c r="FF5" s="35"/>
      <c r="FG5" s="35"/>
      <c r="FH5" s="35"/>
      <c r="FI5" s="35"/>
      <c r="FJ5" s="35"/>
      <c r="FK5" s="35"/>
      <c r="FL5" s="35"/>
      <c r="FM5" s="35"/>
      <c r="FN5" s="35"/>
      <c r="FO5" s="35"/>
      <c r="FP5" s="35"/>
      <c r="FQ5" s="35"/>
      <c r="FR5" s="35"/>
      <c r="FS5" s="35"/>
      <c r="FT5" s="35"/>
      <c r="FU5" s="35"/>
      <c r="FV5" s="35"/>
      <c r="FW5" s="35"/>
      <c r="FX5" s="35"/>
      <c r="FY5" s="35"/>
      <c r="FZ5" s="35"/>
      <c r="GA5" s="35"/>
      <c r="GB5" s="35"/>
      <c r="GC5" s="35"/>
      <c r="GD5" s="35"/>
      <c r="GE5" s="35"/>
      <c r="GF5" s="35"/>
      <c r="GG5" s="35"/>
      <c r="GH5" s="35"/>
      <c r="GI5" s="35"/>
      <c r="GJ5" s="35"/>
      <c r="GK5" s="35"/>
      <c r="GL5" s="35"/>
      <c r="GM5" s="35"/>
      <c r="GN5" s="35"/>
      <c r="GO5" s="35"/>
      <c r="GP5" s="35"/>
      <c r="GQ5" s="35"/>
      <c r="GR5" s="35"/>
      <c r="GS5" s="35"/>
      <c r="GT5" s="35"/>
      <c r="GU5" s="35"/>
      <c r="GV5" s="35"/>
      <c r="GW5" s="35"/>
      <c r="GX5" s="35"/>
      <c r="GY5" s="35"/>
      <c r="GZ5" s="35"/>
      <c r="HA5" s="35"/>
      <c r="HB5" s="35"/>
      <c r="HC5" s="35"/>
      <c r="HD5" s="35"/>
      <c r="HE5" s="35"/>
      <c r="HF5" s="35"/>
      <c r="HG5" s="35"/>
      <c r="HH5" s="35"/>
      <c r="HI5" s="35"/>
      <c r="HJ5" s="35"/>
      <c r="HK5" s="35"/>
      <c r="HL5" s="35"/>
      <c r="HM5" s="35"/>
      <c r="HN5" s="35"/>
      <c r="HO5" s="35"/>
      <c r="HP5" s="35"/>
      <c r="HQ5" s="35"/>
      <c r="HR5" s="35"/>
      <c r="HS5" s="35"/>
      <c r="HT5" s="35"/>
      <c r="HU5" s="35"/>
      <c r="HV5" s="35"/>
      <c r="HW5" s="35"/>
      <c r="HX5" s="35"/>
      <c r="HY5" s="35"/>
      <c r="HZ5" s="35"/>
      <c r="IA5" s="35"/>
      <c r="IB5" s="35"/>
      <c r="IC5" s="35"/>
      <c r="ID5" s="35"/>
      <c r="IE5" s="35"/>
      <c r="IF5" s="35"/>
      <c r="IG5" s="35"/>
      <c r="IH5" s="35"/>
      <c r="II5" s="35"/>
      <c r="IJ5" s="35"/>
      <c r="IK5" s="35"/>
      <c r="IL5" s="35"/>
      <c r="IM5" s="35"/>
      <c r="IN5" s="35"/>
      <c r="IO5" s="35"/>
      <c r="IP5" s="35"/>
      <c r="IQ5" s="35"/>
      <c r="IR5" s="35"/>
      <c r="IS5" s="35"/>
      <c r="IT5" s="35"/>
      <c r="IU5" s="35"/>
      <c r="IV5" s="35"/>
      <c r="IW5" s="35"/>
      <c r="IX5" s="35"/>
      <c r="IY5" s="35"/>
      <c r="IZ5" s="35"/>
      <c r="JA5" s="35"/>
      <c r="JB5" s="35"/>
      <c r="JC5" s="35"/>
      <c r="JD5" s="35"/>
      <c r="JE5" s="35"/>
      <c r="JF5" s="35"/>
      <c r="JG5" s="35"/>
      <c r="JH5" s="35"/>
      <c r="JI5" s="35"/>
      <c r="JJ5" s="35"/>
      <c r="JK5" s="35"/>
      <c r="JL5" s="35"/>
      <c r="JM5" s="35"/>
      <c r="JN5" s="35"/>
      <c r="JO5" s="35"/>
      <c r="JP5" s="35"/>
      <c r="JQ5" s="35"/>
      <c r="JR5" s="35"/>
      <c r="JS5" s="35"/>
      <c r="JT5" s="35"/>
      <c r="JU5" s="35"/>
      <c r="JV5" s="35"/>
      <c r="JW5" s="35"/>
      <c r="JX5" s="35"/>
      <c r="JY5" s="35"/>
      <c r="JZ5" s="35"/>
      <c r="KA5" s="35"/>
      <c r="KB5" s="35"/>
      <c r="KC5" s="35"/>
      <c r="KD5" s="35"/>
      <c r="KE5" s="35"/>
      <c r="KF5" s="35"/>
      <c r="KG5" s="35"/>
      <c r="KH5" s="35"/>
      <c r="KI5" s="35"/>
      <c r="KJ5" s="35"/>
      <c r="KK5" s="35"/>
      <c r="KL5" s="35"/>
      <c r="KM5" s="35"/>
      <c r="KN5" s="35"/>
      <c r="KO5" s="35"/>
      <c r="KP5" s="35"/>
      <c r="KQ5" s="35"/>
      <c r="KR5" s="35"/>
      <c r="KS5" s="35"/>
      <c r="KT5" s="35"/>
      <c r="KU5" s="35"/>
      <c r="KV5" s="35"/>
      <c r="KW5" s="35"/>
      <c r="KX5" s="35"/>
      <c r="KY5" s="35"/>
      <c r="KZ5" s="35"/>
      <c r="LA5" s="35"/>
      <c r="LB5" s="35"/>
      <c r="LC5" s="35"/>
      <c r="LD5" s="35"/>
      <c r="LE5" s="35"/>
      <c r="LF5" s="35"/>
      <c r="LG5" s="35"/>
      <c r="LH5" s="35"/>
      <c r="LI5" s="35"/>
      <c r="LJ5" s="35"/>
      <c r="LK5" s="35"/>
      <c r="LL5" s="35"/>
      <c r="LM5" s="35"/>
      <c r="LN5" s="35"/>
      <c r="LO5" s="35"/>
      <c r="LP5" s="35"/>
      <c r="LQ5" s="35"/>
      <c r="LR5" s="35"/>
      <c r="LS5" s="35"/>
      <c r="LT5" s="35"/>
      <c r="LU5" s="35"/>
      <c r="LV5" s="35"/>
      <c r="LW5" s="35"/>
      <c r="LX5" s="35"/>
      <c r="LY5" s="35"/>
      <c r="LZ5" s="35"/>
      <c r="MA5" s="35"/>
      <c r="MB5" s="35"/>
      <c r="MC5" s="35"/>
      <c r="MD5" s="35"/>
      <c r="ME5" s="35"/>
      <c r="MF5" s="35"/>
      <c r="MG5" s="35"/>
      <c r="MH5" s="35"/>
      <c r="MI5" s="35"/>
      <c r="MJ5" s="35"/>
      <c r="MK5" s="35"/>
      <c r="ML5" s="35"/>
      <c r="MM5" s="35"/>
      <c r="MN5" s="35"/>
      <c r="MO5" s="35"/>
      <c r="MP5" s="35"/>
      <c r="MQ5" s="35"/>
      <c r="MR5" s="35"/>
      <c r="MS5" s="35"/>
      <c r="MT5" s="35"/>
      <c r="MU5" s="35"/>
      <c r="MV5" s="35"/>
      <c r="MW5" s="35"/>
      <c r="MX5" s="35"/>
      <c r="MY5" s="35"/>
      <c r="MZ5" s="35"/>
      <c r="NA5" s="35"/>
      <c r="NB5" s="35"/>
      <c r="NC5" s="35"/>
      <c r="ND5" s="35"/>
      <c r="NE5" s="35"/>
      <c r="NF5" s="35"/>
      <c r="NG5" s="35"/>
      <c r="NH5" s="35"/>
      <c r="NI5" s="35"/>
      <c r="NJ5" s="35"/>
      <c r="NK5" s="35"/>
      <c r="NL5" s="35"/>
      <c r="NM5" s="35"/>
      <c r="NN5" s="35"/>
      <c r="NO5" s="35"/>
      <c r="NP5" s="35"/>
      <c r="NQ5" s="35"/>
      <c r="NR5" s="35"/>
      <c r="NS5" s="35"/>
      <c r="NT5" s="35"/>
      <c r="NU5" s="35"/>
      <c r="NV5" s="35"/>
      <c r="NW5" s="35"/>
      <c r="NX5" s="35"/>
      <c r="NY5" s="35"/>
      <c r="NZ5" s="35"/>
      <c r="OA5" s="35"/>
      <c r="OB5" s="35"/>
      <c r="OC5" s="35"/>
      <c r="OD5" s="35"/>
      <c r="OE5" s="35"/>
      <c r="OF5" s="35"/>
      <c r="OG5" s="35"/>
      <c r="OH5" s="35"/>
      <c r="OI5" s="35"/>
      <c r="OJ5" s="35"/>
      <c r="OK5" s="35"/>
      <c r="OL5" s="35"/>
      <c r="OM5" s="35"/>
      <c r="ON5" s="35"/>
      <c r="OO5" s="35"/>
      <c r="OP5" s="35"/>
      <c r="OQ5" s="35"/>
      <c r="OR5" s="35"/>
      <c r="OS5" s="35"/>
      <c r="OT5" s="35"/>
      <c r="OU5" s="35"/>
      <c r="OV5" s="35"/>
      <c r="OW5" s="35"/>
      <c r="OX5" s="35"/>
      <c r="OY5" s="35"/>
      <c r="OZ5" s="35"/>
      <c r="PA5" s="35"/>
      <c r="PB5" s="35"/>
      <c r="PC5" s="35"/>
      <c r="PD5" s="35"/>
      <c r="PE5" s="35"/>
      <c r="PF5" s="35"/>
      <c r="PG5" s="35"/>
      <c r="PH5" s="35"/>
      <c r="PI5" s="35"/>
      <c r="PJ5" s="35"/>
      <c r="PK5" s="35"/>
      <c r="PL5" s="35"/>
      <c r="PM5" s="35"/>
      <c r="PN5" s="35"/>
      <c r="PO5" s="35"/>
      <c r="PP5" s="35"/>
      <c r="PQ5" s="35"/>
      <c r="PR5" s="35"/>
      <c r="PS5" s="35"/>
      <c r="PT5" s="35"/>
      <c r="PU5" s="35"/>
      <c r="PV5" s="35"/>
      <c r="PW5" s="35"/>
      <c r="PX5" s="35"/>
      <c r="PY5" s="35"/>
      <c r="PZ5" s="35"/>
      <c r="QA5" s="35"/>
      <c r="QB5" s="35"/>
      <c r="QC5" s="35"/>
      <c r="QD5" s="35"/>
      <c r="QE5" s="35"/>
      <c r="QF5" s="35"/>
      <c r="QG5" s="35"/>
      <c r="QH5" s="35"/>
      <c r="QI5" s="35"/>
      <c r="QJ5" s="35"/>
      <c r="QK5" s="35"/>
      <c r="QL5" s="35"/>
      <c r="QM5" s="35"/>
      <c r="QN5" s="35"/>
      <c r="QO5" s="35"/>
      <c r="QP5" s="35"/>
      <c r="QQ5" s="35"/>
      <c r="QR5" s="35"/>
      <c r="QS5" s="35"/>
      <c r="QT5" s="35"/>
      <c r="QU5" s="35"/>
      <c r="QV5" s="35"/>
      <c r="QW5" s="35"/>
      <c r="QX5" s="35"/>
      <c r="QY5" s="35"/>
      <c r="QZ5" s="35"/>
      <c r="RA5" s="35"/>
      <c r="RB5" s="35"/>
      <c r="RC5" s="35"/>
      <c r="RD5" s="35"/>
      <c r="RE5" s="35"/>
      <c r="RF5" s="35"/>
      <c r="RG5" s="35"/>
      <c r="RH5" s="35"/>
      <c r="RI5" s="35"/>
      <c r="RJ5" s="35"/>
      <c r="RK5" s="35"/>
      <c r="RL5" s="35"/>
      <c r="RM5" s="35"/>
      <c r="RN5" s="35"/>
      <c r="RO5" s="35"/>
      <c r="RP5" s="35"/>
      <c r="RQ5" s="35"/>
      <c r="RR5" s="35"/>
      <c r="RS5" s="35"/>
      <c r="RT5" s="35"/>
      <c r="RU5" s="35"/>
      <c r="RV5" s="35"/>
      <c r="RW5" s="35"/>
      <c r="RX5" s="35"/>
      <c r="RY5" s="35"/>
      <c r="RZ5" s="35"/>
      <c r="SA5" s="35"/>
      <c r="SB5" s="35"/>
      <c r="SC5" s="35"/>
      <c r="SD5" s="35"/>
      <c r="SE5" s="35"/>
      <c r="SF5" s="35"/>
      <c r="SG5" s="35"/>
      <c r="SH5" s="35"/>
      <c r="SI5" s="35"/>
      <c r="SJ5" s="35"/>
      <c r="SK5" s="35"/>
      <c r="SL5" s="35"/>
      <c r="SM5" s="35"/>
      <c r="SN5" s="35"/>
      <c r="SO5" s="35"/>
      <c r="SP5" s="35"/>
      <c r="SQ5" s="35"/>
      <c r="SR5" s="35"/>
      <c r="SS5" s="35"/>
      <c r="ST5" s="35"/>
      <c r="SU5" s="35"/>
      <c r="SV5" s="35"/>
      <c r="SW5" s="35"/>
      <c r="SX5" s="35"/>
      <c r="SY5" s="35"/>
      <c r="SZ5" s="35"/>
      <c r="TA5" s="35"/>
      <c r="TB5" s="35"/>
      <c r="TC5" s="35"/>
      <c r="TD5" s="35"/>
      <c r="TE5" s="35"/>
      <c r="TF5" s="35"/>
      <c r="TG5" s="35"/>
      <c r="TH5" s="35"/>
      <c r="TI5" s="35"/>
      <c r="TJ5" s="35"/>
      <c r="TK5" s="35"/>
      <c r="TL5" s="35"/>
      <c r="TM5" s="35"/>
      <c r="TN5" s="35"/>
      <c r="TO5" s="35"/>
      <c r="TP5" s="35"/>
      <c r="TQ5" s="35"/>
      <c r="TR5" s="35"/>
      <c r="TS5" s="35"/>
      <c r="TT5" s="35"/>
      <c r="TU5" s="35"/>
      <c r="TV5" s="35"/>
      <c r="TW5" s="35"/>
      <c r="TX5" s="35"/>
      <c r="TY5" s="35"/>
      <c r="TZ5" s="35"/>
      <c r="UA5" s="35"/>
      <c r="UB5" s="35"/>
      <c r="UC5" s="35"/>
      <c r="UD5" s="35"/>
      <c r="UE5" s="35"/>
      <c r="UF5" s="35"/>
      <c r="UG5" s="35"/>
      <c r="UH5" s="35"/>
      <c r="UI5" s="35"/>
      <c r="UJ5" s="35"/>
      <c r="UK5" s="35"/>
      <c r="UL5" s="35"/>
      <c r="UM5" s="35"/>
      <c r="UN5" s="35"/>
      <c r="UO5" s="35"/>
      <c r="UP5" s="35"/>
      <c r="UQ5" s="35"/>
      <c r="UR5" s="35"/>
      <c r="US5" s="35"/>
      <c r="UT5" s="35"/>
      <c r="UU5" s="35"/>
      <c r="UV5" s="35"/>
      <c r="UW5" s="35"/>
      <c r="UX5" s="35"/>
      <c r="UY5" s="35"/>
      <c r="UZ5" s="35"/>
      <c r="VA5" s="35"/>
      <c r="VB5" s="35"/>
      <c r="VC5" s="35"/>
      <c r="VD5" s="35"/>
      <c r="VE5" s="35"/>
      <c r="VF5" s="35"/>
      <c r="VG5" s="35"/>
      <c r="VH5" s="35"/>
      <c r="VI5" s="35"/>
      <c r="VJ5" s="35"/>
      <c r="VK5" s="35"/>
      <c r="VL5" s="35"/>
      <c r="VM5" s="35"/>
      <c r="VN5" s="35"/>
      <c r="VO5" s="35"/>
      <c r="VP5" s="35"/>
      <c r="VQ5" s="35"/>
      <c r="VR5" s="35"/>
      <c r="VS5" s="35"/>
      <c r="VT5" s="35"/>
      <c r="VU5" s="35"/>
      <c r="VV5" s="35"/>
      <c r="VW5" s="35"/>
      <c r="VX5" s="35"/>
      <c r="VY5" s="35"/>
      <c r="VZ5" s="35"/>
      <c r="WA5" s="35"/>
      <c r="WB5" s="35"/>
      <c r="WC5" s="35"/>
      <c r="WD5" s="35"/>
      <c r="WE5" s="35"/>
      <c r="WF5" s="35"/>
      <c r="WG5" s="35"/>
      <c r="WH5" s="35"/>
      <c r="WI5" s="35"/>
      <c r="WJ5" s="35"/>
      <c r="WK5" s="35"/>
      <c r="WL5" s="35"/>
      <c r="WM5" s="35"/>
      <c r="WN5" s="35"/>
      <c r="WO5" s="35"/>
      <c r="WP5" s="35"/>
      <c r="WQ5" s="35"/>
      <c r="WR5" s="35"/>
      <c r="WS5" s="35"/>
      <c r="WT5" s="35"/>
      <c r="WU5" s="35"/>
      <c r="WV5" s="35"/>
      <c r="WW5" s="35"/>
      <c r="WX5" s="35"/>
      <c r="WY5" s="35"/>
      <c r="WZ5" s="35"/>
      <c r="XA5" s="35"/>
      <c r="XB5" s="35"/>
      <c r="XC5" s="35"/>
      <c r="XD5" s="35"/>
      <c r="XE5" s="35"/>
      <c r="XF5" s="35"/>
      <c r="XG5" s="35"/>
      <c r="XH5" s="35"/>
      <c r="XI5" s="35"/>
      <c r="XJ5" s="35"/>
      <c r="XK5" s="35"/>
      <c r="XL5" s="35"/>
      <c r="XM5" s="35"/>
      <c r="XN5" s="35"/>
      <c r="XO5" s="35"/>
      <c r="XP5" s="35"/>
      <c r="XQ5" s="35"/>
      <c r="XR5" s="35"/>
      <c r="XS5" s="35"/>
      <c r="XT5" s="35"/>
      <c r="XU5" s="35"/>
      <c r="XV5" s="35"/>
      <c r="XW5" s="35"/>
      <c r="XX5" s="35"/>
      <c r="XY5" s="35"/>
      <c r="XZ5" s="35"/>
      <c r="YA5" s="35"/>
      <c r="YB5" s="35"/>
      <c r="YC5" s="35"/>
      <c r="YD5" s="35"/>
      <c r="YE5" s="35"/>
      <c r="YF5" s="35"/>
      <c r="YG5" s="35"/>
      <c r="YH5" s="35"/>
      <c r="YI5" s="35"/>
      <c r="YJ5" s="35"/>
      <c r="YK5" s="35"/>
      <c r="YL5" s="35"/>
      <c r="YM5" s="35"/>
      <c r="YN5" s="35"/>
      <c r="YO5" s="35"/>
      <c r="YP5" s="35"/>
      <c r="YQ5" s="35"/>
      <c r="YR5" s="35"/>
      <c r="YS5" s="35"/>
      <c r="YT5" s="35"/>
      <c r="YU5" s="35"/>
      <c r="YV5" s="35"/>
      <c r="YW5" s="35"/>
      <c r="YX5" s="35"/>
      <c r="YY5" s="35"/>
      <c r="YZ5" s="35"/>
      <c r="ZA5" s="35"/>
      <c r="ZB5" s="35"/>
      <c r="ZC5" s="35"/>
      <c r="ZD5" s="35"/>
      <c r="ZE5" s="35"/>
      <c r="ZF5" s="35"/>
      <c r="ZG5" s="35"/>
      <c r="ZH5" s="35"/>
      <c r="ZI5" s="35"/>
      <c r="ZJ5" s="35"/>
      <c r="ZK5" s="35"/>
      <c r="ZL5" s="35"/>
      <c r="ZM5" s="35"/>
      <c r="ZN5" s="35"/>
      <c r="ZO5" s="35"/>
      <c r="ZP5" s="35"/>
      <c r="ZQ5" s="35"/>
      <c r="ZR5" s="35"/>
      <c r="ZS5" s="35"/>
      <c r="ZT5" s="35"/>
      <c r="ZU5" s="35"/>
      <c r="ZV5" s="35"/>
      <c r="ZW5" s="35"/>
      <c r="ZX5" s="35"/>
      <c r="ZY5" s="35"/>
      <c r="ZZ5" s="35"/>
      <c r="AAA5" s="35"/>
      <c r="AAB5" s="35"/>
      <c r="AAC5" s="35"/>
      <c r="AAD5" s="35"/>
      <c r="AAE5" s="35"/>
      <c r="AAF5" s="35"/>
      <c r="AAG5" s="35"/>
      <c r="AAH5" s="35"/>
      <c r="AAI5" s="35"/>
      <c r="AAJ5" s="35"/>
      <c r="AAK5" s="35"/>
      <c r="AAL5" s="35"/>
      <c r="AAM5" s="35"/>
      <c r="AAN5" s="35"/>
      <c r="AAO5" s="35"/>
      <c r="AAP5" s="35"/>
      <c r="AAQ5" s="35"/>
      <c r="AAR5" s="35"/>
      <c r="AAS5" s="35"/>
      <c r="AAT5" s="35"/>
      <c r="AAU5" s="35"/>
      <c r="AAV5" s="35"/>
      <c r="AAW5" s="35"/>
      <c r="AAX5" s="35"/>
      <c r="AAY5" s="35"/>
      <c r="AAZ5" s="35"/>
      <c r="ABA5" s="35"/>
      <c r="ABB5" s="35"/>
      <c r="ABC5" s="35"/>
      <c r="ABD5" s="35"/>
      <c r="ABE5" s="35"/>
      <c r="ABF5" s="35"/>
      <c r="ABG5" s="35"/>
      <c r="ABH5" s="35"/>
      <c r="ABI5" s="35"/>
      <c r="ABJ5" s="35"/>
      <c r="ABK5" s="35"/>
      <c r="ABL5" s="35"/>
      <c r="ABM5" s="35"/>
      <c r="ABN5" s="35"/>
      <c r="ABO5" s="35"/>
      <c r="ABP5" s="35"/>
      <c r="ABQ5" s="35"/>
      <c r="ABR5" s="35"/>
      <c r="ABS5" s="35"/>
      <c r="ABT5" s="35"/>
      <c r="ABU5" s="35"/>
      <c r="ABV5" s="35"/>
      <c r="ABW5" s="35"/>
      <c r="ABX5" s="35"/>
      <c r="ABY5" s="35"/>
      <c r="ABZ5" s="35"/>
      <c r="ACA5" s="35"/>
      <c r="ACB5" s="35"/>
      <c r="ACC5" s="35"/>
      <c r="ACD5" s="35"/>
      <c r="ACE5" s="35"/>
      <c r="ACF5" s="35"/>
      <c r="ACG5" s="35"/>
      <c r="ACH5" s="35"/>
      <c r="ACI5" s="35"/>
      <c r="ACJ5" s="35"/>
      <c r="ACK5" s="35"/>
      <c r="ACL5" s="35"/>
      <c r="ACM5" s="35"/>
      <c r="ACN5" s="35"/>
      <c r="ACO5" s="35"/>
      <c r="ACP5" s="35"/>
      <c r="ACQ5" s="35"/>
      <c r="ACR5" s="35"/>
      <c r="ACS5" s="35"/>
      <c r="ACT5" s="35"/>
      <c r="ACU5" s="35"/>
      <c r="ACV5" s="35"/>
      <c r="ACW5" s="35"/>
      <c r="ACX5" s="35"/>
      <c r="ACY5" s="35"/>
      <c r="ACZ5" s="35"/>
      <c r="ADA5" s="35"/>
      <c r="ADB5" s="35"/>
      <c r="ADC5" s="35"/>
      <c r="ADD5" s="35"/>
      <c r="ADE5" s="35"/>
      <c r="ADF5" s="35"/>
      <c r="ADG5" s="35"/>
      <c r="ADH5" s="35"/>
      <c r="ADI5" s="35"/>
      <c r="ADJ5" s="35"/>
      <c r="ADK5" s="35"/>
      <c r="ADL5" s="35"/>
      <c r="ADM5" s="35"/>
      <c r="ADN5" s="35"/>
      <c r="ADO5" s="35"/>
      <c r="ADP5" s="35"/>
      <c r="ADQ5" s="35"/>
      <c r="ADR5" s="35"/>
      <c r="ADS5" s="35"/>
      <c r="ADT5" s="35"/>
      <c r="ADU5" s="35"/>
      <c r="ADV5" s="35"/>
      <c r="ADW5" s="35"/>
      <c r="ADX5" s="35"/>
      <c r="ADY5" s="35"/>
      <c r="ADZ5" s="35"/>
      <c r="AEA5" s="35"/>
      <c r="AEB5" s="35"/>
      <c r="AEC5" s="35"/>
      <c r="AED5" s="35"/>
      <c r="AEE5" s="35"/>
      <c r="AEF5" s="35"/>
      <c r="AEG5" s="35"/>
      <c r="AEH5" s="35"/>
      <c r="AEI5" s="35"/>
      <c r="AEJ5" s="35"/>
      <c r="AEK5" s="35"/>
      <c r="AEL5" s="35"/>
      <c r="AEM5" s="35"/>
      <c r="AEN5" s="35"/>
      <c r="AEO5" s="35"/>
      <c r="AEP5" s="35"/>
      <c r="AEQ5" s="35"/>
      <c r="AER5" s="35"/>
      <c r="AES5" s="35"/>
      <c r="AET5" s="35"/>
      <c r="AEU5" s="35"/>
      <c r="AEV5" s="35"/>
      <c r="AEW5" s="35"/>
      <c r="AEX5" s="35"/>
      <c r="AEY5" s="35"/>
      <c r="AEZ5" s="35"/>
      <c r="AFA5" s="35"/>
      <c r="AFB5" s="35"/>
      <c r="AFC5" s="35"/>
      <c r="AFD5" s="35"/>
      <c r="AFE5" s="35"/>
      <c r="AFF5" s="35"/>
      <c r="AFG5" s="35"/>
      <c r="AFH5" s="35"/>
      <c r="AFI5" s="35"/>
      <c r="AFJ5" s="35"/>
      <c r="AFK5" s="35"/>
      <c r="AFL5" s="35"/>
      <c r="AFM5" s="35"/>
      <c r="AFN5" s="35"/>
      <c r="AFO5" s="35"/>
      <c r="AFP5" s="35"/>
      <c r="AFQ5" s="35"/>
      <c r="AFR5" s="35"/>
      <c r="AFS5" s="35"/>
      <c r="AFT5" s="35"/>
      <c r="AFU5" s="35"/>
      <c r="AFV5" s="35"/>
      <c r="AFW5" s="35"/>
      <c r="AFX5" s="35"/>
      <c r="AFY5" s="35"/>
      <c r="AFZ5" s="35"/>
      <c r="AGA5" s="35"/>
      <c r="AGB5" s="35"/>
      <c r="AGC5" s="35"/>
      <c r="AGD5" s="35"/>
      <c r="AGE5" s="35"/>
      <c r="AGF5" s="35"/>
      <c r="AGG5" s="35"/>
      <c r="AGH5" s="35"/>
      <c r="AGI5" s="35"/>
      <c r="AGJ5" s="35"/>
      <c r="AGK5" s="35"/>
      <c r="AGL5" s="35"/>
      <c r="AGM5" s="35"/>
      <c r="AGN5" s="35"/>
      <c r="AGO5" s="35"/>
      <c r="AGP5" s="35"/>
      <c r="AGQ5" s="35"/>
      <c r="AGR5" s="35"/>
      <c r="AGS5" s="35"/>
      <c r="AGT5" s="35"/>
      <c r="AGU5" s="35"/>
      <c r="AGV5" s="35"/>
      <c r="AGW5" s="35"/>
      <c r="AGX5" s="35"/>
      <c r="AGY5" s="35"/>
      <c r="AGZ5" s="35"/>
      <c r="AHA5" s="35"/>
      <c r="AHB5" s="35"/>
      <c r="AHC5" s="35"/>
      <c r="AHD5" s="35"/>
      <c r="AHE5" s="35"/>
      <c r="AHF5" s="35"/>
      <c r="AHG5" s="35"/>
      <c r="AHH5" s="35"/>
      <c r="AHI5" s="35"/>
      <c r="AHJ5" s="35"/>
      <c r="AHK5" s="35"/>
      <c r="AHL5" s="35"/>
      <c r="AHM5" s="35"/>
      <c r="AHN5" s="35"/>
      <c r="AHO5" s="35"/>
      <c r="AHP5" s="35"/>
      <c r="AHQ5" s="35"/>
      <c r="AHR5" s="35"/>
      <c r="AHS5" s="35"/>
      <c r="AHT5" s="35"/>
      <c r="AHU5" s="35"/>
      <c r="AHV5" s="35"/>
      <c r="AHW5" s="35"/>
      <c r="AHX5" s="35"/>
      <c r="AHY5" s="35"/>
      <c r="AHZ5" s="35"/>
      <c r="AIA5" s="35"/>
      <c r="AIB5" s="35"/>
      <c r="AIC5" s="35"/>
      <c r="AID5" s="35"/>
      <c r="AIE5" s="35"/>
      <c r="AIF5" s="35"/>
      <c r="AIG5" s="35"/>
      <c r="AIH5" s="35"/>
      <c r="AII5" s="35"/>
      <c r="AIJ5" s="35"/>
      <c r="AIK5" s="35"/>
      <c r="AIL5" s="35"/>
      <c r="AIM5" s="35"/>
      <c r="AIN5" s="35"/>
      <c r="AIO5" s="35"/>
      <c r="AIP5" s="35"/>
      <c r="AIQ5" s="35"/>
      <c r="AIR5" s="35"/>
      <c r="AIS5" s="35"/>
      <c r="AIT5" s="35"/>
      <c r="AIU5" s="35"/>
      <c r="AIV5" s="35"/>
      <c r="AIW5" s="35"/>
      <c r="AIX5" s="35"/>
      <c r="AIY5" s="35"/>
      <c r="AIZ5" s="35"/>
      <c r="AJA5" s="35"/>
      <c r="AJB5" s="35"/>
      <c r="AJC5" s="35"/>
      <c r="AJD5" s="35"/>
      <c r="AJE5" s="35"/>
      <c r="AJF5" s="35"/>
      <c r="AJG5" s="35"/>
      <c r="AJH5" s="35"/>
      <c r="AJI5" s="35"/>
      <c r="AJJ5" s="35"/>
      <c r="AJK5" s="35"/>
      <c r="AJL5" s="35"/>
      <c r="AJM5" s="35"/>
      <c r="AJN5" s="35"/>
      <c r="AJO5" s="35"/>
      <c r="AJP5" s="35"/>
      <c r="AJQ5" s="35"/>
      <c r="AJR5" s="35"/>
      <c r="AJS5" s="35"/>
      <c r="AJT5" s="35"/>
      <c r="AJU5" s="35"/>
      <c r="AJV5" s="35"/>
      <c r="AJW5" s="35"/>
      <c r="AJX5" s="35"/>
      <c r="AJY5" s="35"/>
      <c r="AJZ5" s="35"/>
      <c r="AKA5" s="35"/>
      <c r="AKB5" s="35"/>
      <c r="AKC5" s="35"/>
      <c r="AKD5" s="35"/>
      <c r="AKE5" s="35"/>
      <c r="AKF5" s="35"/>
      <c r="AKG5" s="35"/>
      <c r="AKH5" s="35"/>
      <c r="AKI5" s="35"/>
      <c r="AKJ5" s="35"/>
      <c r="AKK5" s="35"/>
      <c r="AKL5" s="35"/>
      <c r="AKM5" s="35"/>
      <c r="AKN5" s="35"/>
      <c r="AKO5" s="35"/>
      <c r="AKP5" s="35"/>
      <c r="AKQ5" s="35"/>
      <c r="AKR5" s="35"/>
      <c r="AKS5" s="35"/>
    </row>
    <row r="6" customFormat="false" ht="12.8" hidden="true" customHeight="true" outlineLevel="1" collapsed="false">
      <c r="A6" s="40"/>
      <c r="B6" s="40"/>
      <c r="C6" s="40"/>
      <c r="D6" s="40"/>
      <c r="E6" s="40"/>
      <c r="F6" s="40"/>
      <c r="G6" s="40"/>
      <c r="H6" s="40"/>
      <c r="I6" s="40"/>
      <c r="J6" s="40"/>
      <c r="K6" s="40"/>
      <c r="L6" s="40"/>
      <c r="M6" s="40"/>
      <c r="N6" s="40"/>
      <c r="O6" s="40" t="s">
        <v>364</v>
      </c>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c r="BJ6" s="35"/>
      <c r="BK6" s="35"/>
      <c r="BL6" s="35"/>
      <c r="BM6" s="35"/>
      <c r="BN6" s="35"/>
      <c r="BO6" s="35"/>
      <c r="BP6" s="35"/>
      <c r="BQ6" s="35"/>
      <c r="BR6" s="35"/>
      <c r="BS6" s="35"/>
      <c r="BT6" s="35"/>
      <c r="BU6" s="35"/>
      <c r="BV6" s="35"/>
      <c r="BW6" s="35"/>
      <c r="BX6" s="35"/>
      <c r="BY6" s="35"/>
      <c r="BZ6" s="35"/>
      <c r="CA6" s="35"/>
      <c r="CB6" s="35"/>
      <c r="CC6" s="35"/>
      <c r="CD6" s="35"/>
      <c r="CE6" s="35"/>
      <c r="CF6" s="35"/>
      <c r="CG6" s="35"/>
      <c r="CH6" s="35"/>
      <c r="CI6" s="35"/>
      <c r="CJ6" s="35"/>
      <c r="CK6" s="35"/>
      <c r="CL6" s="35"/>
      <c r="CM6" s="35"/>
      <c r="CN6" s="35"/>
      <c r="CO6" s="35"/>
      <c r="CP6" s="35"/>
      <c r="CQ6" s="35"/>
      <c r="CR6" s="35"/>
      <c r="CS6" s="35"/>
      <c r="CT6" s="35"/>
      <c r="CU6" s="35"/>
      <c r="CV6" s="35"/>
      <c r="CW6" s="35"/>
      <c r="CX6" s="35"/>
      <c r="CY6" s="35"/>
      <c r="CZ6" s="35"/>
      <c r="DA6" s="35"/>
      <c r="DB6" s="35"/>
      <c r="DC6" s="35"/>
      <c r="DD6" s="35"/>
      <c r="DE6" s="35"/>
      <c r="DF6" s="35"/>
      <c r="DG6" s="35"/>
      <c r="DH6" s="35"/>
      <c r="DI6" s="35"/>
      <c r="DJ6" s="35"/>
      <c r="DK6" s="35"/>
      <c r="DL6" s="35"/>
      <c r="DM6" s="35"/>
      <c r="DN6" s="35"/>
      <c r="DO6" s="35"/>
      <c r="DP6" s="35"/>
      <c r="DQ6" s="35"/>
      <c r="DR6" s="35"/>
      <c r="DS6" s="35"/>
      <c r="DT6" s="35"/>
      <c r="DU6" s="35"/>
      <c r="DV6" s="35"/>
      <c r="DW6" s="35"/>
      <c r="DX6" s="35"/>
      <c r="DY6" s="35"/>
      <c r="DZ6" s="35"/>
      <c r="EA6" s="35"/>
      <c r="EB6" s="35"/>
      <c r="EC6" s="35"/>
      <c r="ED6" s="35"/>
      <c r="EE6" s="35"/>
      <c r="EF6" s="35"/>
      <c r="EG6" s="35"/>
      <c r="EH6" s="35"/>
      <c r="EI6" s="35"/>
      <c r="EJ6" s="35"/>
      <c r="EK6" s="35"/>
      <c r="EL6" s="35"/>
      <c r="EM6" s="35"/>
      <c r="EN6" s="35"/>
      <c r="EO6" s="35"/>
      <c r="EP6" s="35"/>
      <c r="EQ6" s="35"/>
      <c r="ER6" s="35"/>
      <c r="ES6" s="35"/>
      <c r="ET6" s="35"/>
      <c r="EU6" s="35"/>
      <c r="EV6" s="35"/>
      <c r="EW6" s="35"/>
      <c r="EX6" s="35"/>
      <c r="EY6" s="35"/>
      <c r="EZ6" s="35"/>
      <c r="FA6" s="35"/>
      <c r="FB6" s="35"/>
      <c r="FC6" s="35"/>
      <c r="FD6" s="35"/>
      <c r="FE6" s="35"/>
      <c r="FF6" s="35"/>
      <c r="FG6" s="35"/>
      <c r="FH6" s="35"/>
      <c r="FI6" s="35"/>
      <c r="FJ6" s="35"/>
      <c r="FK6" s="35"/>
      <c r="FL6" s="35"/>
      <c r="FM6" s="35"/>
      <c r="FN6" s="35"/>
      <c r="FO6" s="35"/>
      <c r="FP6" s="35"/>
      <c r="FQ6" s="35"/>
      <c r="FR6" s="35"/>
      <c r="FS6" s="35"/>
      <c r="FT6" s="35"/>
      <c r="FU6" s="35"/>
      <c r="FV6" s="35"/>
      <c r="FW6" s="35"/>
      <c r="FX6" s="35"/>
      <c r="FY6" s="35"/>
      <c r="FZ6" s="35"/>
      <c r="GA6" s="35"/>
      <c r="GB6" s="35"/>
      <c r="GC6" s="35"/>
      <c r="GD6" s="35"/>
      <c r="GE6" s="35"/>
      <c r="GF6" s="35"/>
      <c r="GG6" s="35"/>
      <c r="GH6" s="35"/>
      <c r="GI6" s="35"/>
      <c r="GJ6" s="35"/>
      <c r="GK6" s="35"/>
      <c r="GL6" s="35"/>
      <c r="GM6" s="35"/>
      <c r="GN6" s="35"/>
      <c r="GO6" s="35"/>
      <c r="GP6" s="35"/>
      <c r="GQ6" s="35"/>
      <c r="GR6" s="35"/>
      <c r="GS6" s="35"/>
      <c r="GT6" s="35"/>
      <c r="GU6" s="35"/>
      <c r="GV6" s="35"/>
      <c r="GW6" s="35"/>
      <c r="GX6" s="35"/>
      <c r="GY6" s="35"/>
      <c r="GZ6" s="35"/>
      <c r="HA6" s="35"/>
      <c r="HB6" s="35"/>
      <c r="HC6" s="35"/>
      <c r="HD6" s="35"/>
      <c r="HE6" s="35"/>
      <c r="HF6" s="35"/>
      <c r="HG6" s="35"/>
      <c r="HH6" s="35"/>
      <c r="HI6" s="35"/>
      <c r="HJ6" s="35"/>
      <c r="HK6" s="35"/>
      <c r="HL6" s="35"/>
      <c r="HM6" s="35"/>
      <c r="HN6" s="35"/>
      <c r="HO6" s="35"/>
      <c r="HP6" s="35"/>
      <c r="HQ6" s="35"/>
      <c r="HR6" s="35"/>
      <c r="HS6" s="35"/>
      <c r="HT6" s="35"/>
      <c r="HU6" s="35"/>
      <c r="HV6" s="35"/>
      <c r="HW6" s="35"/>
      <c r="HX6" s="35"/>
      <c r="HY6" s="35"/>
      <c r="HZ6" s="35"/>
      <c r="IA6" s="35"/>
      <c r="IB6" s="35"/>
      <c r="IC6" s="35"/>
      <c r="ID6" s="35"/>
      <c r="IE6" s="35"/>
      <c r="IF6" s="35"/>
      <c r="IG6" s="35"/>
      <c r="IH6" s="35"/>
      <c r="II6" s="35"/>
      <c r="IJ6" s="35"/>
      <c r="IK6" s="35"/>
      <c r="IL6" s="35"/>
      <c r="IM6" s="35"/>
      <c r="IN6" s="35"/>
      <c r="IO6" s="35"/>
      <c r="IP6" s="35"/>
      <c r="IQ6" s="35"/>
      <c r="IR6" s="35"/>
      <c r="IS6" s="35"/>
      <c r="IT6" s="35"/>
      <c r="IU6" s="35"/>
      <c r="IV6" s="35"/>
      <c r="IW6" s="35"/>
      <c r="IX6" s="35"/>
      <c r="IY6" s="35"/>
      <c r="IZ6" s="35"/>
      <c r="JA6" s="35"/>
      <c r="JB6" s="35"/>
      <c r="JC6" s="35"/>
      <c r="JD6" s="35"/>
      <c r="JE6" s="35"/>
      <c r="JF6" s="35"/>
      <c r="JG6" s="35"/>
      <c r="JH6" s="35"/>
      <c r="JI6" s="35"/>
      <c r="JJ6" s="35"/>
      <c r="JK6" s="35"/>
      <c r="JL6" s="35"/>
      <c r="JM6" s="35"/>
      <c r="JN6" s="35"/>
      <c r="JO6" s="35"/>
      <c r="JP6" s="35"/>
      <c r="JQ6" s="35"/>
      <c r="JR6" s="35"/>
      <c r="JS6" s="35"/>
      <c r="JT6" s="35"/>
      <c r="JU6" s="35"/>
      <c r="JV6" s="35"/>
      <c r="JW6" s="35"/>
      <c r="JX6" s="35"/>
      <c r="JY6" s="35"/>
      <c r="JZ6" s="35"/>
      <c r="KA6" s="35"/>
      <c r="KB6" s="35"/>
      <c r="KC6" s="35"/>
      <c r="KD6" s="35"/>
      <c r="KE6" s="35"/>
      <c r="KF6" s="35"/>
      <c r="KG6" s="35"/>
      <c r="KH6" s="35"/>
      <c r="KI6" s="35"/>
      <c r="KJ6" s="35"/>
      <c r="KK6" s="35"/>
      <c r="KL6" s="35"/>
      <c r="KM6" s="35"/>
      <c r="KN6" s="35"/>
      <c r="KO6" s="35"/>
      <c r="KP6" s="35"/>
      <c r="KQ6" s="35"/>
      <c r="KR6" s="35"/>
      <c r="KS6" s="35"/>
      <c r="KT6" s="35"/>
      <c r="KU6" s="35"/>
      <c r="KV6" s="35"/>
      <c r="KW6" s="35"/>
      <c r="KX6" s="35"/>
      <c r="KY6" s="35"/>
      <c r="KZ6" s="35"/>
      <c r="LA6" s="35"/>
      <c r="LB6" s="35"/>
      <c r="LC6" s="35"/>
      <c r="LD6" s="35"/>
      <c r="LE6" s="35"/>
      <c r="LF6" s="35"/>
      <c r="LG6" s="35"/>
      <c r="LH6" s="35"/>
      <c r="LI6" s="35"/>
      <c r="LJ6" s="35"/>
      <c r="LK6" s="35"/>
      <c r="LL6" s="35"/>
      <c r="LM6" s="35"/>
      <c r="LN6" s="35"/>
      <c r="LO6" s="35"/>
      <c r="LP6" s="35"/>
      <c r="LQ6" s="35"/>
      <c r="LR6" s="35"/>
      <c r="LS6" s="35"/>
      <c r="LT6" s="35"/>
      <c r="LU6" s="35"/>
      <c r="LV6" s="35"/>
      <c r="LW6" s="35"/>
      <c r="LX6" s="35"/>
      <c r="LY6" s="35"/>
      <c r="LZ6" s="35"/>
      <c r="MA6" s="35"/>
      <c r="MB6" s="35"/>
      <c r="MC6" s="35"/>
      <c r="MD6" s="35"/>
      <c r="ME6" s="35"/>
      <c r="MF6" s="35"/>
      <c r="MG6" s="35"/>
      <c r="MH6" s="35"/>
      <c r="MI6" s="35"/>
      <c r="MJ6" s="35"/>
      <c r="MK6" s="35"/>
      <c r="ML6" s="35"/>
      <c r="MM6" s="35"/>
      <c r="MN6" s="35"/>
      <c r="MO6" s="35"/>
      <c r="MP6" s="35"/>
      <c r="MQ6" s="35"/>
      <c r="MR6" s="35"/>
      <c r="MS6" s="35"/>
      <c r="MT6" s="35"/>
      <c r="MU6" s="35"/>
      <c r="MV6" s="35"/>
      <c r="MW6" s="35"/>
      <c r="MX6" s="35"/>
      <c r="MY6" s="35"/>
      <c r="MZ6" s="35"/>
      <c r="NA6" s="35"/>
      <c r="NB6" s="35"/>
      <c r="NC6" s="35"/>
      <c r="ND6" s="35"/>
      <c r="NE6" s="35"/>
      <c r="NF6" s="35"/>
      <c r="NG6" s="35"/>
      <c r="NH6" s="35"/>
      <c r="NI6" s="35"/>
      <c r="NJ6" s="35"/>
      <c r="NK6" s="35"/>
      <c r="NL6" s="35"/>
      <c r="NM6" s="35"/>
      <c r="NN6" s="35"/>
      <c r="NO6" s="35"/>
      <c r="NP6" s="35"/>
      <c r="NQ6" s="35"/>
      <c r="NR6" s="35"/>
      <c r="NS6" s="35"/>
      <c r="NT6" s="35"/>
      <c r="NU6" s="35"/>
      <c r="NV6" s="35"/>
      <c r="NW6" s="35"/>
      <c r="NX6" s="35"/>
      <c r="NY6" s="35"/>
      <c r="NZ6" s="35"/>
      <c r="OA6" s="35"/>
      <c r="OB6" s="35"/>
      <c r="OC6" s="35"/>
      <c r="OD6" s="35"/>
      <c r="OE6" s="35"/>
      <c r="OF6" s="35"/>
      <c r="OG6" s="35"/>
      <c r="OH6" s="35"/>
      <c r="OI6" s="35"/>
      <c r="OJ6" s="35"/>
      <c r="OK6" s="35"/>
      <c r="OL6" s="35"/>
      <c r="OM6" s="35"/>
      <c r="ON6" s="35"/>
      <c r="OO6" s="35"/>
      <c r="OP6" s="35"/>
      <c r="OQ6" s="35"/>
      <c r="OR6" s="35"/>
      <c r="OS6" s="35"/>
      <c r="OT6" s="35"/>
      <c r="OU6" s="35"/>
      <c r="OV6" s="35"/>
      <c r="OW6" s="35"/>
      <c r="OX6" s="35"/>
      <c r="OY6" s="35"/>
      <c r="OZ6" s="35"/>
      <c r="PA6" s="35"/>
      <c r="PB6" s="35"/>
      <c r="PC6" s="35"/>
      <c r="PD6" s="35"/>
      <c r="PE6" s="35"/>
      <c r="PF6" s="35"/>
      <c r="PG6" s="35"/>
      <c r="PH6" s="35"/>
      <c r="PI6" s="35"/>
      <c r="PJ6" s="35"/>
      <c r="PK6" s="35"/>
      <c r="PL6" s="35"/>
      <c r="PM6" s="35"/>
      <c r="PN6" s="35"/>
      <c r="PO6" s="35"/>
      <c r="PP6" s="35"/>
      <c r="PQ6" s="35"/>
      <c r="PR6" s="35"/>
      <c r="PS6" s="35"/>
      <c r="PT6" s="35"/>
      <c r="PU6" s="35"/>
      <c r="PV6" s="35"/>
      <c r="PW6" s="35"/>
      <c r="PX6" s="35"/>
      <c r="PY6" s="35"/>
      <c r="PZ6" s="35"/>
      <c r="QA6" s="35"/>
      <c r="QB6" s="35"/>
      <c r="QC6" s="35"/>
      <c r="QD6" s="35"/>
      <c r="QE6" s="35"/>
      <c r="QF6" s="35"/>
      <c r="QG6" s="35"/>
      <c r="QH6" s="35"/>
      <c r="QI6" s="35"/>
      <c r="QJ6" s="35"/>
      <c r="QK6" s="35"/>
      <c r="QL6" s="35"/>
      <c r="QM6" s="35"/>
      <c r="QN6" s="35"/>
      <c r="QO6" s="35"/>
      <c r="QP6" s="35"/>
      <c r="QQ6" s="35"/>
      <c r="QR6" s="35"/>
      <c r="QS6" s="35"/>
      <c r="QT6" s="35"/>
      <c r="QU6" s="35"/>
      <c r="QV6" s="35"/>
      <c r="QW6" s="35"/>
      <c r="QX6" s="35"/>
      <c r="QY6" s="35"/>
      <c r="QZ6" s="35"/>
      <c r="RA6" s="35"/>
      <c r="RB6" s="35"/>
      <c r="RC6" s="35"/>
      <c r="RD6" s="35"/>
      <c r="RE6" s="35"/>
      <c r="RF6" s="35"/>
      <c r="RG6" s="35"/>
      <c r="RH6" s="35"/>
      <c r="RI6" s="35"/>
      <c r="RJ6" s="35"/>
      <c r="RK6" s="35"/>
      <c r="RL6" s="35"/>
      <c r="RM6" s="35"/>
      <c r="RN6" s="35"/>
      <c r="RO6" s="35"/>
      <c r="RP6" s="35"/>
      <c r="RQ6" s="35"/>
      <c r="RR6" s="35"/>
      <c r="RS6" s="35"/>
      <c r="RT6" s="35"/>
      <c r="RU6" s="35"/>
      <c r="RV6" s="35"/>
      <c r="RW6" s="35"/>
      <c r="RX6" s="35"/>
      <c r="RY6" s="35"/>
      <c r="RZ6" s="35"/>
      <c r="SA6" s="35"/>
      <c r="SB6" s="35"/>
      <c r="SC6" s="35"/>
      <c r="SD6" s="35"/>
      <c r="SE6" s="35"/>
      <c r="SF6" s="35"/>
      <c r="SG6" s="35"/>
      <c r="SH6" s="35"/>
      <c r="SI6" s="35"/>
      <c r="SJ6" s="35"/>
      <c r="SK6" s="35"/>
      <c r="SL6" s="35"/>
      <c r="SM6" s="35"/>
      <c r="SN6" s="35"/>
      <c r="SO6" s="35"/>
      <c r="SP6" s="35"/>
      <c r="SQ6" s="35"/>
      <c r="SR6" s="35"/>
      <c r="SS6" s="35"/>
      <c r="ST6" s="35"/>
      <c r="SU6" s="35"/>
      <c r="SV6" s="35"/>
      <c r="SW6" s="35"/>
      <c r="SX6" s="35"/>
      <c r="SY6" s="35"/>
      <c r="SZ6" s="35"/>
      <c r="TA6" s="35"/>
      <c r="TB6" s="35"/>
      <c r="TC6" s="35"/>
      <c r="TD6" s="35"/>
      <c r="TE6" s="35"/>
      <c r="TF6" s="35"/>
      <c r="TG6" s="35"/>
      <c r="TH6" s="35"/>
      <c r="TI6" s="35"/>
      <c r="TJ6" s="35"/>
      <c r="TK6" s="35"/>
      <c r="TL6" s="35"/>
      <c r="TM6" s="35"/>
      <c r="TN6" s="35"/>
      <c r="TO6" s="35"/>
      <c r="TP6" s="35"/>
      <c r="TQ6" s="35"/>
      <c r="TR6" s="35"/>
      <c r="TS6" s="35"/>
      <c r="TT6" s="35"/>
      <c r="TU6" s="35"/>
      <c r="TV6" s="35"/>
      <c r="TW6" s="35"/>
      <c r="TX6" s="35"/>
      <c r="TY6" s="35"/>
      <c r="TZ6" s="35"/>
      <c r="UA6" s="35"/>
      <c r="UB6" s="35"/>
      <c r="UC6" s="35"/>
      <c r="UD6" s="35"/>
      <c r="UE6" s="35"/>
      <c r="UF6" s="35"/>
      <c r="UG6" s="35"/>
      <c r="UH6" s="35"/>
      <c r="UI6" s="35"/>
      <c r="UJ6" s="35"/>
      <c r="UK6" s="35"/>
      <c r="UL6" s="35"/>
      <c r="UM6" s="35"/>
      <c r="UN6" s="35"/>
      <c r="UO6" s="35"/>
      <c r="UP6" s="35"/>
      <c r="UQ6" s="35"/>
      <c r="UR6" s="35"/>
      <c r="US6" s="35"/>
      <c r="UT6" s="35"/>
      <c r="UU6" s="35"/>
      <c r="UV6" s="35"/>
      <c r="UW6" s="35"/>
      <c r="UX6" s="35"/>
      <c r="UY6" s="35"/>
      <c r="UZ6" s="35"/>
      <c r="VA6" s="35"/>
      <c r="VB6" s="35"/>
      <c r="VC6" s="35"/>
      <c r="VD6" s="35"/>
      <c r="VE6" s="35"/>
      <c r="VF6" s="35"/>
      <c r="VG6" s="35"/>
      <c r="VH6" s="35"/>
      <c r="VI6" s="35"/>
      <c r="VJ6" s="35"/>
      <c r="VK6" s="35"/>
      <c r="VL6" s="35"/>
      <c r="VM6" s="35"/>
      <c r="VN6" s="35"/>
      <c r="VO6" s="35"/>
      <c r="VP6" s="35"/>
      <c r="VQ6" s="35"/>
      <c r="VR6" s="35"/>
      <c r="VS6" s="35"/>
      <c r="VT6" s="35"/>
      <c r="VU6" s="35"/>
      <c r="VV6" s="35"/>
      <c r="VW6" s="35"/>
      <c r="VX6" s="35"/>
      <c r="VY6" s="35"/>
      <c r="VZ6" s="35"/>
      <c r="WA6" s="35"/>
      <c r="WB6" s="35"/>
      <c r="WC6" s="35"/>
      <c r="WD6" s="35"/>
      <c r="WE6" s="35"/>
      <c r="WF6" s="35"/>
      <c r="WG6" s="35"/>
      <c r="WH6" s="35"/>
      <c r="WI6" s="35"/>
      <c r="WJ6" s="35"/>
      <c r="WK6" s="35"/>
      <c r="WL6" s="35"/>
      <c r="WM6" s="35"/>
      <c r="WN6" s="35"/>
      <c r="WO6" s="35"/>
      <c r="WP6" s="35"/>
      <c r="WQ6" s="35"/>
      <c r="WR6" s="35"/>
      <c r="WS6" s="35"/>
      <c r="WT6" s="35"/>
      <c r="WU6" s="35"/>
      <c r="WV6" s="35"/>
      <c r="WW6" s="35"/>
      <c r="WX6" s="35"/>
      <c r="WY6" s="35"/>
      <c r="WZ6" s="35"/>
      <c r="XA6" s="35"/>
      <c r="XB6" s="35"/>
      <c r="XC6" s="35"/>
      <c r="XD6" s="35"/>
      <c r="XE6" s="35"/>
      <c r="XF6" s="35"/>
      <c r="XG6" s="35"/>
      <c r="XH6" s="35"/>
      <c r="XI6" s="35"/>
      <c r="XJ6" s="35"/>
      <c r="XK6" s="35"/>
      <c r="XL6" s="35"/>
      <c r="XM6" s="35"/>
      <c r="XN6" s="35"/>
      <c r="XO6" s="35"/>
      <c r="XP6" s="35"/>
      <c r="XQ6" s="35"/>
      <c r="XR6" s="35"/>
      <c r="XS6" s="35"/>
      <c r="XT6" s="35"/>
      <c r="XU6" s="35"/>
      <c r="XV6" s="35"/>
      <c r="XW6" s="35"/>
      <c r="XX6" s="35"/>
      <c r="XY6" s="35"/>
      <c r="XZ6" s="35"/>
      <c r="YA6" s="35"/>
      <c r="YB6" s="35"/>
      <c r="YC6" s="35"/>
      <c r="YD6" s="35"/>
      <c r="YE6" s="35"/>
      <c r="YF6" s="35"/>
      <c r="YG6" s="35"/>
      <c r="YH6" s="35"/>
      <c r="YI6" s="35"/>
      <c r="YJ6" s="35"/>
      <c r="YK6" s="35"/>
      <c r="YL6" s="35"/>
      <c r="YM6" s="35"/>
      <c r="YN6" s="35"/>
      <c r="YO6" s="35"/>
      <c r="YP6" s="35"/>
      <c r="YQ6" s="35"/>
      <c r="YR6" s="35"/>
      <c r="YS6" s="35"/>
      <c r="YT6" s="35"/>
      <c r="YU6" s="35"/>
      <c r="YV6" s="35"/>
      <c r="YW6" s="35"/>
      <c r="YX6" s="35"/>
      <c r="YY6" s="35"/>
      <c r="YZ6" s="35"/>
      <c r="ZA6" s="35"/>
      <c r="ZB6" s="35"/>
      <c r="ZC6" s="35"/>
      <c r="ZD6" s="35"/>
      <c r="ZE6" s="35"/>
      <c r="ZF6" s="35"/>
      <c r="ZG6" s="35"/>
      <c r="ZH6" s="35"/>
      <c r="ZI6" s="35"/>
      <c r="ZJ6" s="35"/>
      <c r="ZK6" s="35"/>
      <c r="ZL6" s="35"/>
      <c r="ZM6" s="35"/>
      <c r="ZN6" s="35"/>
      <c r="ZO6" s="35"/>
      <c r="ZP6" s="35"/>
      <c r="ZQ6" s="35"/>
      <c r="ZR6" s="35"/>
      <c r="ZS6" s="35"/>
      <c r="ZT6" s="35"/>
      <c r="ZU6" s="35"/>
      <c r="ZV6" s="35"/>
      <c r="ZW6" s="35"/>
      <c r="ZX6" s="35"/>
      <c r="ZY6" s="35"/>
      <c r="ZZ6" s="35"/>
      <c r="AAA6" s="35"/>
      <c r="AAB6" s="35"/>
      <c r="AAC6" s="35"/>
      <c r="AAD6" s="35"/>
      <c r="AAE6" s="35"/>
      <c r="AAF6" s="35"/>
      <c r="AAG6" s="35"/>
      <c r="AAH6" s="35"/>
      <c r="AAI6" s="35"/>
      <c r="AAJ6" s="35"/>
      <c r="AAK6" s="35"/>
      <c r="AAL6" s="35"/>
      <c r="AAM6" s="35"/>
      <c r="AAN6" s="35"/>
      <c r="AAO6" s="35"/>
      <c r="AAP6" s="35"/>
      <c r="AAQ6" s="35"/>
      <c r="AAR6" s="35"/>
      <c r="AAS6" s="35"/>
      <c r="AAT6" s="35"/>
      <c r="AAU6" s="35"/>
      <c r="AAV6" s="35"/>
      <c r="AAW6" s="35"/>
      <c r="AAX6" s="35"/>
      <c r="AAY6" s="35"/>
      <c r="AAZ6" s="35"/>
      <c r="ABA6" s="35"/>
      <c r="ABB6" s="35"/>
      <c r="ABC6" s="35"/>
      <c r="ABD6" s="35"/>
      <c r="ABE6" s="35"/>
      <c r="ABF6" s="35"/>
      <c r="ABG6" s="35"/>
      <c r="ABH6" s="35"/>
      <c r="ABI6" s="35"/>
      <c r="ABJ6" s="35"/>
      <c r="ABK6" s="35"/>
      <c r="ABL6" s="35"/>
      <c r="ABM6" s="35"/>
      <c r="ABN6" s="35"/>
      <c r="ABO6" s="35"/>
      <c r="ABP6" s="35"/>
      <c r="ABQ6" s="35"/>
      <c r="ABR6" s="35"/>
      <c r="ABS6" s="35"/>
      <c r="ABT6" s="35"/>
      <c r="ABU6" s="35"/>
      <c r="ABV6" s="35"/>
      <c r="ABW6" s="35"/>
      <c r="ABX6" s="35"/>
      <c r="ABY6" s="35"/>
      <c r="ABZ6" s="35"/>
      <c r="ACA6" s="35"/>
      <c r="ACB6" s="35"/>
      <c r="ACC6" s="35"/>
      <c r="ACD6" s="35"/>
      <c r="ACE6" s="35"/>
      <c r="ACF6" s="35"/>
      <c r="ACG6" s="35"/>
      <c r="ACH6" s="35"/>
      <c r="ACI6" s="35"/>
      <c r="ACJ6" s="35"/>
      <c r="ACK6" s="35"/>
      <c r="ACL6" s="35"/>
      <c r="ACM6" s="35"/>
      <c r="ACN6" s="35"/>
      <c r="ACO6" s="35"/>
      <c r="ACP6" s="35"/>
      <c r="ACQ6" s="35"/>
      <c r="ACR6" s="35"/>
      <c r="ACS6" s="35"/>
      <c r="ACT6" s="35"/>
      <c r="ACU6" s="35"/>
      <c r="ACV6" s="35"/>
      <c r="ACW6" s="35"/>
      <c r="ACX6" s="35"/>
      <c r="ACY6" s="35"/>
      <c r="ACZ6" s="35"/>
      <c r="ADA6" s="35"/>
      <c r="ADB6" s="35"/>
      <c r="ADC6" s="35"/>
      <c r="ADD6" s="35"/>
      <c r="ADE6" s="35"/>
      <c r="ADF6" s="35"/>
      <c r="ADG6" s="35"/>
      <c r="ADH6" s="35"/>
      <c r="ADI6" s="35"/>
      <c r="ADJ6" s="35"/>
      <c r="ADK6" s="35"/>
      <c r="ADL6" s="35"/>
      <c r="ADM6" s="35"/>
      <c r="ADN6" s="35"/>
      <c r="ADO6" s="35"/>
      <c r="ADP6" s="35"/>
      <c r="ADQ6" s="35"/>
      <c r="ADR6" s="35"/>
      <c r="ADS6" s="35"/>
      <c r="ADT6" s="35"/>
      <c r="ADU6" s="35"/>
      <c r="ADV6" s="35"/>
      <c r="ADW6" s="35"/>
      <c r="ADX6" s="35"/>
      <c r="ADY6" s="35"/>
      <c r="ADZ6" s="35"/>
      <c r="AEA6" s="35"/>
      <c r="AEB6" s="35"/>
      <c r="AEC6" s="35"/>
      <c r="AED6" s="35"/>
      <c r="AEE6" s="35"/>
      <c r="AEF6" s="35"/>
      <c r="AEG6" s="35"/>
      <c r="AEH6" s="35"/>
      <c r="AEI6" s="35"/>
      <c r="AEJ6" s="35"/>
      <c r="AEK6" s="35"/>
      <c r="AEL6" s="35"/>
      <c r="AEM6" s="35"/>
      <c r="AEN6" s="35"/>
      <c r="AEO6" s="35"/>
      <c r="AEP6" s="35"/>
      <c r="AEQ6" s="35"/>
      <c r="AER6" s="35"/>
      <c r="AES6" s="35"/>
      <c r="AET6" s="35"/>
      <c r="AEU6" s="35"/>
      <c r="AEV6" s="35"/>
      <c r="AEW6" s="35"/>
      <c r="AEX6" s="35"/>
      <c r="AEY6" s="35"/>
      <c r="AEZ6" s="35"/>
      <c r="AFA6" s="35"/>
      <c r="AFB6" s="35"/>
      <c r="AFC6" s="35"/>
      <c r="AFD6" s="35"/>
      <c r="AFE6" s="35"/>
      <c r="AFF6" s="35"/>
      <c r="AFG6" s="35"/>
      <c r="AFH6" s="35"/>
      <c r="AFI6" s="35"/>
      <c r="AFJ6" s="35"/>
      <c r="AFK6" s="35"/>
      <c r="AFL6" s="35"/>
      <c r="AFM6" s="35"/>
      <c r="AFN6" s="35"/>
      <c r="AFO6" s="35"/>
      <c r="AFP6" s="35"/>
      <c r="AFQ6" s="35"/>
      <c r="AFR6" s="35"/>
      <c r="AFS6" s="35"/>
      <c r="AFT6" s="35"/>
      <c r="AFU6" s="35"/>
      <c r="AFV6" s="35"/>
      <c r="AFW6" s="35"/>
      <c r="AFX6" s="35"/>
      <c r="AFY6" s="35"/>
      <c r="AFZ6" s="35"/>
      <c r="AGA6" s="35"/>
      <c r="AGB6" s="35"/>
      <c r="AGC6" s="35"/>
      <c r="AGD6" s="35"/>
      <c r="AGE6" s="35"/>
      <c r="AGF6" s="35"/>
      <c r="AGG6" s="35"/>
      <c r="AGH6" s="35"/>
      <c r="AGI6" s="35"/>
      <c r="AGJ6" s="35"/>
      <c r="AGK6" s="35"/>
      <c r="AGL6" s="35"/>
      <c r="AGM6" s="35"/>
      <c r="AGN6" s="35"/>
      <c r="AGO6" s="35"/>
      <c r="AGP6" s="35"/>
      <c r="AGQ6" s="35"/>
      <c r="AGR6" s="35"/>
      <c r="AGS6" s="35"/>
      <c r="AGT6" s="35"/>
      <c r="AGU6" s="35"/>
      <c r="AGV6" s="35"/>
      <c r="AGW6" s="35"/>
      <c r="AGX6" s="35"/>
      <c r="AGY6" s="35"/>
      <c r="AGZ6" s="35"/>
      <c r="AHA6" s="35"/>
      <c r="AHB6" s="35"/>
      <c r="AHC6" s="35"/>
      <c r="AHD6" s="35"/>
      <c r="AHE6" s="35"/>
      <c r="AHF6" s="35"/>
      <c r="AHG6" s="35"/>
      <c r="AHH6" s="35"/>
      <c r="AHI6" s="35"/>
      <c r="AHJ6" s="35"/>
      <c r="AHK6" s="35"/>
      <c r="AHL6" s="35"/>
      <c r="AHM6" s="35"/>
      <c r="AHN6" s="35"/>
      <c r="AHO6" s="35"/>
      <c r="AHP6" s="35"/>
      <c r="AHQ6" s="35"/>
      <c r="AHR6" s="35"/>
      <c r="AHS6" s="35"/>
      <c r="AHT6" s="35"/>
      <c r="AHU6" s="35"/>
      <c r="AHV6" s="35"/>
      <c r="AHW6" s="35"/>
      <c r="AHX6" s="35"/>
      <c r="AHY6" s="35"/>
      <c r="AHZ6" s="35"/>
      <c r="AIA6" s="35"/>
      <c r="AIB6" s="35"/>
      <c r="AIC6" s="35"/>
      <c r="AID6" s="35"/>
      <c r="AIE6" s="35"/>
      <c r="AIF6" s="35"/>
      <c r="AIG6" s="35"/>
      <c r="AIH6" s="35"/>
      <c r="AII6" s="35"/>
      <c r="AIJ6" s="35"/>
      <c r="AIK6" s="35"/>
      <c r="AIL6" s="35"/>
      <c r="AIM6" s="35"/>
      <c r="AIN6" s="35"/>
      <c r="AIO6" s="35"/>
      <c r="AIP6" s="35"/>
      <c r="AIQ6" s="35"/>
      <c r="AIR6" s="35"/>
      <c r="AIS6" s="35"/>
      <c r="AIT6" s="35"/>
      <c r="AIU6" s="35"/>
      <c r="AIV6" s="35"/>
      <c r="AIW6" s="35"/>
      <c r="AIX6" s="35"/>
      <c r="AIY6" s="35"/>
      <c r="AIZ6" s="35"/>
      <c r="AJA6" s="35"/>
      <c r="AJB6" s="35"/>
      <c r="AJC6" s="35"/>
      <c r="AJD6" s="35"/>
      <c r="AJE6" s="35"/>
      <c r="AJF6" s="35"/>
      <c r="AJG6" s="35"/>
      <c r="AJH6" s="35"/>
      <c r="AJI6" s="35"/>
      <c r="AJJ6" s="35"/>
      <c r="AJK6" s="35"/>
      <c r="AJL6" s="35"/>
      <c r="AJM6" s="35"/>
      <c r="AJN6" s="35"/>
      <c r="AJO6" s="35"/>
      <c r="AJP6" s="35"/>
      <c r="AJQ6" s="35"/>
      <c r="AJR6" s="35"/>
      <c r="AJS6" s="35"/>
      <c r="AJT6" s="35"/>
      <c r="AJU6" s="35"/>
      <c r="AJV6" s="35"/>
      <c r="AJW6" s="35"/>
      <c r="AJX6" s="35"/>
      <c r="AJY6" s="35"/>
      <c r="AJZ6" s="35"/>
      <c r="AKA6" s="35"/>
      <c r="AKB6" s="35"/>
      <c r="AKC6" s="35"/>
      <c r="AKD6" s="35"/>
      <c r="AKE6" s="35"/>
      <c r="AKF6" s="35"/>
      <c r="AKG6" s="35"/>
      <c r="AKH6" s="35"/>
      <c r="AKI6" s="35"/>
      <c r="AKJ6" s="35"/>
      <c r="AKK6" s="35"/>
      <c r="AKL6" s="35"/>
      <c r="AKM6" s="35"/>
      <c r="AKN6" s="35"/>
      <c r="AKO6" s="35"/>
      <c r="AKP6" s="35"/>
      <c r="AKQ6" s="35"/>
      <c r="AKR6" s="35"/>
      <c r="AKS6" s="35"/>
    </row>
    <row r="7" customFormat="false" ht="12.8" hidden="true" customHeight="true" outlineLevel="1" collapsed="false">
      <c r="A7" s="40"/>
      <c r="B7" s="40"/>
      <c r="C7" s="40"/>
      <c r="D7" s="40"/>
      <c r="E7" s="40"/>
      <c r="F7" s="40"/>
      <c r="G7" s="40"/>
      <c r="H7" s="40"/>
      <c r="I7" s="40"/>
      <c r="J7" s="40"/>
      <c r="K7" s="40"/>
      <c r="L7" s="40"/>
      <c r="M7" s="40"/>
      <c r="N7" s="40"/>
      <c r="O7" s="40" t="s">
        <v>364</v>
      </c>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c r="GJ7" s="35"/>
      <c r="GK7" s="35"/>
      <c r="GL7" s="35"/>
      <c r="GM7" s="35"/>
      <c r="GN7" s="35"/>
      <c r="GO7" s="35"/>
      <c r="GP7" s="35"/>
      <c r="GQ7" s="35"/>
      <c r="GR7" s="35"/>
      <c r="GS7" s="35"/>
      <c r="GT7" s="35"/>
      <c r="GU7" s="35"/>
      <c r="GV7" s="35"/>
      <c r="GW7" s="35"/>
      <c r="GX7" s="35"/>
      <c r="GY7" s="35"/>
      <c r="GZ7" s="35"/>
      <c r="HA7" s="35"/>
      <c r="HB7" s="35"/>
      <c r="HC7" s="35"/>
      <c r="HD7" s="35"/>
      <c r="HE7" s="35"/>
      <c r="HF7" s="35"/>
      <c r="HG7" s="35"/>
      <c r="HH7" s="35"/>
      <c r="HI7" s="35"/>
      <c r="HJ7" s="35"/>
      <c r="HK7" s="35"/>
      <c r="HL7" s="35"/>
      <c r="HM7" s="35"/>
      <c r="HN7" s="35"/>
      <c r="HO7" s="35"/>
      <c r="HP7" s="35"/>
      <c r="HQ7" s="35"/>
      <c r="HR7" s="35"/>
      <c r="HS7" s="35"/>
      <c r="HT7" s="35"/>
      <c r="HU7" s="35"/>
      <c r="HV7" s="35"/>
      <c r="HW7" s="35"/>
      <c r="HX7" s="35"/>
      <c r="HY7" s="35"/>
      <c r="HZ7" s="35"/>
      <c r="IA7" s="35"/>
      <c r="IB7" s="35"/>
      <c r="IC7" s="35"/>
      <c r="ID7" s="35"/>
      <c r="IE7" s="35"/>
      <c r="IF7" s="35"/>
      <c r="IG7" s="35"/>
      <c r="IH7" s="35"/>
      <c r="II7" s="35"/>
      <c r="IJ7" s="35"/>
      <c r="IK7" s="35"/>
      <c r="IL7" s="35"/>
      <c r="IM7" s="35"/>
      <c r="IN7" s="35"/>
      <c r="IO7" s="35"/>
      <c r="IP7" s="35"/>
      <c r="IQ7" s="35"/>
      <c r="IR7" s="35"/>
      <c r="IS7" s="35"/>
      <c r="IT7" s="35"/>
      <c r="IU7" s="35"/>
      <c r="IV7" s="35"/>
      <c r="IW7" s="35"/>
      <c r="IX7" s="35"/>
      <c r="IY7" s="35"/>
      <c r="IZ7" s="35"/>
      <c r="JA7" s="35"/>
      <c r="JB7" s="35"/>
      <c r="JC7" s="35"/>
      <c r="JD7" s="35"/>
      <c r="JE7" s="35"/>
      <c r="JF7" s="35"/>
      <c r="JG7" s="35"/>
      <c r="JH7" s="35"/>
      <c r="JI7" s="35"/>
      <c r="JJ7" s="35"/>
      <c r="JK7" s="35"/>
      <c r="JL7" s="35"/>
      <c r="JM7" s="35"/>
      <c r="JN7" s="35"/>
      <c r="JO7" s="35"/>
      <c r="JP7" s="35"/>
      <c r="JQ7" s="35"/>
      <c r="JR7" s="35"/>
      <c r="JS7" s="35"/>
      <c r="JT7" s="35"/>
      <c r="JU7" s="35"/>
      <c r="JV7" s="35"/>
      <c r="JW7" s="35"/>
      <c r="JX7" s="35"/>
      <c r="JY7" s="35"/>
      <c r="JZ7" s="35"/>
      <c r="KA7" s="35"/>
      <c r="KB7" s="35"/>
      <c r="KC7" s="35"/>
      <c r="KD7" s="35"/>
      <c r="KE7" s="35"/>
      <c r="KF7" s="35"/>
      <c r="KG7" s="35"/>
      <c r="KH7" s="35"/>
      <c r="KI7" s="35"/>
      <c r="KJ7" s="35"/>
      <c r="KK7" s="35"/>
      <c r="KL7" s="35"/>
      <c r="KM7" s="35"/>
      <c r="KN7" s="35"/>
      <c r="KO7" s="35"/>
      <c r="KP7" s="35"/>
      <c r="KQ7" s="35"/>
      <c r="KR7" s="35"/>
      <c r="KS7" s="35"/>
      <c r="KT7" s="35"/>
      <c r="KU7" s="35"/>
      <c r="KV7" s="35"/>
      <c r="KW7" s="35"/>
      <c r="KX7" s="35"/>
      <c r="KY7" s="35"/>
      <c r="KZ7" s="35"/>
      <c r="LA7" s="35"/>
      <c r="LB7" s="35"/>
      <c r="LC7" s="35"/>
      <c r="LD7" s="35"/>
      <c r="LE7" s="35"/>
      <c r="LF7" s="35"/>
      <c r="LG7" s="35"/>
      <c r="LH7" s="35"/>
      <c r="LI7" s="35"/>
      <c r="LJ7" s="35"/>
      <c r="LK7" s="35"/>
      <c r="LL7" s="35"/>
      <c r="LM7" s="35"/>
      <c r="LN7" s="35"/>
      <c r="LO7" s="35"/>
      <c r="LP7" s="35"/>
      <c r="LQ7" s="35"/>
      <c r="LR7" s="35"/>
      <c r="LS7" s="35"/>
      <c r="LT7" s="35"/>
      <c r="LU7" s="35"/>
      <c r="LV7" s="35"/>
      <c r="LW7" s="35"/>
      <c r="LX7" s="35"/>
      <c r="LY7" s="35"/>
      <c r="LZ7" s="35"/>
      <c r="MA7" s="35"/>
      <c r="MB7" s="35"/>
      <c r="MC7" s="35"/>
      <c r="MD7" s="35"/>
      <c r="ME7" s="35"/>
      <c r="MF7" s="35"/>
      <c r="MG7" s="35"/>
      <c r="MH7" s="35"/>
      <c r="MI7" s="35"/>
      <c r="MJ7" s="35"/>
      <c r="MK7" s="35"/>
      <c r="ML7" s="35"/>
      <c r="MM7" s="35"/>
      <c r="MN7" s="35"/>
      <c r="MO7" s="35"/>
      <c r="MP7" s="35"/>
      <c r="MQ7" s="35"/>
      <c r="MR7" s="35"/>
      <c r="MS7" s="35"/>
      <c r="MT7" s="35"/>
      <c r="MU7" s="35"/>
      <c r="MV7" s="35"/>
      <c r="MW7" s="35"/>
      <c r="MX7" s="35"/>
      <c r="MY7" s="35"/>
      <c r="MZ7" s="35"/>
      <c r="NA7" s="35"/>
      <c r="NB7" s="35"/>
      <c r="NC7" s="35"/>
      <c r="ND7" s="35"/>
      <c r="NE7" s="35"/>
      <c r="NF7" s="35"/>
      <c r="NG7" s="35"/>
      <c r="NH7" s="35"/>
      <c r="NI7" s="35"/>
      <c r="NJ7" s="35"/>
      <c r="NK7" s="35"/>
      <c r="NL7" s="35"/>
      <c r="NM7" s="35"/>
      <c r="NN7" s="35"/>
      <c r="NO7" s="35"/>
      <c r="NP7" s="35"/>
      <c r="NQ7" s="35"/>
      <c r="NR7" s="35"/>
      <c r="NS7" s="35"/>
      <c r="NT7" s="35"/>
      <c r="NU7" s="35"/>
      <c r="NV7" s="35"/>
      <c r="NW7" s="35"/>
      <c r="NX7" s="35"/>
      <c r="NY7" s="35"/>
      <c r="NZ7" s="35"/>
      <c r="OA7" s="35"/>
      <c r="OB7" s="35"/>
      <c r="OC7" s="35"/>
      <c r="OD7" s="35"/>
      <c r="OE7" s="35"/>
      <c r="OF7" s="35"/>
      <c r="OG7" s="35"/>
      <c r="OH7" s="35"/>
      <c r="OI7" s="35"/>
      <c r="OJ7" s="35"/>
      <c r="OK7" s="35"/>
      <c r="OL7" s="35"/>
      <c r="OM7" s="35"/>
      <c r="ON7" s="35"/>
      <c r="OO7" s="35"/>
      <c r="OP7" s="35"/>
      <c r="OQ7" s="35"/>
      <c r="OR7" s="35"/>
      <c r="OS7" s="35"/>
      <c r="OT7" s="35"/>
      <c r="OU7" s="35"/>
      <c r="OV7" s="35"/>
      <c r="OW7" s="35"/>
      <c r="OX7" s="35"/>
      <c r="OY7" s="35"/>
      <c r="OZ7" s="35"/>
      <c r="PA7" s="35"/>
      <c r="PB7" s="35"/>
      <c r="PC7" s="35"/>
      <c r="PD7" s="35"/>
      <c r="PE7" s="35"/>
      <c r="PF7" s="35"/>
      <c r="PG7" s="35"/>
      <c r="PH7" s="35"/>
      <c r="PI7" s="35"/>
      <c r="PJ7" s="35"/>
      <c r="PK7" s="35"/>
      <c r="PL7" s="35"/>
      <c r="PM7" s="35"/>
      <c r="PN7" s="35"/>
      <c r="PO7" s="35"/>
      <c r="PP7" s="35"/>
      <c r="PQ7" s="35"/>
      <c r="PR7" s="35"/>
      <c r="PS7" s="35"/>
      <c r="PT7" s="35"/>
      <c r="PU7" s="35"/>
      <c r="PV7" s="35"/>
      <c r="PW7" s="35"/>
      <c r="PX7" s="35"/>
      <c r="PY7" s="35"/>
      <c r="PZ7" s="35"/>
      <c r="QA7" s="35"/>
      <c r="QB7" s="35"/>
      <c r="QC7" s="35"/>
      <c r="QD7" s="35"/>
      <c r="QE7" s="35"/>
      <c r="QF7" s="35"/>
      <c r="QG7" s="35"/>
      <c r="QH7" s="35"/>
      <c r="QI7" s="35"/>
      <c r="QJ7" s="35"/>
      <c r="QK7" s="35"/>
      <c r="QL7" s="35"/>
      <c r="QM7" s="35"/>
      <c r="QN7" s="35"/>
      <c r="QO7" s="35"/>
      <c r="QP7" s="35"/>
      <c r="QQ7" s="35"/>
      <c r="QR7" s="35"/>
      <c r="QS7" s="35"/>
      <c r="QT7" s="35"/>
      <c r="QU7" s="35"/>
      <c r="QV7" s="35"/>
      <c r="QW7" s="35"/>
      <c r="QX7" s="35"/>
      <c r="QY7" s="35"/>
      <c r="QZ7" s="35"/>
      <c r="RA7" s="35"/>
      <c r="RB7" s="35"/>
      <c r="RC7" s="35"/>
      <c r="RD7" s="35"/>
      <c r="RE7" s="35"/>
      <c r="RF7" s="35"/>
      <c r="RG7" s="35"/>
      <c r="RH7" s="35"/>
      <c r="RI7" s="35"/>
      <c r="RJ7" s="35"/>
      <c r="RK7" s="35"/>
      <c r="RL7" s="35"/>
      <c r="RM7" s="35"/>
      <c r="RN7" s="35"/>
      <c r="RO7" s="35"/>
      <c r="RP7" s="35"/>
      <c r="RQ7" s="35"/>
      <c r="RR7" s="35"/>
      <c r="RS7" s="35"/>
      <c r="RT7" s="35"/>
      <c r="RU7" s="35"/>
      <c r="RV7" s="35"/>
      <c r="RW7" s="35"/>
      <c r="RX7" s="35"/>
      <c r="RY7" s="35"/>
      <c r="RZ7" s="35"/>
      <c r="SA7" s="35"/>
      <c r="SB7" s="35"/>
      <c r="SC7" s="35"/>
      <c r="SD7" s="35"/>
      <c r="SE7" s="35"/>
      <c r="SF7" s="35"/>
      <c r="SG7" s="35"/>
      <c r="SH7" s="35"/>
      <c r="SI7" s="35"/>
      <c r="SJ7" s="35"/>
      <c r="SK7" s="35"/>
      <c r="SL7" s="35"/>
      <c r="SM7" s="35"/>
      <c r="SN7" s="35"/>
      <c r="SO7" s="35"/>
      <c r="SP7" s="35"/>
      <c r="SQ7" s="35"/>
      <c r="SR7" s="35"/>
      <c r="SS7" s="35"/>
      <c r="ST7" s="35"/>
      <c r="SU7" s="35"/>
      <c r="SV7" s="35"/>
      <c r="SW7" s="35"/>
      <c r="SX7" s="35"/>
      <c r="SY7" s="35"/>
      <c r="SZ7" s="35"/>
      <c r="TA7" s="35"/>
      <c r="TB7" s="35"/>
      <c r="TC7" s="35"/>
      <c r="TD7" s="35"/>
      <c r="TE7" s="35"/>
      <c r="TF7" s="35"/>
      <c r="TG7" s="35"/>
      <c r="TH7" s="35"/>
      <c r="TI7" s="35"/>
      <c r="TJ7" s="35"/>
      <c r="TK7" s="35"/>
      <c r="TL7" s="35"/>
      <c r="TM7" s="35"/>
      <c r="TN7" s="35"/>
      <c r="TO7" s="35"/>
      <c r="TP7" s="35"/>
      <c r="TQ7" s="35"/>
      <c r="TR7" s="35"/>
      <c r="TS7" s="35"/>
      <c r="TT7" s="35"/>
      <c r="TU7" s="35"/>
      <c r="TV7" s="35"/>
      <c r="TW7" s="35"/>
      <c r="TX7" s="35"/>
      <c r="TY7" s="35"/>
      <c r="TZ7" s="35"/>
      <c r="UA7" s="35"/>
      <c r="UB7" s="35"/>
      <c r="UC7" s="35"/>
      <c r="UD7" s="35"/>
      <c r="UE7" s="35"/>
      <c r="UF7" s="35"/>
      <c r="UG7" s="35"/>
      <c r="UH7" s="35"/>
      <c r="UI7" s="35"/>
      <c r="UJ7" s="35"/>
      <c r="UK7" s="35"/>
      <c r="UL7" s="35"/>
      <c r="UM7" s="35"/>
      <c r="UN7" s="35"/>
      <c r="UO7" s="35"/>
      <c r="UP7" s="35"/>
      <c r="UQ7" s="35"/>
      <c r="UR7" s="35"/>
      <c r="US7" s="35"/>
      <c r="UT7" s="35"/>
      <c r="UU7" s="35"/>
      <c r="UV7" s="35"/>
      <c r="UW7" s="35"/>
      <c r="UX7" s="35"/>
      <c r="UY7" s="35"/>
      <c r="UZ7" s="35"/>
      <c r="VA7" s="35"/>
      <c r="VB7" s="35"/>
      <c r="VC7" s="35"/>
      <c r="VD7" s="35"/>
      <c r="VE7" s="35"/>
      <c r="VF7" s="35"/>
      <c r="VG7" s="35"/>
      <c r="VH7" s="35"/>
      <c r="VI7" s="35"/>
      <c r="VJ7" s="35"/>
      <c r="VK7" s="35"/>
      <c r="VL7" s="35"/>
      <c r="VM7" s="35"/>
      <c r="VN7" s="35"/>
      <c r="VO7" s="35"/>
      <c r="VP7" s="35"/>
      <c r="VQ7" s="35"/>
      <c r="VR7" s="35"/>
      <c r="VS7" s="35"/>
      <c r="VT7" s="35"/>
      <c r="VU7" s="35"/>
      <c r="VV7" s="35"/>
      <c r="VW7" s="35"/>
      <c r="VX7" s="35"/>
      <c r="VY7" s="35"/>
      <c r="VZ7" s="35"/>
      <c r="WA7" s="35"/>
      <c r="WB7" s="35"/>
      <c r="WC7" s="35"/>
      <c r="WD7" s="35"/>
      <c r="WE7" s="35"/>
      <c r="WF7" s="35"/>
      <c r="WG7" s="35"/>
      <c r="WH7" s="35"/>
      <c r="WI7" s="35"/>
      <c r="WJ7" s="35"/>
      <c r="WK7" s="35"/>
      <c r="WL7" s="35"/>
      <c r="WM7" s="35"/>
      <c r="WN7" s="35"/>
      <c r="WO7" s="35"/>
      <c r="WP7" s="35"/>
      <c r="WQ7" s="35"/>
      <c r="WR7" s="35"/>
      <c r="WS7" s="35"/>
      <c r="WT7" s="35"/>
      <c r="WU7" s="35"/>
      <c r="WV7" s="35"/>
      <c r="WW7" s="35"/>
      <c r="WX7" s="35"/>
      <c r="WY7" s="35"/>
      <c r="WZ7" s="35"/>
      <c r="XA7" s="35"/>
      <c r="XB7" s="35"/>
      <c r="XC7" s="35"/>
      <c r="XD7" s="35"/>
      <c r="XE7" s="35"/>
      <c r="XF7" s="35"/>
      <c r="XG7" s="35"/>
      <c r="XH7" s="35"/>
      <c r="XI7" s="35"/>
      <c r="XJ7" s="35"/>
      <c r="XK7" s="35"/>
      <c r="XL7" s="35"/>
      <c r="XM7" s="35"/>
      <c r="XN7" s="35"/>
      <c r="XO7" s="35"/>
      <c r="XP7" s="35"/>
      <c r="XQ7" s="35"/>
      <c r="XR7" s="35"/>
      <c r="XS7" s="35"/>
      <c r="XT7" s="35"/>
      <c r="XU7" s="35"/>
      <c r="XV7" s="35"/>
      <c r="XW7" s="35"/>
      <c r="XX7" s="35"/>
      <c r="XY7" s="35"/>
      <c r="XZ7" s="35"/>
      <c r="YA7" s="35"/>
      <c r="YB7" s="35"/>
      <c r="YC7" s="35"/>
      <c r="YD7" s="35"/>
      <c r="YE7" s="35"/>
      <c r="YF7" s="35"/>
      <c r="YG7" s="35"/>
      <c r="YH7" s="35"/>
      <c r="YI7" s="35"/>
      <c r="YJ7" s="35"/>
      <c r="YK7" s="35"/>
      <c r="YL7" s="35"/>
      <c r="YM7" s="35"/>
      <c r="YN7" s="35"/>
      <c r="YO7" s="35"/>
      <c r="YP7" s="35"/>
      <c r="YQ7" s="35"/>
      <c r="YR7" s="35"/>
      <c r="YS7" s="35"/>
      <c r="YT7" s="35"/>
      <c r="YU7" s="35"/>
      <c r="YV7" s="35"/>
      <c r="YW7" s="35"/>
      <c r="YX7" s="35"/>
      <c r="YY7" s="35"/>
      <c r="YZ7" s="35"/>
      <c r="ZA7" s="35"/>
      <c r="ZB7" s="35"/>
      <c r="ZC7" s="35"/>
      <c r="ZD7" s="35"/>
      <c r="ZE7" s="35"/>
      <c r="ZF7" s="35"/>
      <c r="ZG7" s="35"/>
      <c r="ZH7" s="35"/>
      <c r="ZI7" s="35"/>
      <c r="ZJ7" s="35"/>
      <c r="ZK7" s="35"/>
      <c r="ZL7" s="35"/>
      <c r="ZM7" s="35"/>
      <c r="ZN7" s="35"/>
      <c r="ZO7" s="35"/>
      <c r="ZP7" s="35"/>
      <c r="ZQ7" s="35"/>
      <c r="ZR7" s="35"/>
      <c r="ZS7" s="35"/>
      <c r="ZT7" s="35"/>
      <c r="ZU7" s="35"/>
      <c r="ZV7" s="35"/>
      <c r="ZW7" s="35"/>
      <c r="ZX7" s="35"/>
      <c r="ZY7" s="35"/>
      <c r="ZZ7" s="35"/>
      <c r="AAA7" s="35"/>
      <c r="AAB7" s="35"/>
      <c r="AAC7" s="35"/>
      <c r="AAD7" s="35"/>
      <c r="AAE7" s="35"/>
      <c r="AAF7" s="35"/>
      <c r="AAG7" s="35"/>
      <c r="AAH7" s="35"/>
      <c r="AAI7" s="35"/>
      <c r="AAJ7" s="35"/>
      <c r="AAK7" s="35"/>
      <c r="AAL7" s="35"/>
      <c r="AAM7" s="35"/>
      <c r="AAN7" s="35"/>
      <c r="AAO7" s="35"/>
      <c r="AAP7" s="35"/>
      <c r="AAQ7" s="35"/>
      <c r="AAR7" s="35"/>
      <c r="AAS7" s="35"/>
      <c r="AAT7" s="35"/>
      <c r="AAU7" s="35"/>
      <c r="AAV7" s="35"/>
      <c r="AAW7" s="35"/>
      <c r="AAX7" s="35"/>
      <c r="AAY7" s="35"/>
      <c r="AAZ7" s="35"/>
      <c r="ABA7" s="35"/>
      <c r="ABB7" s="35"/>
      <c r="ABC7" s="35"/>
      <c r="ABD7" s="35"/>
      <c r="ABE7" s="35"/>
      <c r="ABF7" s="35"/>
      <c r="ABG7" s="35"/>
      <c r="ABH7" s="35"/>
      <c r="ABI7" s="35"/>
      <c r="ABJ7" s="35"/>
      <c r="ABK7" s="35"/>
      <c r="ABL7" s="35"/>
      <c r="ABM7" s="35"/>
      <c r="ABN7" s="35"/>
      <c r="ABO7" s="35"/>
      <c r="ABP7" s="35"/>
      <c r="ABQ7" s="35"/>
      <c r="ABR7" s="35"/>
      <c r="ABS7" s="35"/>
      <c r="ABT7" s="35"/>
      <c r="ABU7" s="35"/>
      <c r="ABV7" s="35"/>
      <c r="ABW7" s="35"/>
      <c r="ABX7" s="35"/>
      <c r="ABY7" s="35"/>
      <c r="ABZ7" s="35"/>
      <c r="ACA7" s="35"/>
      <c r="ACB7" s="35"/>
      <c r="ACC7" s="35"/>
      <c r="ACD7" s="35"/>
      <c r="ACE7" s="35"/>
      <c r="ACF7" s="35"/>
      <c r="ACG7" s="35"/>
      <c r="ACH7" s="35"/>
      <c r="ACI7" s="35"/>
      <c r="ACJ7" s="35"/>
      <c r="ACK7" s="35"/>
      <c r="ACL7" s="35"/>
      <c r="ACM7" s="35"/>
      <c r="ACN7" s="35"/>
      <c r="ACO7" s="35"/>
      <c r="ACP7" s="35"/>
      <c r="ACQ7" s="35"/>
      <c r="ACR7" s="35"/>
      <c r="ACS7" s="35"/>
      <c r="ACT7" s="35"/>
      <c r="ACU7" s="35"/>
      <c r="ACV7" s="35"/>
      <c r="ACW7" s="35"/>
      <c r="ACX7" s="35"/>
      <c r="ACY7" s="35"/>
      <c r="ACZ7" s="35"/>
      <c r="ADA7" s="35"/>
      <c r="ADB7" s="35"/>
      <c r="ADC7" s="35"/>
      <c r="ADD7" s="35"/>
      <c r="ADE7" s="35"/>
      <c r="ADF7" s="35"/>
      <c r="ADG7" s="35"/>
      <c r="ADH7" s="35"/>
      <c r="ADI7" s="35"/>
      <c r="ADJ7" s="35"/>
      <c r="ADK7" s="35"/>
      <c r="ADL7" s="35"/>
      <c r="ADM7" s="35"/>
      <c r="ADN7" s="35"/>
      <c r="ADO7" s="35"/>
      <c r="ADP7" s="35"/>
      <c r="ADQ7" s="35"/>
      <c r="ADR7" s="35"/>
      <c r="ADS7" s="35"/>
      <c r="ADT7" s="35"/>
      <c r="ADU7" s="35"/>
      <c r="ADV7" s="35"/>
      <c r="ADW7" s="35"/>
      <c r="ADX7" s="35"/>
      <c r="ADY7" s="35"/>
      <c r="ADZ7" s="35"/>
      <c r="AEA7" s="35"/>
      <c r="AEB7" s="35"/>
      <c r="AEC7" s="35"/>
      <c r="AED7" s="35"/>
      <c r="AEE7" s="35"/>
      <c r="AEF7" s="35"/>
      <c r="AEG7" s="35"/>
      <c r="AEH7" s="35"/>
      <c r="AEI7" s="35"/>
      <c r="AEJ7" s="35"/>
      <c r="AEK7" s="35"/>
      <c r="AEL7" s="35"/>
      <c r="AEM7" s="35"/>
      <c r="AEN7" s="35"/>
      <c r="AEO7" s="35"/>
      <c r="AEP7" s="35"/>
      <c r="AEQ7" s="35"/>
      <c r="AER7" s="35"/>
      <c r="AES7" s="35"/>
      <c r="AET7" s="35"/>
      <c r="AEU7" s="35"/>
      <c r="AEV7" s="35"/>
      <c r="AEW7" s="35"/>
      <c r="AEX7" s="35"/>
      <c r="AEY7" s="35"/>
      <c r="AEZ7" s="35"/>
      <c r="AFA7" s="35"/>
      <c r="AFB7" s="35"/>
      <c r="AFC7" s="35"/>
      <c r="AFD7" s="35"/>
      <c r="AFE7" s="35"/>
      <c r="AFF7" s="35"/>
      <c r="AFG7" s="35"/>
      <c r="AFH7" s="35"/>
      <c r="AFI7" s="35"/>
      <c r="AFJ7" s="35"/>
      <c r="AFK7" s="35"/>
      <c r="AFL7" s="35"/>
      <c r="AFM7" s="35"/>
      <c r="AFN7" s="35"/>
      <c r="AFO7" s="35"/>
      <c r="AFP7" s="35"/>
      <c r="AFQ7" s="35"/>
      <c r="AFR7" s="35"/>
      <c r="AFS7" s="35"/>
      <c r="AFT7" s="35"/>
      <c r="AFU7" s="35"/>
      <c r="AFV7" s="35"/>
      <c r="AFW7" s="35"/>
      <c r="AFX7" s="35"/>
      <c r="AFY7" s="35"/>
      <c r="AFZ7" s="35"/>
      <c r="AGA7" s="35"/>
      <c r="AGB7" s="35"/>
      <c r="AGC7" s="35"/>
      <c r="AGD7" s="35"/>
      <c r="AGE7" s="35"/>
      <c r="AGF7" s="35"/>
      <c r="AGG7" s="35"/>
      <c r="AGH7" s="35"/>
      <c r="AGI7" s="35"/>
      <c r="AGJ7" s="35"/>
      <c r="AGK7" s="35"/>
      <c r="AGL7" s="35"/>
      <c r="AGM7" s="35"/>
      <c r="AGN7" s="35"/>
      <c r="AGO7" s="35"/>
      <c r="AGP7" s="35"/>
      <c r="AGQ7" s="35"/>
      <c r="AGR7" s="35"/>
      <c r="AGS7" s="35"/>
      <c r="AGT7" s="35"/>
      <c r="AGU7" s="35"/>
      <c r="AGV7" s="35"/>
      <c r="AGW7" s="35"/>
      <c r="AGX7" s="35"/>
      <c r="AGY7" s="35"/>
      <c r="AGZ7" s="35"/>
      <c r="AHA7" s="35"/>
      <c r="AHB7" s="35"/>
      <c r="AHC7" s="35"/>
      <c r="AHD7" s="35"/>
      <c r="AHE7" s="35"/>
      <c r="AHF7" s="35"/>
      <c r="AHG7" s="35"/>
      <c r="AHH7" s="35"/>
      <c r="AHI7" s="35"/>
      <c r="AHJ7" s="35"/>
      <c r="AHK7" s="35"/>
      <c r="AHL7" s="35"/>
      <c r="AHM7" s="35"/>
      <c r="AHN7" s="35"/>
      <c r="AHO7" s="35"/>
      <c r="AHP7" s="35"/>
      <c r="AHQ7" s="35"/>
      <c r="AHR7" s="35"/>
      <c r="AHS7" s="35"/>
      <c r="AHT7" s="35"/>
      <c r="AHU7" s="35"/>
      <c r="AHV7" s="35"/>
      <c r="AHW7" s="35"/>
      <c r="AHX7" s="35"/>
      <c r="AHY7" s="35"/>
      <c r="AHZ7" s="35"/>
      <c r="AIA7" s="35"/>
      <c r="AIB7" s="35"/>
      <c r="AIC7" s="35"/>
      <c r="AID7" s="35"/>
      <c r="AIE7" s="35"/>
      <c r="AIF7" s="35"/>
      <c r="AIG7" s="35"/>
      <c r="AIH7" s="35"/>
      <c r="AII7" s="35"/>
      <c r="AIJ7" s="35"/>
      <c r="AIK7" s="35"/>
      <c r="AIL7" s="35"/>
      <c r="AIM7" s="35"/>
      <c r="AIN7" s="35"/>
      <c r="AIO7" s="35"/>
      <c r="AIP7" s="35"/>
      <c r="AIQ7" s="35"/>
      <c r="AIR7" s="35"/>
      <c r="AIS7" s="35"/>
      <c r="AIT7" s="35"/>
      <c r="AIU7" s="35"/>
      <c r="AIV7" s="35"/>
      <c r="AIW7" s="35"/>
      <c r="AIX7" s="35"/>
      <c r="AIY7" s="35"/>
      <c r="AIZ7" s="35"/>
      <c r="AJA7" s="35"/>
      <c r="AJB7" s="35"/>
      <c r="AJC7" s="35"/>
      <c r="AJD7" s="35"/>
      <c r="AJE7" s="35"/>
      <c r="AJF7" s="35"/>
      <c r="AJG7" s="35"/>
      <c r="AJH7" s="35"/>
      <c r="AJI7" s="35"/>
      <c r="AJJ7" s="35"/>
      <c r="AJK7" s="35"/>
      <c r="AJL7" s="35"/>
      <c r="AJM7" s="35"/>
      <c r="AJN7" s="35"/>
      <c r="AJO7" s="35"/>
      <c r="AJP7" s="35"/>
      <c r="AJQ7" s="35"/>
      <c r="AJR7" s="35"/>
      <c r="AJS7" s="35"/>
      <c r="AJT7" s="35"/>
      <c r="AJU7" s="35"/>
      <c r="AJV7" s="35"/>
      <c r="AJW7" s="35"/>
      <c r="AJX7" s="35"/>
      <c r="AJY7" s="35"/>
      <c r="AJZ7" s="35"/>
      <c r="AKA7" s="35"/>
      <c r="AKB7" s="35"/>
      <c r="AKC7" s="35"/>
      <c r="AKD7" s="35"/>
      <c r="AKE7" s="35"/>
      <c r="AKF7" s="35"/>
      <c r="AKG7" s="35"/>
      <c r="AKH7" s="35"/>
      <c r="AKI7" s="35"/>
      <c r="AKJ7" s="35"/>
      <c r="AKK7" s="35"/>
      <c r="AKL7" s="35"/>
      <c r="AKM7" s="35"/>
      <c r="AKN7" s="35"/>
      <c r="AKO7" s="35"/>
      <c r="AKP7" s="35"/>
      <c r="AKQ7" s="35"/>
      <c r="AKR7" s="35"/>
      <c r="AKS7" s="35"/>
    </row>
    <row r="8" customFormat="false" ht="12.8" hidden="true" customHeight="true" outlineLevel="1" collapsed="false">
      <c r="A8" s="40"/>
      <c r="B8" s="40"/>
      <c r="C8" s="40"/>
      <c r="D8" s="40"/>
      <c r="E8" s="40"/>
      <c r="F8" s="40"/>
      <c r="G8" s="40"/>
      <c r="H8" s="40"/>
      <c r="I8" s="40"/>
      <c r="J8" s="40"/>
      <c r="K8" s="40"/>
      <c r="L8" s="40"/>
      <c r="M8" s="40"/>
      <c r="N8" s="40"/>
      <c r="O8" s="40"/>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5"/>
      <c r="BK8" s="35"/>
      <c r="BL8" s="35"/>
      <c r="BM8" s="35"/>
      <c r="BN8" s="35"/>
      <c r="BO8" s="35"/>
      <c r="BP8" s="35"/>
      <c r="BQ8" s="35"/>
      <c r="BR8" s="35"/>
      <c r="BS8" s="35"/>
      <c r="BT8" s="35"/>
      <c r="BU8" s="35"/>
      <c r="BV8" s="35"/>
      <c r="BW8" s="35"/>
      <c r="BX8" s="35"/>
      <c r="BY8" s="35"/>
      <c r="BZ8" s="35"/>
      <c r="CA8" s="35"/>
      <c r="CB8" s="35"/>
      <c r="CC8" s="35"/>
      <c r="CD8" s="35"/>
      <c r="CE8" s="35"/>
      <c r="CF8" s="35"/>
      <c r="CG8" s="35"/>
      <c r="CH8" s="35"/>
      <c r="CI8" s="35"/>
      <c r="CJ8" s="35"/>
      <c r="CK8" s="35"/>
      <c r="CL8" s="35"/>
      <c r="CM8" s="35"/>
      <c r="CN8" s="35"/>
      <c r="CO8" s="35"/>
      <c r="CP8" s="35"/>
      <c r="CQ8" s="35"/>
      <c r="CR8" s="35"/>
      <c r="CS8" s="35"/>
      <c r="CT8" s="35"/>
      <c r="CU8" s="35"/>
      <c r="CV8" s="35"/>
      <c r="CW8" s="35"/>
      <c r="CX8" s="35"/>
      <c r="CY8" s="35"/>
      <c r="CZ8" s="35"/>
      <c r="DA8" s="35"/>
      <c r="DB8" s="35"/>
      <c r="DC8" s="35"/>
      <c r="DD8" s="35"/>
      <c r="DE8" s="35"/>
      <c r="DF8" s="35"/>
      <c r="DG8" s="35"/>
      <c r="DH8" s="35"/>
      <c r="DI8" s="35"/>
      <c r="DJ8" s="35"/>
      <c r="DK8" s="35"/>
      <c r="DL8" s="35"/>
      <c r="DM8" s="35"/>
      <c r="DN8" s="35"/>
      <c r="DO8" s="35"/>
      <c r="DP8" s="35"/>
      <c r="DQ8" s="35"/>
      <c r="DR8" s="35"/>
      <c r="DS8" s="35"/>
      <c r="DT8" s="35"/>
      <c r="DU8" s="35"/>
      <c r="DV8" s="35"/>
      <c r="DW8" s="35"/>
      <c r="DX8" s="35"/>
      <c r="DY8" s="35"/>
      <c r="DZ8" s="35"/>
      <c r="EA8" s="35"/>
      <c r="EB8" s="35"/>
      <c r="EC8" s="35"/>
      <c r="ED8" s="35"/>
      <c r="EE8" s="35"/>
      <c r="EF8" s="35"/>
      <c r="EG8" s="35"/>
      <c r="EH8" s="35"/>
      <c r="EI8" s="35"/>
      <c r="EJ8" s="35"/>
      <c r="EK8" s="35"/>
      <c r="EL8" s="35"/>
      <c r="EM8" s="35"/>
      <c r="EN8" s="35"/>
      <c r="EO8" s="35"/>
      <c r="EP8" s="35"/>
      <c r="EQ8" s="35"/>
      <c r="ER8" s="35"/>
      <c r="ES8" s="35"/>
      <c r="ET8" s="35"/>
      <c r="EU8" s="35"/>
      <c r="EV8" s="35"/>
      <c r="EW8" s="35"/>
      <c r="EX8" s="35"/>
      <c r="EY8" s="35"/>
      <c r="EZ8" s="35"/>
      <c r="FA8" s="35"/>
      <c r="FB8" s="35"/>
      <c r="FC8" s="35"/>
      <c r="FD8" s="35"/>
      <c r="FE8" s="35"/>
      <c r="FF8" s="35"/>
      <c r="FG8" s="35"/>
      <c r="FH8" s="35"/>
      <c r="FI8" s="35"/>
      <c r="FJ8" s="35"/>
      <c r="FK8" s="35"/>
      <c r="FL8" s="35"/>
      <c r="FM8" s="35"/>
      <c r="FN8" s="35"/>
      <c r="FO8" s="35"/>
      <c r="FP8" s="35"/>
      <c r="FQ8" s="35"/>
      <c r="FR8" s="35"/>
      <c r="FS8" s="35"/>
      <c r="FT8" s="35"/>
      <c r="FU8" s="35"/>
      <c r="FV8" s="35"/>
      <c r="FW8" s="35"/>
      <c r="FX8" s="35"/>
      <c r="FY8" s="35"/>
      <c r="FZ8" s="35"/>
      <c r="GA8" s="35"/>
      <c r="GB8" s="35"/>
      <c r="GC8" s="35"/>
      <c r="GD8" s="35"/>
      <c r="GE8" s="35"/>
      <c r="GF8" s="35"/>
      <c r="GG8" s="35"/>
      <c r="GH8" s="35"/>
      <c r="GI8" s="35"/>
      <c r="GJ8" s="35"/>
      <c r="GK8" s="35"/>
      <c r="GL8" s="35"/>
      <c r="GM8" s="35"/>
      <c r="GN8" s="35"/>
      <c r="GO8" s="35"/>
      <c r="GP8" s="35"/>
      <c r="GQ8" s="35"/>
      <c r="GR8" s="35"/>
      <c r="GS8" s="35"/>
      <c r="GT8" s="35"/>
      <c r="GU8" s="35"/>
      <c r="GV8" s="35"/>
      <c r="GW8" s="35"/>
      <c r="GX8" s="35"/>
      <c r="GY8" s="35"/>
      <c r="GZ8" s="35"/>
      <c r="HA8" s="35"/>
      <c r="HB8" s="35"/>
      <c r="HC8" s="35"/>
      <c r="HD8" s="35"/>
      <c r="HE8" s="35"/>
      <c r="HF8" s="35"/>
      <c r="HG8" s="35"/>
      <c r="HH8" s="35"/>
      <c r="HI8" s="35"/>
      <c r="HJ8" s="35"/>
      <c r="HK8" s="35"/>
      <c r="HL8" s="35"/>
      <c r="HM8" s="35"/>
      <c r="HN8" s="35"/>
      <c r="HO8" s="35"/>
      <c r="HP8" s="35"/>
      <c r="HQ8" s="35"/>
      <c r="HR8" s="35"/>
      <c r="HS8" s="35"/>
      <c r="HT8" s="35"/>
      <c r="HU8" s="35"/>
      <c r="HV8" s="35"/>
      <c r="HW8" s="35"/>
      <c r="HX8" s="35"/>
      <c r="HY8" s="35"/>
      <c r="HZ8" s="35"/>
      <c r="IA8" s="35"/>
      <c r="IB8" s="35"/>
      <c r="IC8" s="35"/>
      <c r="ID8" s="35"/>
      <c r="IE8" s="35"/>
      <c r="IF8" s="35"/>
      <c r="IG8" s="35"/>
      <c r="IH8" s="35"/>
      <c r="II8" s="35"/>
      <c r="IJ8" s="35"/>
      <c r="IK8" s="35"/>
      <c r="IL8" s="35"/>
      <c r="IM8" s="35"/>
      <c r="IN8" s="35"/>
      <c r="IO8" s="35"/>
      <c r="IP8" s="35"/>
      <c r="IQ8" s="35"/>
      <c r="IR8" s="35"/>
      <c r="IS8" s="35"/>
      <c r="IT8" s="35"/>
      <c r="IU8" s="35"/>
      <c r="IV8" s="35"/>
      <c r="IW8" s="35"/>
      <c r="IX8" s="35"/>
      <c r="IY8" s="35"/>
      <c r="IZ8" s="35"/>
      <c r="JA8" s="35"/>
      <c r="JB8" s="35"/>
      <c r="JC8" s="35"/>
      <c r="JD8" s="35"/>
      <c r="JE8" s="35"/>
      <c r="JF8" s="35"/>
      <c r="JG8" s="35"/>
      <c r="JH8" s="35"/>
      <c r="JI8" s="35"/>
      <c r="JJ8" s="35"/>
      <c r="JK8" s="35"/>
      <c r="JL8" s="35"/>
      <c r="JM8" s="35"/>
      <c r="JN8" s="35"/>
      <c r="JO8" s="35"/>
      <c r="JP8" s="35"/>
      <c r="JQ8" s="35"/>
      <c r="JR8" s="35"/>
      <c r="JS8" s="35"/>
      <c r="JT8" s="35"/>
      <c r="JU8" s="35"/>
      <c r="JV8" s="35"/>
      <c r="JW8" s="35"/>
      <c r="JX8" s="35"/>
      <c r="JY8" s="35"/>
      <c r="JZ8" s="35"/>
      <c r="KA8" s="35"/>
      <c r="KB8" s="35"/>
      <c r="KC8" s="35"/>
      <c r="KD8" s="35"/>
      <c r="KE8" s="35"/>
      <c r="KF8" s="35"/>
      <c r="KG8" s="35"/>
      <c r="KH8" s="35"/>
      <c r="KI8" s="35"/>
      <c r="KJ8" s="35"/>
      <c r="KK8" s="35"/>
      <c r="KL8" s="35"/>
      <c r="KM8" s="35"/>
      <c r="KN8" s="35"/>
      <c r="KO8" s="35"/>
      <c r="KP8" s="35"/>
      <c r="KQ8" s="35"/>
      <c r="KR8" s="35"/>
      <c r="KS8" s="35"/>
      <c r="KT8" s="35"/>
      <c r="KU8" s="35"/>
      <c r="KV8" s="35"/>
      <c r="KW8" s="35"/>
      <c r="KX8" s="35"/>
      <c r="KY8" s="35"/>
      <c r="KZ8" s="35"/>
      <c r="LA8" s="35"/>
      <c r="LB8" s="35"/>
      <c r="LC8" s="35"/>
      <c r="LD8" s="35"/>
      <c r="LE8" s="35"/>
      <c r="LF8" s="35"/>
      <c r="LG8" s="35"/>
      <c r="LH8" s="35"/>
      <c r="LI8" s="35"/>
      <c r="LJ8" s="35"/>
      <c r="LK8" s="35"/>
      <c r="LL8" s="35"/>
      <c r="LM8" s="35"/>
      <c r="LN8" s="35"/>
      <c r="LO8" s="35"/>
      <c r="LP8" s="35"/>
      <c r="LQ8" s="35"/>
      <c r="LR8" s="35"/>
      <c r="LS8" s="35"/>
      <c r="LT8" s="35"/>
      <c r="LU8" s="35"/>
      <c r="LV8" s="35"/>
      <c r="LW8" s="35"/>
      <c r="LX8" s="35"/>
      <c r="LY8" s="35"/>
      <c r="LZ8" s="35"/>
      <c r="MA8" s="35"/>
      <c r="MB8" s="35"/>
      <c r="MC8" s="35"/>
      <c r="MD8" s="35"/>
      <c r="ME8" s="35"/>
      <c r="MF8" s="35"/>
      <c r="MG8" s="35"/>
      <c r="MH8" s="35"/>
      <c r="MI8" s="35"/>
      <c r="MJ8" s="35"/>
      <c r="MK8" s="35"/>
      <c r="ML8" s="35"/>
      <c r="MM8" s="35"/>
      <c r="MN8" s="35"/>
      <c r="MO8" s="35"/>
      <c r="MP8" s="35"/>
      <c r="MQ8" s="35"/>
      <c r="MR8" s="35"/>
      <c r="MS8" s="35"/>
      <c r="MT8" s="35"/>
      <c r="MU8" s="35"/>
      <c r="MV8" s="35"/>
      <c r="MW8" s="35"/>
      <c r="MX8" s="35"/>
      <c r="MY8" s="35"/>
      <c r="MZ8" s="35"/>
      <c r="NA8" s="35"/>
      <c r="NB8" s="35"/>
      <c r="NC8" s="35"/>
      <c r="ND8" s="35"/>
      <c r="NE8" s="35"/>
      <c r="NF8" s="35"/>
      <c r="NG8" s="35"/>
      <c r="NH8" s="35"/>
      <c r="NI8" s="35"/>
      <c r="NJ8" s="35"/>
      <c r="NK8" s="35"/>
      <c r="NL8" s="35"/>
      <c r="NM8" s="35"/>
      <c r="NN8" s="35"/>
      <c r="NO8" s="35"/>
      <c r="NP8" s="35"/>
      <c r="NQ8" s="35"/>
      <c r="NR8" s="35"/>
      <c r="NS8" s="35"/>
      <c r="NT8" s="35"/>
      <c r="NU8" s="35"/>
      <c r="NV8" s="35"/>
      <c r="NW8" s="35"/>
      <c r="NX8" s="35"/>
      <c r="NY8" s="35"/>
      <c r="NZ8" s="35"/>
      <c r="OA8" s="35"/>
      <c r="OB8" s="35"/>
      <c r="OC8" s="35"/>
      <c r="OD8" s="35"/>
      <c r="OE8" s="35"/>
      <c r="OF8" s="35"/>
      <c r="OG8" s="35"/>
      <c r="OH8" s="35"/>
      <c r="OI8" s="35"/>
      <c r="OJ8" s="35"/>
      <c r="OK8" s="35"/>
      <c r="OL8" s="35"/>
      <c r="OM8" s="35"/>
      <c r="ON8" s="35"/>
      <c r="OO8" s="35"/>
      <c r="OP8" s="35"/>
      <c r="OQ8" s="35"/>
      <c r="OR8" s="35"/>
      <c r="OS8" s="35"/>
      <c r="OT8" s="35"/>
      <c r="OU8" s="35"/>
      <c r="OV8" s="35"/>
      <c r="OW8" s="35"/>
      <c r="OX8" s="35"/>
      <c r="OY8" s="35"/>
      <c r="OZ8" s="35"/>
      <c r="PA8" s="35"/>
      <c r="PB8" s="35"/>
      <c r="PC8" s="35"/>
      <c r="PD8" s="35"/>
      <c r="PE8" s="35"/>
      <c r="PF8" s="35"/>
      <c r="PG8" s="35"/>
      <c r="PH8" s="35"/>
      <c r="PI8" s="35"/>
      <c r="PJ8" s="35"/>
      <c r="PK8" s="35"/>
      <c r="PL8" s="35"/>
      <c r="PM8" s="35"/>
      <c r="PN8" s="35"/>
      <c r="PO8" s="35"/>
      <c r="PP8" s="35"/>
      <c r="PQ8" s="35"/>
      <c r="PR8" s="35"/>
      <c r="PS8" s="35"/>
      <c r="PT8" s="35"/>
      <c r="PU8" s="35"/>
      <c r="PV8" s="35"/>
      <c r="PW8" s="35"/>
      <c r="PX8" s="35"/>
      <c r="PY8" s="35"/>
      <c r="PZ8" s="35"/>
      <c r="QA8" s="35"/>
      <c r="QB8" s="35"/>
      <c r="QC8" s="35"/>
      <c r="QD8" s="35"/>
      <c r="QE8" s="35"/>
      <c r="QF8" s="35"/>
      <c r="QG8" s="35"/>
      <c r="QH8" s="35"/>
      <c r="QI8" s="35"/>
      <c r="QJ8" s="35"/>
      <c r="QK8" s="35"/>
      <c r="QL8" s="35"/>
      <c r="QM8" s="35"/>
      <c r="QN8" s="35"/>
      <c r="QO8" s="35"/>
      <c r="QP8" s="35"/>
      <c r="QQ8" s="35"/>
      <c r="QR8" s="35"/>
      <c r="QS8" s="35"/>
      <c r="QT8" s="35"/>
      <c r="QU8" s="35"/>
      <c r="QV8" s="35"/>
      <c r="QW8" s="35"/>
      <c r="QX8" s="35"/>
      <c r="QY8" s="35"/>
      <c r="QZ8" s="35"/>
      <c r="RA8" s="35"/>
      <c r="RB8" s="35"/>
      <c r="RC8" s="35"/>
      <c r="RD8" s="35"/>
      <c r="RE8" s="35"/>
      <c r="RF8" s="35"/>
      <c r="RG8" s="35"/>
      <c r="RH8" s="35"/>
      <c r="RI8" s="35"/>
      <c r="RJ8" s="35"/>
      <c r="RK8" s="35"/>
      <c r="RL8" s="35"/>
      <c r="RM8" s="35"/>
      <c r="RN8" s="35"/>
      <c r="RO8" s="35"/>
      <c r="RP8" s="35"/>
      <c r="RQ8" s="35"/>
      <c r="RR8" s="35"/>
      <c r="RS8" s="35"/>
      <c r="RT8" s="35"/>
      <c r="RU8" s="35"/>
      <c r="RV8" s="35"/>
      <c r="RW8" s="35"/>
      <c r="RX8" s="35"/>
      <c r="RY8" s="35"/>
      <c r="RZ8" s="35"/>
      <c r="SA8" s="35"/>
      <c r="SB8" s="35"/>
      <c r="SC8" s="35"/>
      <c r="SD8" s="35"/>
      <c r="SE8" s="35"/>
      <c r="SF8" s="35"/>
      <c r="SG8" s="35"/>
      <c r="SH8" s="35"/>
      <c r="SI8" s="35"/>
      <c r="SJ8" s="35"/>
      <c r="SK8" s="35"/>
      <c r="SL8" s="35"/>
      <c r="SM8" s="35"/>
      <c r="SN8" s="35"/>
      <c r="SO8" s="35"/>
      <c r="SP8" s="35"/>
      <c r="SQ8" s="35"/>
      <c r="SR8" s="35"/>
      <c r="SS8" s="35"/>
      <c r="ST8" s="35"/>
      <c r="SU8" s="35"/>
      <c r="SV8" s="35"/>
      <c r="SW8" s="35"/>
      <c r="SX8" s="35"/>
      <c r="SY8" s="35"/>
      <c r="SZ8" s="35"/>
      <c r="TA8" s="35"/>
      <c r="TB8" s="35"/>
      <c r="TC8" s="35"/>
      <c r="TD8" s="35"/>
      <c r="TE8" s="35"/>
      <c r="TF8" s="35"/>
      <c r="TG8" s="35"/>
      <c r="TH8" s="35"/>
      <c r="TI8" s="35"/>
      <c r="TJ8" s="35"/>
      <c r="TK8" s="35"/>
      <c r="TL8" s="35"/>
      <c r="TM8" s="35"/>
      <c r="TN8" s="35"/>
      <c r="TO8" s="35"/>
      <c r="TP8" s="35"/>
      <c r="TQ8" s="35"/>
      <c r="TR8" s="35"/>
      <c r="TS8" s="35"/>
      <c r="TT8" s="35"/>
      <c r="TU8" s="35"/>
      <c r="TV8" s="35"/>
      <c r="TW8" s="35"/>
      <c r="TX8" s="35"/>
      <c r="TY8" s="35"/>
      <c r="TZ8" s="35"/>
      <c r="UA8" s="35"/>
      <c r="UB8" s="35"/>
      <c r="UC8" s="35"/>
      <c r="UD8" s="35"/>
      <c r="UE8" s="35"/>
      <c r="UF8" s="35"/>
      <c r="UG8" s="35"/>
      <c r="UH8" s="35"/>
      <c r="UI8" s="35"/>
      <c r="UJ8" s="35"/>
      <c r="UK8" s="35"/>
      <c r="UL8" s="35"/>
      <c r="UM8" s="35"/>
      <c r="UN8" s="35"/>
      <c r="UO8" s="35"/>
      <c r="UP8" s="35"/>
      <c r="UQ8" s="35"/>
      <c r="UR8" s="35"/>
      <c r="US8" s="35"/>
      <c r="UT8" s="35"/>
      <c r="UU8" s="35"/>
      <c r="UV8" s="35"/>
      <c r="UW8" s="35"/>
      <c r="UX8" s="35"/>
      <c r="UY8" s="35"/>
      <c r="UZ8" s="35"/>
      <c r="VA8" s="35"/>
      <c r="VB8" s="35"/>
      <c r="VC8" s="35"/>
      <c r="VD8" s="35"/>
      <c r="VE8" s="35"/>
      <c r="VF8" s="35"/>
      <c r="VG8" s="35"/>
      <c r="VH8" s="35"/>
      <c r="VI8" s="35"/>
      <c r="VJ8" s="35"/>
      <c r="VK8" s="35"/>
      <c r="VL8" s="35"/>
      <c r="VM8" s="35"/>
      <c r="VN8" s="35"/>
      <c r="VO8" s="35"/>
      <c r="VP8" s="35"/>
      <c r="VQ8" s="35"/>
      <c r="VR8" s="35"/>
      <c r="VS8" s="35"/>
      <c r="VT8" s="35"/>
      <c r="VU8" s="35"/>
      <c r="VV8" s="35"/>
      <c r="VW8" s="35"/>
      <c r="VX8" s="35"/>
      <c r="VY8" s="35"/>
      <c r="VZ8" s="35"/>
      <c r="WA8" s="35"/>
      <c r="WB8" s="35"/>
      <c r="WC8" s="35"/>
      <c r="WD8" s="35"/>
      <c r="WE8" s="35"/>
      <c r="WF8" s="35"/>
      <c r="WG8" s="35"/>
      <c r="WH8" s="35"/>
      <c r="WI8" s="35"/>
      <c r="WJ8" s="35"/>
      <c r="WK8" s="35"/>
      <c r="WL8" s="35"/>
      <c r="WM8" s="35"/>
      <c r="WN8" s="35"/>
      <c r="WO8" s="35"/>
      <c r="WP8" s="35"/>
      <c r="WQ8" s="35"/>
      <c r="WR8" s="35"/>
      <c r="WS8" s="35"/>
      <c r="WT8" s="35"/>
      <c r="WU8" s="35"/>
      <c r="WV8" s="35"/>
      <c r="WW8" s="35"/>
      <c r="WX8" s="35"/>
      <c r="WY8" s="35"/>
      <c r="WZ8" s="35"/>
      <c r="XA8" s="35"/>
      <c r="XB8" s="35"/>
      <c r="XC8" s="35"/>
      <c r="XD8" s="35"/>
      <c r="XE8" s="35"/>
      <c r="XF8" s="35"/>
      <c r="XG8" s="35"/>
      <c r="XH8" s="35"/>
      <c r="XI8" s="35"/>
      <c r="XJ8" s="35"/>
      <c r="XK8" s="35"/>
      <c r="XL8" s="35"/>
      <c r="XM8" s="35"/>
      <c r="XN8" s="35"/>
      <c r="XO8" s="35"/>
      <c r="XP8" s="35"/>
      <c r="XQ8" s="35"/>
      <c r="XR8" s="35"/>
      <c r="XS8" s="35"/>
      <c r="XT8" s="35"/>
      <c r="XU8" s="35"/>
      <c r="XV8" s="35"/>
      <c r="XW8" s="35"/>
      <c r="XX8" s="35"/>
      <c r="XY8" s="35"/>
      <c r="XZ8" s="35"/>
      <c r="YA8" s="35"/>
      <c r="YB8" s="35"/>
      <c r="YC8" s="35"/>
      <c r="YD8" s="35"/>
      <c r="YE8" s="35"/>
      <c r="YF8" s="35"/>
      <c r="YG8" s="35"/>
      <c r="YH8" s="35"/>
      <c r="YI8" s="35"/>
      <c r="YJ8" s="35"/>
      <c r="YK8" s="35"/>
      <c r="YL8" s="35"/>
      <c r="YM8" s="35"/>
      <c r="YN8" s="35"/>
      <c r="YO8" s="35"/>
      <c r="YP8" s="35"/>
      <c r="YQ8" s="35"/>
      <c r="YR8" s="35"/>
      <c r="YS8" s="35"/>
      <c r="YT8" s="35"/>
      <c r="YU8" s="35"/>
      <c r="YV8" s="35"/>
      <c r="YW8" s="35"/>
      <c r="YX8" s="35"/>
      <c r="YY8" s="35"/>
      <c r="YZ8" s="35"/>
      <c r="ZA8" s="35"/>
      <c r="ZB8" s="35"/>
      <c r="ZC8" s="35"/>
      <c r="ZD8" s="35"/>
      <c r="ZE8" s="35"/>
      <c r="ZF8" s="35"/>
      <c r="ZG8" s="35"/>
      <c r="ZH8" s="35"/>
      <c r="ZI8" s="35"/>
      <c r="ZJ8" s="35"/>
      <c r="ZK8" s="35"/>
      <c r="ZL8" s="35"/>
      <c r="ZM8" s="35"/>
      <c r="ZN8" s="35"/>
      <c r="ZO8" s="35"/>
      <c r="ZP8" s="35"/>
      <c r="ZQ8" s="35"/>
      <c r="ZR8" s="35"/>
      <c r="ZS8" s="35"/>
      <c r="ZT8" s="35"/>
      <c r="ZU8" s="35"/>
      <c r="ZV8" s="35"/>
      <c r="ZW8" s="35"/>
      <c r="ZX8" s="35"/>
      <c r="ZY8" s="35"/>
      <c r="ZZ8" s="35"/>
      <c r="AAA8" s="35"/>
      <c r="AAB8" s="35"/>
      <c r="AAC8" s="35"/>
      <c r="AAD8" s="35"/>
      <c r="AAE8" s="35"/>
      <c r="AAF8" s="35"/>
      <c r="AAG8" s="35"/>
      <c r="AAH8" s="35"/>
      <c r="AAI8" s="35"/>
      <c r="AAJ8" s="35"/>
      <c r="AAK8" s="35"/>
      <c r="AAL8" s="35"/>
      <c r="AAM8" s="35"/>
      <c r="AAN8" s="35"/>
      <c r="AAO8" s="35"/>
      <c r="AAP8" s="35"/>
      <c r="AAQ8" s="35"/>
      <c r="AAR8" s="35"/>
      <c r="AAS8" s="35"/>
      <c r="AAT8" s="35"/>
      <c r="AAU8" s="35"/>
      <c r="AAV8" s="35"/>
      <c r="AAW8" s="35"/>
      <c r="AAX8" s="35"/>
      <c r="AAY8" s="35"/>
      <c r="AAZ8" s="35"/>
      <c r="ABA8" s="35"/>
      <c r="ABB8" s="35"/>
      <c r="ABC8" s="35"/>
      <c r="ABD8" s="35"/>
      <c r="ABE8" s="35"/>
      <c r="ABF8" s="35"/>
      <c r="ABG8" s="35"/>
      <c r="ABH8" s="35"/>
      <c r="ABI8" s="35"/>
      <c r="ABJ8" s="35"/>
      <c r="ABK8" s="35"/>
      <c r="ABL8" s="35"/>
      <c r="ABM8" s="35"/>
      <c r="ABN8" s="35"/>
      <c r="ABO8" s="35"/>
      <c r="ABP8" s="35"/>
      <c r="ABQ8" s="35"/>
      <c r="ABR8" s="35"/>
      <c r="ABS8" s="35"/>
      <c r="ABT8" s="35"/>
      <c r="ABU8" s="35"/>
      <c r="ABV8" s="35"/>
      <c r="ABW8" s="35"/>
      <c r="ABX8" s="35"/>
      <c r="ABY8" s="35"/>
      <c r="ABZ8" s="35"/>
      <c r="ACA8" s="35"/>
      <c r="ACB8" s="35"/>
      <c r="ACC8" s="35"/>
      <c r="ACD8" s="35"/>
      <c r="ACE8" s="35"/>
      <c r="ACF8" s="35"/>
      <c r="ACG8" s="35"/>
      <c r="ACH8" s="35"/>
      <c r="ACI8" s="35"/>
      <c r="ACJ8" s="35"/>
      <c r="ACK8" s="35"/>
      <c r="ACL8" s="35"/>
      <c r="ACM8" s="35"/>
      <c r="ACN8" s="35"/>
      <c r="ACO8" s="35"/>
      <c r="ACP8" s="35"/>
      <c r="ACQ8" s="35"/>
      <c r="ACR8" s="35"/>
      <c r="ACS8" s="35"/>
      <c r="ACT8" s="35"/>
      <c r="ACU8" s="35"/>
      <c r="ACV8" s="35"/>
      <c r="ACW8" s="35"/>
      <c r="ACX8" s="35"/>
      <c r="ACY8" s="35"/>
      <c r="ACZ8" s="35"/>
      <c r="ADA8" s="35"/>
      <c r="ADB8" s="35"/>
      <c r="ADC8" s="35"/>
      <c r="ADD8" s="35"/>
      <c r="ADE8" s="35"/>
      <c r="ADF8" s="35"/>
      <c r="ADG8" s="35"/>
      <c r="ADH8" s="35"/>
      <c r="ADI8" s="35"/>
      <c r="ADJ8" s="35"/>
      <c r="ADK8" s="35"/>
      <c r="ADL8" s="35"/>
      <c r="ADM8" s="35"/>
      <c r="ADN8" s="35"/>
      <c r="ADO8" s="35"/>
      <c r="ADP8" s="35"/>
      <c r="ADQ8" s="35"/>
      <c r="ADR8" s="35"/>
      <c r="ADS8" s="35"/>
      <c r="ADT8" s="35"/>
      <c r="ADU8" s="35"/>
      <c r="ADV8" s="35"/>
      <c r="ADW8" s="35"/>
      <c r="ADX8" s="35"/>
      <c r="ADY8" s="35"/>
      <c r="ADZ8" s="35"/>
      <c r="AEA8" s="35"/>
      <c r="AEB8" s="35"/>
      <c r="AEC8" s="35"/>
      <c r="AED8" s="35"/>
      <c r="AEE8" s="35"/>
      <c r="AEF8" s="35"/>
      <c r="AEG8" s="35"/>
      <c r="AEH8" s="35"/>
      <c r="AEI8" s="35"/>
      <c r="AEJ8" s="35"/>
      <c r="AEK8" s="35"/>
      <c r="AEL8" s="35"/>
      <c r="AEM8" s="35"/>
      <c r="AEN8" s="35"/>
      <c r="AEO8" s="35"/>
      <c r="AEP8" s="35"/>
      <c r="AEQ8" s="35"/>
      <c r="AER8" s="35"/>
      <c r="AES8" s="35"/>
      <c r="AET8" s="35"/>
      <c r="AEU8" s="35"/>
      <c r="AEV8" s="35"/>
      <c r="AEW8" s="35"/>
      <c r="AEX8" s="35"/>
      <c r="AEY8" s="35"/>
      <c r="AEZ8" s="35"/>
      <c r="AFA8" s="35"/>
      <c r="AFB8" s="35"/>
      <c r="AFC8" s="35"/>
      <c r="AFD8" s="35"/>
      <c r="AFE8" s="35"/>
      <c r="AFF8" s="35"/>
      <c r="AFG8" s="35"/>
      <c r="AFH8" s="35"/>
      <c r="AFI8" s="35"/>
      <c r="AFJ8" s="35"/>
      <c r="AFK8" s="35"/>
      <c r="AFL8" s="35"/>
      <c r="AFM8" s="35"/>
      <c r="AFN8" s="35"/>
      <c r="AFO8" s="35"/>
      <c r="AFP8" s="35"/>
      <c r="AFQ8" s="35"/>
      <c r="AFR8" s="35"/>
      <c r="AFS8" s="35"/>
      <c r="AFT8" s="35"/>
      <c r="AFU8" s="35"/>
      <c r="AFV8" s="35"/>
      <c r="AFW8" s="35"/>
      <c r="AFX8" s="35"/>
      <c r="AFY8" s="35"/>
      <c r="AFZ8" s="35"/>
      <c r="AGA8" s="35"/>
      <c r="AGB8" s="35"/>
      <c r="AGC8" s="35"/>
      <c r="AGD8" s="35"/>
      <c r="AGE8" s="35"/>
      <c r="AGF8" s="35"/>
      <c r="AGG8" s="35"/>
      <c r="AGH8" s="35"/>
      <c r="AGI8" s="35"/>
      <c r="AGJ8" s="35"/>
      <c r="AGK8" s="35"/>
      <c r="AGL8" s="35"/>
      <c r="AGM8" s="35"/>
      <c r="AGN8" s="35"/>
      <c r="AGO8" s="35"/>
      <c r="AGP8" s="35"/>
      <c r="AGQ8" s="35"/>
      <c r="AGR8" s="35"/>
      <c r="AGS8" s="35"/>
      <c r="AGT8" s="35"/>
      <c r="AGU8" s="35"/>
      <c r="AGV8" s="35"/>
      <c r="AGW8" s="35"/>
      <c r="AGX8" s="35"/>
      <c r="AGY8" s="35"/>
      <c r="AGZ8" s="35"/>
      <c r="AHA8" s="35"/>
      <c r="AHB8" s="35"/>
      <c r="AHC8" s="35"/>
      <c r="AHD8" s="35"/>
      <c r="AHE8" s="35"/>
      <c r="AHF8" s="35"/>
      <c r="AHG8" s="35"/>
      <c r="AHH8" s="35"/>
      <c r="AHI8" s="35"/>
      <c r="AHJ8" s="35"/>
      <c r="AHK8" s="35"/>
      <c r="AHL8" s="35"/>
      <c r="AHM8" s="35"/>
      <c r="AHN8" s="35"/>
      <c r="AHO8" s="35"/>
      <c r="AHP8" s="35"/>
      <c r="AHQ8" s="35"/>
      <c r="AHR8" s="35"/>
      <c r="AHS8" s="35"/>
      <c r="AHT8" s="35"/>
      <c r="AHU8" s="35"/>
      <c r="AHV8" s="35"/>
      <c r="AHW8" s="35"/>
      <c r="AHX8" s="35"/>
      <c r="AHY8" s="35"/>
      <c r="AHZ8" s="35"/>
      <c r="AIA8" s="35"/>
      <c r="AIB8" s="35"/>
      <c r="AIC8" s="35"/>
      <c r="AID8" s="35"/>
      <c r="AIE8" s="35"/>
      <c r="AIF8" s="35"/>
      <c r="AIG8" s="35"/>
      <c r="AIH8" s="35"/>
      <c r="AII8" s="35"/>
      <c r="AIJ8" s="35"/>
      <c r="AIK8" s="35"/>
      <c r="AIL8" s="35"/>
      <c r="AIM8" s="35"/>
      <c r="AIN8" s="35"/>
      <c r="AIO8" s="35"/>
      <c r="AIP8" s="35"/>
      <c r="AIQ8" s="35"/>
      <c r="AIR8" s="35"/>
      <c r="AIS8" s="35"/>
      <c r="AIT8" s="35"/>
      <c r="AIU8" s="35"/>
      <c r="AIV8" s="35"/>
      <c r="AIW8" s="35"/>
      <c r="AIX8" s="35"/>
      <c r="AIY8" s="35"/>
      <c r="AIZ8" s="35"/>
      <c r="AJA8" s="35"/>
      <c r="AJB8" s="35"/>
      <c r="AJC8" s="35"/>
      <c r="AJD8" s="35"/>
      <c r="AJE8" s="35"/>
      <c r="AJF8" s="35"/>
      <c r="AJG8" s="35"/>
      <c r="AJH8" s="35"/>
      <c r="AJI8" s="35"/>
      <c r="AJJ8" s="35"/>
      <c r="AJK8" s="35"/>
      <c r="AJL8" s="35"/>
      <c r="AJM8" s="35"/>
      <c r="AJN8" s="35"/>
      <c r="AJO8" s="35"/>
      <c r="AJP8" s="35"/>
      <c r="AJQ8" s="35"/>
      <c r="AJR8" s="35"/>
      <c r="AJS8" s="35"/>
      <c r="AJT8" s="35"/>
      <c r="AJU8" s="35"/>
      <c r="AJV8" s="35"/>
      <c r="AJW8" s="35"/>
      <c r="AJX8" s="35"/>
      <c r="AJY8" s="35"/>
      <c r="AJZ8" s="35"/>
      <c r="AKA8" s="35"/>
      <c r="AKB8" s="35"/>
      <c r="AKC8" s="35"/>
      <c r="AKD8" s="35"/>
      <c r="AKE8" s="35"/>
      <c r="AKF8" s="35"/>
      <c r="AKG8" s="35"/>
      <c r="AKH8" s="35"/>
      <c r="AKI8" s="35"/>
      <c r="AKJ8" s="35"/>
      <c r="AKK8" s="35"/>
      <c r="AKL8" s="35"/>
      <c r="AKM8" s="35"/>
      <c r="AKN8" s="35"/>
      <c r="AKO8" s="35"/>
      <c r="AKP8" s="35"/>
      <c r="AKQ8" s="35"/>
      <c r="AKR8" s="35"/>
      <c r="AKS8" s="35"/>
    </row>
    <row r="9" customFormat="false" ht="12.8" hidden="true" customHeight="true" outlineLevel="1" collapsed="false">
      <c r="A9" s="40"/>
      <c r="B9" s="40"/>
      <c r="C9" s="40"/>
      <c r="D9" s="40"/>
      <c r="E9" s="40"/>
      <c r="F9" s="40"/>
      <c r="G9" s="40"/>
      <c r="H9" s="40"/>
      <c r="I9" s="40"/>
      <c r="J9" s="40"/>
      <c r="K9" s="40"/>
      <c r="L9" s="40"/>
      <c r="M9" s="40"/>
      <c r="N9" s="40"/>
      <c r="O9" s="40"/>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5"/>
      <c r="GC9" s="35"/>
      <c r="GD9" s="35"/>
      <c r="GE9" s="35"/>
      <c r="GF9" s="35"/>
      <c r="GG9" s="35"/>
      <c r="GH9" s="35"/>
      <c r="GI9" s="35"/>
      <c r="GJ9" s="35"/>
      <c r="GK9" s="35"/>
      <c r="GL9" s="35"/>
      <c r="GM9" s="35"/>
      <c r="GN9" s="35"/>
      <c r="GO9" s="35"/>
      <c r="GP9" s="35"/>
      <c r="GQ9" s="35"/>
      <c r="GR9" s="35"/>
      <c r="GS9" s="35"/>
      <c r="GT9" s="35"/>
      <c r="GU9" s="35"/>
      <c r="GV9" s="35"/>
      <c r="GW9" s="35"/>
      <c r="GX9" s="35"/>
      <c r="GY9" s="35"/>
      <c r="GZ9" s="35"/>
      <c r="HA9" s="35"/>
      <c r="HB9" s="35"/>
      <c r="HC9" s="35"/>
      <c r="HD9" s="35"/>
      <c r="HE9" s="35"/>
      <c r="HF9" s="35"/>
      <c r="HG9" s="35"/>
      <c r="HH9" s="35"/>
      <c r="HI9" s="35"/>
      <c r="HJ9" s="35"/>
      <c r="HK9" s="35"/>
      <c r="HL9" s="35"/>
      <c r="HM9" s="35"/>
      <c r="HN9" s="35"/>
      <c r="HO9" s="35"/>
      <c r="HP9" s="35"/>
      <c r="HQ9" s="35"/>
      <c r="HR9" s="35"/>
      <c r="HS9" s="35"/>
      <c r="HT9" s="35"/>
      <c r="HU9" s="35"/>
      <c r="HV9" s="35"/>
      <c r="HW9" s="35"/>
      <c r="HX9" s="35"/>
      <c r="HY9" s="35"/>
      <c r="HZ9" s="35"/>
      <c r="IA9" s="35"/>
      <c r="IB9" s="35"/>
      <c r="IC9" s="35"/>
      <c r="ID9" s="35"/>
      <c r="IE9" s="35"/>
      <c r="IF9" s="35"/>
      <c r="IG9" s="35"/>
      <c r="IH9" s="35"/>
      <c r="II9" s="35"/>
      <c r="IJ9" s="35"/>
      <c r="IK9" s="35"/>
      <c r="IL9" s="35"/>
      <c r="IM9" s="35"/>
      <c r="IN9" s="35"/>
      <c r="IO9" s="35"/>
      <c r="IP9" s="35"/>
      <c r="IQ9" s="35"/>
      <c r="IR9" s="35"/>
      <c r="IS9" s="35"/>
      <c r="IT9" s="35"/>
      <c r="IU9" s="35"/>
      <c r="IV9" s="35"/>
      <c r="IW9" s="35"/>
      <c r="IX9" s="35"/>
      <c r="IY9" s="35"/>
      <c r="IZ9" s="35"/>
      <c r="JA9" s="35"/>
      <c r="JB9" s="35"/>
      <c r="JC9" s="35"/>
      <c r="JD9" s="35"/>
      <c r="JE9" s="35"/>
      <c r="JF9" s="35"/>
      <c r="JG9" s="35"/>
      <c r="JH9" s="35"/>
      <c r="JI9" s="35"/>
      <c r="JJ9" s="35"/>
      <c r="JK9" s="35"/>
      <c r="JL9" s="35"/>
      <c r="JM9" s="35"/>
      <c r="JN9" s="35"/>
      <c r="JO9" s="35"/>
      <c r="JP9" s="35"/>
      <c r="JQ9" s="35"/>
      <c r="JR9" s="35"/>
      <c r="JS9" s="35"/>
      <c r="JT9" s="35"/>
      <c r="JU9" s="35"/>
      <c r="JV9" s="35"/>
      <c r="JW9" s="35"/>
      <c r="JX9" s="35"/>
      <c r="JY9" s="35"/>
      <c r="JZ9" s="35"/>
      <c r="KA9" s="35"/>
      <c r="KB9" s="35"/>
      <c r="KC9" s="35"/>
      <c r="KD9" s="35"/>
      <c r="KE9" s="35"/>
      <c r="KF9" s="35"/>
      <c r="KG9" s="35"/>
      <c r="KH9" s="35"/>
      <c r="KI9" s="35"/>
      <c r="KJ9" s="35"/>
      <c r="KK9" s="35"/>
      <c r="KL9" s="35"/>
      <c r="KM9" s="35"/>
      <c r="KN9" s="35"/>
      <c r="KO9" s="35"/>
      <c r="KP9" s="35"/>
      <c r="KQ9" s="35"/>
      <c r="KR9" s="35"/>
      <c r="KS9" s="35"/>
      <c r="KT9" s="35"/>
      <c r="KU9" s="35"/>
      <c r="KV9" s="35"/>
      <c r="KW9" s="35"/>
      <c r="KX9" s="35"/>
      <c r="KY9" s="35"/>
      <c r="KZ9" s="35"/>
      <c r="LA9" s="35"/>
      <c r="LB9" s="35"/>
      <c r="LC9" s="35"/>
      <c r="LD9" s="35"/>
      <c r="LE9" s="35"/>
      <c r="LF9" s="35"/>
      <c r="LG9" s="35"/>
      <c r="LH9" s="35"/>
      <c r="LI9" s="35"/>
      <c r="LJ9" s="35"/>
      <c r="LK9" s="35"/>
      <c r="LL9" s="35"/>
      <c r="LM9" s="35"/>
      <c r="LN9" s="35"/>
      <c r="LO9" s="35"/>
      <c r="LP9" s="35"/>
      <c r="LQ9" s="35"/>
      <c r="LR9" s="35"/>
      <c r="LS9" s="35"/>
      <c r="LT9" s="35"/>
      <c r="LU9" s="35"/>
      <c r="LV9" s="35"/>
      <c r="LW9" s="35"/>
      <c r="LX9" s="35"/>
      <c r="LY9" s="35"/>
      <c r="LZ9" s="35"/>
      <c r="MA9" s="35"/>
      <c r="MB9" s="35"/>
      <c r="MC9" s="35"/>
      <c r="MD9" s="35"/>
      <c r="ME9" s="35"/>
      <c r="MF9" s="35"/>
      <c r="MG9" s="35"/>
      <c r="MH9" s="35"/>
      <c r="MI9" s="35"/>
      <c r="MJ9" s="35"/>
      <c r="MK9" s="35"/>
      <c r="ML9" s="35"/>
      <c r="MM9" s="35"/>
      <c r="MN9" s="35"/>
      <c r="MO9" s="35"/>
      <c r="MP9" s="35"/>
      <c r="MQ9" s="35"/>
      <c r="MR9" s="35"/>
      <c r="MS9" s="35"/>
      <c r="MT9" s="35"/>
      <c r="MU9" s="35"/>
      <c r="MV9" s="35"/>
      <c r="MW9" s="35"/>
      <c r="MX9" s="35"/>
      <c r="MY9" s="35"/>
      <c r="MZ9" s="35"/>
      <c r="NA9" s="35"/>
      <c r="NB9" s="35"/>
      <c r="NC9" s="35"/>
      <c r="ND9" s="35"/>
      <c r="NE9" s="35"/>
      <c r="NF9" s="35"/>
      <c r="NG9" s="35"/>
      <c r="NH9" s="35"/>
      <c r="NI9" s="35"/>
      <c r="NJ9" s="35"/>
      <c r="NK9" s="35"/>
      <c r="NL9" s="35"/>
      <c r="NM9" s="35"/>
      <c r="NN9" s="35"/>
      <c r="NO9" s="35"/>
      <c r="NP9" s="35"/>
      <c r="NQ9" s="35"/>
      <c r="NR9" s="35"/>
      <c r="NS9" s="35"/>
      <c r="NT9" s="35"/>
      <c r="NU9" s="35"/>
      <c r="NV9" s="35"/>
      <c r="NW9" s="35"/>
      <c r="NX9" s="35"/>
      <c r="NY9" s="35"/>
      <c r="NZ9" s="35"/>
      <c r="OA9" s="35"/>
      <c r="OB9" s="35"/>
      <c r="OC9" s="35"/>
      <c r="OD9" s="35"/>
      <c r="OE9" s="35"/>
      <c r="OF9" s="35"/>
      <c r="OG9" s="35"/>
      <c r="OH9" s="35"/>
      <c r="OI9" s="35"/>
      <c r="OJ9" s="35"/>
      <c r="OK9" s="35"/>
      <c r="OL9" s="35"/>
      <c r="OM9" s="35"/>
      <c r="ON9" s="35"/>
      <c r="OO9" s="35"/>
      <c r="OP9" s="35"/>
      <c r="OQ9" s="35"/>
      <c r="OR9" s="35"/>
      <c r="OS9" s="35"/>
      <c r="OT9" s="35"/>
      <c r="OU9" s="35"/>
      <c r="OV9" s="35"/>
      <c r="OW9" s="35"/>
      <c r="OX9" s="35"/>
      <c r="OY9" s="35"/>
      <c r="OZ9" s="35"/>
      <c r="PA9" s="35"/>
      <c r="PB9" s="35"/>
      <c r="PC9" s="35"/>
      <c r="PD9" s="35"/>
      <c r="PE9" s="35"/>
      <c r="PF9" s="35"/>
      <c r="PG9" s="35"/>
      <c r="PH9" s="35"/>
      <c r="PI9" s="35"/>
      <c r="PJ9" s="35"/>
      <c r="PK9" s="35"/>
      <c r="PL9" s="35"/>
      <c r="PM9" s="35"/>
      <c r="PN9" s="35"/>
      <c r="PO9" s="35"/>
      <c r="PP9" s="35"/>
      <c r="PQ9" s="35"/>
      <c r="PR9" s="35"/>
      <c r="PS9" s="35"/>
      <c r="PT9" s="35"/>
      <c r="PU9" s="35"/>
      <c r="PV9" s="35"/>
      <c r="PW9" s="35"/>
      <c r="PX9" s="35"/>
      <c r="PY9" s="35"/>
      <c r="PZ9" s="35"/>
      <c r="QA9" s="35"/>
      <c r="QB9" s="35"/>
      <c r="QC9" s="35"/>
      <c r="QD9" s="35"/>
      <c r="QE9" s="35"/>
      <c r="QF9" s="35"/>
      <c r="QG9" s="35"/>
      <c r="QH9" s="35"/>
      <c r="QI9" s="35"/>
      <c r="QJ9" s="35"/>
      <c r="QK9" s="35"/>
      <c r="QL9" s="35"/>
      <c r="QM9" s="35"/>
      <c r="QN9" s="35"/>
      <c r="QO9" s="35"/>
      <c r="QP9" s="35"/>
      <c r="QQ9" s="35"/>
      <c r="QR9" s="35"/>
      <c r="QS9" s="35"/>
      <c r="QT9" s="35"/>
      <c r="QU9" s="35"/>
      <c r="QV9" s="35"/>
      <c r="QW9" s="35"/>
      <c r="QX9" s="35"/>
      <c r="QY9" s="35"/>
      <c r="QZ9" s="35"/>
      <c r="RA9" s="35"/>
      <c r="RB9" s="35"/>
      <c r="RC9" s="35"/>
      <c r="RD9" s="35"/>
      <c r="RE9" s="35"/>
      <c r="RF9" s="35"/>
      <c r="RG9" s="35"/>
      <c r="RH9" s="35"/>
      <c r="RI9" s="35"/>
      <c r="RJ9" s="35"/>
      <c r="RK9" s="35"/>
      <c r="RL9" s="35"/>
      <c r="RM9" s="35"/>
      <c r="RN9" s="35"/>
      <c r="RO9" s="35"/>
      <c r="RP9" s="35"/>
      <c r="RQ9" s="35"/>
      <c r="RR9" s="35"/>
      <c r="RS9" s="35"/>
      <c r="RT9" s="35"/>
      <c r="RU9" s="35"/>
      <c r="RV9" s="35"/>
      <c r="RW9" s="35"/>
      <c r="RX9" s="35"/>
      <c r="RY9" s="35"/>
      <c r="RZ9" s="35"/>
      <c r="SA9" s="35"/>
      <c r="SB9" s="35"/>
      <c r="SC9" s="35"/>
      <c r="SD9" s="35"/>
      <c r="SE9" s="35"/>
      <c r="SF9" s="35"/>
      <c r="SG9" s="35"/>
      <c r="SH9" s="35"/>
      <c r="SI9" s="35"/>
      <c r="SJ9" s="35"/>
      <c r="SK9" s="35"/>
      <c r="SL9" s="35"/>
      <c r="SM9" s="35"/>
      <c r="SN9" s="35"/>
      <c r="SO9" s="35"/>
      <c r="SP9" s="35"/>
      <c r="SQ9" s="35"/>
      <c r="SR9" s="35"/>
      <c r="SS9" s="35"/>
      <c r="ST9" s="35"/>
      <c r="SU9" s="35"/>
      <c r="SV9" s="35"/>
      <c r="SW9" s="35"/>
      <c r="SX9" s="35"/>
      <c r="SY9" s="35"/>
      <c r="SZ9" s="35"/>
      <c r="TA9" s="35"/>
      <c r="TB9" s="35"/>
      <c r="TC9" s="35"/>
      <c r="TD9" s="35"/>
      <c r="TE9" s="35"/>
      <c r="TF9" s="35"/>
      <c r="TG9" s="35"/>
      <c r="TH9" s="35"/>
      <c r="TI9" s="35"/>
      <c r="TJ9" s="35"/>
      <c r="TK9" s="35"/>
      <c r="TL9" s="35"/>
      <c r="TM9" s="35"/>
      <c r="TN9" s="35"/>
      <c r="TO9" s="35"/>
      <c r="TP9" s="35"/>
      <c r="TQ9" s="35"/>
      <c r="TR9" s="35"/>
      <c r="TS9" s="35"/>
      <c r="TT9" s="35"/>
      <c r="TU9" s="35"/>
      <c r="TV9" s="35"/>
      <c r="TW9" s="35"/>
      <c r="TX9" s="35"/>
      <c r="TY9" s="35"/>
      <c r="TZ9" s="35"/>
      <c r="UA9" s="35"/>
      <c r="UB9" s="35"/>
      <c r="UC9" s="35"/>
      <c r="UD9" s="35"/>
      <c r="UE9" s="35"/>
      <c r="UF9" s="35"/>
      <c r="UG9" s="35"/>
      <c r="UH9" s="35"/>
      <c r="UI9" s="35"/>
      <c r="UJ9" s="35"/>
      <c r="UK9" s="35"/>
      <c r="UL9" s="35"/>
      <c r="UM9" s="35"/>
      <c r="UN9" s="35"/>
      <c r="UO9" s="35"/>
      <c r="UP9" s="35"/>
      <c r="UQ9" s="35"/>
      <c r="UR9" s="35"/>
      <c r="US9" s="35"/>
      <c r="UT9" s="35"/>
      <c r="UU9" s="35"/>
      <c r="UV9" s="35"/>
      <c r="UW9" s="35"/>
      <c r="UX9" s="35"/>
      <c r="UY9" s="35"/>
      <c r="UZ9" s="35"/>
      <c r="VA9" s="35"/>
      <c r="VB9" s="35"/>
      <c r="VC9" s="35"/>
      <c r="VD9" s="35"/>
      <c r="VE9" s="35"/>
      <c r="VF9" s="35"/>
      <c r="VG9" s="35"/>
      <c r="VH9" s="35"/>
      <c r="VI9" s="35"/>
      <c r="VJ9" s="35"/>
      <c r="VK9" s="35"/>
      <c r="VL9" s="35"/>
      <c r="VM9" s="35"/>
      <c r="VN9" s="35"/>
      <c r="VO9" s="35"/>
      <c r="VP9" s="35"/>
      <c r="VQ9" s="35"/>
      <c r="VR9" s="35"/>
      <c r="VS9" s="35"/>
      <c r="VT9" s="35"/>
      <c r="VU9" s="35"/>
      <c r="VV9" s="35"/>
      <c r="VW9" s="35"/>
      <c r="VX9" s="35"/>
      <c r="VY9" s="35"/>
      <c r="VZ9" s="35"/>
      <c r="WA9" s="35"/>
      <c r="WB9" s="35"/>
      <c r="WC9" s="35"/>
      <c r="WD9" s="35"/>
      <c r="WE9" s="35"/>
      <c r="WF9" s="35"/>
      <c r="WG9" s="35"/>
      <c r="WH9" s="35"/>
      <c r="WI9" s="35"/>
      <c r="WJ9" s="35"/>
      <c r="WK9" s="35"/>
      <c r="WL9" s="35"/>
      <c r="WM9" s="35"/>
      <c r="WN9" s="35"/>
      <c r="WO9" s="35"/>
      <c r="WP9" s="35"/>
      <c r="WQ9" s="35"/>
      <c r="WR9" s="35"/>
      <c r="WS9" s="35"/>
      <c r="WT9" s="35"/>
      <c r="WU9" s="35"/>
      <c r="WV9" s="35"/>
      <c r="WW9" s="35"/>
      <c r="WX9" s="35"/>
      <c r="WY9" s="35"/>
      <c r="WZ9" s="35"/>
      <c r="XA9" s="35"/>
      <c r="XB9" s="35"/>
      <c r="XC9" s="35"/>
      <c r="XD9" s="35"/>
      <c r="XE9" s="35"/>
      <c r="XF9" s="35"/>
      <c r="XG9" s="35"/>
      <c r="XH9" s="35"/>
      <c r="XI9" s="35"/>
      <c r="XJ9" s="35"/>
      <c r="XK9" s="35"/>
      <c r="XL9" s="35"/>
      <c r="XM9" s="35"/>
      <c r="XN9" s="35"/>
      <c r="XO9" s="35"/>
      <c r="XP9" s="35"/>
      <c r="XQ9" s="35"/>
      <c r="XR9" s="35"/>
      <c r="XS9" s="35"/>
      <c r="XT9" s="35"/>
      <c r="XU9" s="35"/>
      <c r="XV9" s="35"/>
      <c r="XW9" s="35"/>
      <c r="XX9" s="35"/>
      <c r="XY9" s="35"/>
      <c r="XZ9" s="35"/>
      <c r="YA9" s="35"/>
      <c r="YB9" s="35"/>
      <c r="YC9" s="35"/>
      <c r="YD9" s="35"/>
      <c r="YE9" s="35"/>
      <c r="YF9" s="35"/>
      <c r="YG9" s="35"/>
      <c r="YH9" s="35"/>
      <c r="YI9" s="35"/>
      <c r="YJ9" s="35"/>
      <c r="YK9" s="35"/>
      <c r="YL9" s="35"/>
      <c r="YM9" s="35"/>
      <c r="YN9" s="35"/>
      <c r="YO9" s="35"/>
      <c r="YP9" s="35"/>
      <c r="YQ9" s="35"/>
      <c r="YR9" s="35"/>
      <c r="YS9" s="35"/>
      <c r="YT9" s="35"/>
      <c r="YU9" s="35"/>
      <c r="YV9" s="35"/>
      <c r="YW9" s="35"/>
      <c r="YX9" s="35"/>
      <c r="YY9" s="35"/>
      <c r="YZ9" s="35"/>
      <c r="ZA9" s="35"/>
      <c r="ZB9" s="35"/>
      <c r="ZC9" s="35"/>
      <c r="ZD9" s="35"/>
      <c r="ZE9" s="35"/>
      <c r="ZF9" s="35"/>
      <c r="ZG9" s="35"/>
      <c r="ZH9" s="35"/>
      <c r="ZI9" s="35"/>
      <c r="ZJ9" s="35"/>
      <c r="ZK9" s="35"/>
      <c r="ZL9" s="35"/>
      <c r="ZM9" s="35"/>
      <c r="ZN9" s="35"/>
      <c r="ZO9" s="35"/>
      <c r="ZP9" s="35"/>
      <c r="ZQ9" s="35"/>
      <c r="ZR9" s="35"/>
      <c r="ZS9" s="35"/>
      <c r="ZT9" s="35"/>
      <c r="ZU9" s="35"/>
      <c r="ZV9" s="35"/>
      <c r="ZW9" s="35"/>
      <c r="ZX9" s="35"/>
      <c r="ZY9" s="35"/>
      <c r="ZZ9" s="35"/>
      <c r="AAA9" s="35"/>
      <c r="AAB9" s="35"/>
      <c r="AAC9" s="35"/>
      <c r="AAD9" s="35"/>
      <c r="AAE9" s="35"/>
      <c r="AAF9" s="35"/>
      <c r="AAG9" s="35"/>
      <c r="AAH9" s="35"/>
      <c r="AAI9" s="35"/>
      <c r="AAJ9" s="35"/>
      <c r="AAK9" s="35"/>
      <c r="AAL9" s="35"/>
      <c r="AAM9" s="35"/>
      <c r="AAN9" s="35"/>
      <c r="AAO9" s="35"/>
      <c r="AAP9" s="35"/>
      <c r="AAQ9" s="35"/>
      <c r="AAR9" s="35"/>
      <c r="AAS9" s="35"/>
      <c r="AAT9" s="35"/>
      <c r="AAU9" s="35"/>
      <c r="AAV9" s="35"/>
      <c r="AAW9" s="35"/>
      <c r="AAX9" s="35"/>
      <c r="AAY9" s="35"/>
      <c r="AAZ9" s="35"/>
      <c r="ABA9" s="35"/>
      <c r="ABB9" s="35"/>
      <c r="ABC9" s="35"/>
      <c r="ABD9" s="35"/>
      <c r="ABE9" s="35"/>
      <c r="ABF9" s="35"/>
      <c r="ABG9" s="35"/>
      <c r="ABH9" s="35"/>
      <c r="ABI9" s="35"/>
      <c r="ABJ9" s="35"/>
      <c r="ABK9" s="35"/>
      <c r="ABL9" s="35"/>
      <c r="ABM9" s="35"/>
      <c r="ABN9" s="35"/>
      <c r="ABO9" s="35"/>
      <c r="ABP9" s="35"/>
      <c r="ABQ9" s="35"/>
      <c r="ABR9" s="35"/>
      <c r="ABS9" s="35"/>
      <c r="ABT9" s="35"/>
      <c r="ABU9" s="35"/>
      <c r="ABV9" s="35"/>
      <c r="ABW9" s="35"/>
      <c r="ABX9" s="35"/>
      <c r="ABY9" s="35"/>
      <c r="ABZ9" s="35"/>
      <c r="ACA9" s="35"/>
      <c r="ACB9" s="35"/>
      <c r="ACC9" s="35"/>
      <c r="ACD9" s="35"/>
      <c r="ACE9" s="35"/>
      <c r="ACF9" s="35"/>
      <c r="ACG9" s="35"/>
      <c r="ACH9" s="35"/>
      <c r="ACI9" s="35"/>
      <c r="ACJ9" s="35"/>
      <c r="ACK9" s="35"/>
      <c r="ACL9" s="35"/>
      <c r="ACM9" s="35"/>
      <c r="ACN9" s="35"/>
      <c r="ACO9" s="35"/>
      <c r="ACP9" s="35"/>
      <c r="ACQ9" s="35"/>
      <c r="ACR9" s="35"/>
      <c r="ACS9" s="35"/>
      <c r="ACT9" s="35"/>
      <c r="ACU9" s="35"/>
      <c r="ACV9" s="35"/>
      <c r="ACW9" s="35"/>
      <c r="ACX9" s="35"/>
      <c r="ACY9" s="35"/>
      <c r="ACZ9" s="35"/>
      <c r="ADA9" s="35"/>
      <c r="ADB9" s="35"/>
      <c r="ADC9" s="35"/>
      <c r="ADD9" s="35"/>
      <c r="ADE9" s="35"/>
      <c r="ADF9" s="35"/>
      <c r="ADG9" s="35"/>
      <c r="ADH9" s="35"/>
      <c r="ADI9" s="35"/>
      <c r="ADJ9" s="35"/>
      <c r="ADK9" s="35"/>
      <c r="ADL9" s="35"/>
      <c r="ADM9" s="35"/>
      <c r="ADN9" s="35"/>
      <c r="ADO9" s="35"/>
      <c r="ADP9" s="35"/>
      <c r="ADQ9" s="35"/>
      <c r="ADR9" s="35"/>
      <c r="ADS9" s="35"/>
      <c r="ADT9" s="35"/>
      <c r="ADU9" s="35"/>
      <c r="ADV9" s="35"/>
      <c r="ADW9" s="35"/>
      <c r="ADX9" s="35"/>
      <c r="ADY9" s="35"/>
      <c r="ADZ9" s="35"/>
      <c r="AEA9" s="35"/>
      <c r="AEB9" s="35"/>
      <c r="AEC9" s="35"/>
      <c r="AED9" s="35"/>
      <c r="AEE9" s="35"/>
      <c r="AEF9" s="35"/>
      <c r="AEG9" s="35"/>
      <c r="AEH9" s="35"/>
      <c r="AEI9" s="35"/>
      <c r="AEJ9" s="35"/>
      <c r="AEK9" s="35"/>
      <c r="AEL9" s="35"/>
      <c r="AEM9" s="35"/>
      <c r="AEN9" s="35"/>
      <c r="AEO9" s="35"/>
      <c r="AEP9" s="35"/>
      <c r="AEQ9" s="35"/>
      <c r="AER9" s="35"/>
      <c r="AES9" s="35"/>
      <c r="AET9" s="35"/>
      <c r="AEU9" s="35"/>
      <c r="AEV9" s="35"/>
      <c r="AEW9" s="35"/>
      <c r="AEX9" s="35"/>
      <c r="AEY9" s="35"/>
      <c r="AEZ9" s="35"/>
      <c r="AFA9" s="35"/>
      <c r="AFB9" s="35"/>
      <c r="AFC9" s="35"/>
      <c r="AFD9" s="35"/>
      <c r="AFE9" s="35"/>
      <c r="AFF9" s="35"/>
      <c r="AFG9" s="35"/>
      <c r="AFH9" s="35"/>
      <c r="AFI9" s="35"/>
      <c r="AFJ9" s="35"/>
      <c r="AFK9" s="35"/>
      <c r="AFL9" s="35"/>
      <c r="AFM9" s="35"/>
      <c r="AFN9" s="35"/>
      <c r="AFO9" s="35"/>
      <c r="AFP9" s="35"/>
      <c r="AFQ9" s="35"/>
      <c r="AFR9" s="35"/>
      <c r="AFS9" s="35"/>
      <c r="AFT9" s="35"/>
      <c r="AFU9" s="35"/>
      <c r="AFV9" s="35"/>
      <c r="AFW9" s="35"/>
      <c r="AFX9" s="35"/>
      <c r="AFY9" s="35"/>
      <c r="AFZ9" s="35"/>
      <c r="AGA9" s="35"/>
      <c r="AGB9" s="35"/>
      <c r="AGC9" s="35"/>
      <c r="AGD9" s="35"/>
      <c r="AGE9" s="35"/>
      <c r="AGF9" s="35"/>
      <c r="AGG9" s="35"/>
      <c r="AGH9" s="35"/>
      <c r="AGI9" s="35"/>
      <c r="AGJ9" s="35"/>
      <c r="AGK9" s="35"/>
      <c r="AGL9" s="35"/>
      <c r="AGM9" s="35"/>
      <c r="AGN9" s="35"/>
      <c r="AGO9" s="35"/>
      <c r="AGP9" s="35"/>
      <c r="AGQ9" s="35"/>
      <c r="AGR9" s="35"/>
      <c r="AGS9" s="35"/>
      <c r="AGT9" s="35"/>
      <c r="AGU9" s="35"/>
      <c r="AGV9" s="35"/>
      <c r="AGW9" s="35"/>
      <c r="AGX9" s="35"/>
      <c r="AGY9" s="35"/>
      <c r="AGZ9" s="35"/>
      <c r="AHA9" s="35"/>
      <c r="AHB9" s="35"/>
      <c r="AHC9" s="35"/>
      <c r="AHD9" s="35"/>
      <c r="AHE9" s="35"/>
      <c r="AHF9" s="35"/>
      <c r="AHG9" s="35"/>
      <c r="AHH9" s="35"/>
      <c r="AHI9" s="35"/>
      <c r="AHJ9" s="35"/>
      <c r="AHK9" s="35"/>
      <c r="AHL9" s="35"/>
      <c r="AHM9" s="35"/>
      <c r="AHN9" s="35"/>
      <c r="AHO9" s="35"/>
      <c r="AHP9" s="35"/>
      <c r="AHQ9" s="35"/>
      <c r="AHR9" s="35"/>
      <c r="AHS9" s="35"/>
      <c r="AHT9" s="35"/>
      <c r="AHU9" s="35"/>
      <c r="AHV9" s="35"/>
      <c r="AHW9" s="35"/>
      <c r="AHX9" s="35"/>
      <c r="AHY9" s="35"/>
      <c r="AHZ9" s="35"/>
      <c r="AIA9" s="35"/>
      <c r="AIB9" s="35"/>
      <c r="AIC9" s="35"/>
      <c r="AID9" s="35"/>
      <c r="AIE9" s="35"/>
      <c r="AIF9" s="35"/>
      <c r="AIG9" s="35"/>
      <c r="AIH9" s="35"/>
      <c r="AII9" s="35"/>
      <c r="AIJ9" s="35"/>
      <c r="AIK9" s="35"/>
      <c r="AIL9" s="35"/>
      <c r="AIM9" s="35"/>
      <c r="AIN9" s="35"/>
      <c r="AIO9" s="35"/>
      <c r="AIP9" s="35"/>
      <c r="AIQ9" s="35"/>
      <c r="AIR9" s="35"/>
      <c r="AIS9" s="35"/>
      <c r="AIT9" s="35"/>
      <c r="AIU9" s="35"/>
      <c r="AIV9" s="35"/>
      <c r="AIW9" s="35"/>
      <c r="AIX9" s="35"/>
      <c r="AIY9" s="35"/>
      <c r="AIZ9" s="35"/>
      <c r="AJA9" s="35"/>
      <c r="AJB9" s="35"/>
      <c r="AJC9" s="35"/>
      <c r="AJD9" s="35"/>
      <c r="AJE9" s="35"/>
      <c r="AJF9" s="35"/>
      <c r="AJG9" s="35"/>
      <c r="AJH9" s="35"/>
      <c r="AJI9" s="35"/>
      <c r="AJJ9" s="35"/>
      <c r="AJK9" s="35"/>
      <c r="AJL9" s="35"/>
      <c r="AJM9" s="35"/>
      <c r="AJN9" s="35"/>
      <c r="AJO9" s="35"/>
      <c r="AJP9" s="35"/>
      <c r="AJQ9" s="35"/>
      <c r="AJR9" s="35"/>
      <c r="AJS9" s="35"/>
      <c r="AJT9" s="35"/>
      <c r="AJU9" s="35"/>
      <c r="AJV9" s="35"/>
      <c r="AJW9" s="35"/>
      <c r="AJX9" s="35"/>
      <c r="AJY9" s="35"/>
      <c r="AJZ9" s="35"/>
      <c r="AKA9" s="35"/>
      <c r="AKB9" s="35"/>
      <c r="AKC9" s="35"/>
      <c r="AKD9" s="35"/>
      <c r="AKE9" s="35"/>
      <c r="AKF9" s="35"/>
      <c r="AKG9" s="35"/>
      <c r="AKH9" s="35"/>
      <c r="AKI9" s="35"/>
      <c r="AKJ9" s="35"/>
      <c r="AKK9" s="35"/>
      <c r="AKL9" s="35"/>
      <c r="AKM9" s="35"/>
      <c r="AKN9" s="35"/>
      <c r="AKO9" s="35"/>
      <c r="AKP9" s="35"/>
      <c r="AKQ9" s="35"/>
      <c r="AKR9" s="35"/>
      <c r="AKS9" s="35"/>
    </row>
    <row r="10" customFormat="false" ht="12.8" hidden="true" customHeight="true" outlineLevel="1" collapsed="false">
      <c r="A10" s="40"/>
      <c r="B10" s="40"/>
      <c r="C10" s="40"/>
      <c r="D10" s="40"/>
      <c r="E10" s="40"/>
      <c r="F10" s="40"/>
      <c r="G10" s="40"/>
      <c r="H10" s="40"/>
      <c r="I10" s="40"/>
      <c r="J10" s="40"/>
      <c r="K10" s="40"/>
      <c r="L10" s="40"/>
      <c r="M10" s="40"/>
      <c r="N10" s="40"/>
      <c r="O10" s="40"/>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5"/>
      <c r="EG10" s="35"/>
      <c r="EH10" s="35"/>
      <c r="EI10" s="35"/>
      <c r="EJ10" s="35"/>
      <c r="EK10" s="35"/>
      <c r="EL10" s="35"/>
      <c r="EM10" s="35"/>
      <c r="EN10" s="35"/>
      <c r="EO10" s="35"/>
      <c r="EP10" s="35"/>
      <c r="EQ10" s="35"/>
      <c r="ER10" s="35"/>
      <c r="ES10" s="35"/>
      <c r="ET10" s="35"/>
      <c r="EU10" s="35"/>
      <c r="EV10" s="35"/>
      <c r="EW10" s="35"/>
      <c r="EX10" s="35"/>
      <c r="EY10" s="35"/>
      <c r="EZ10" s="35"/>
      <c r="FA10" s="35"/>
      <c r="FB10" s="35"/>
      <c r="FC10" s="35"/>
      <c r="FD10" s="35"/>
      <c r="FE10" s="35"/>
      <c r="FF10" s="35"/>
      <c r="FG10" s="35"/>
      <c r="FH10" s="35"/>
      <c r="FI10" s="35"/>
      <c r="FJ10" s="35"/>
      <c r="FK10" s="35"/>
      <c r="FL10" s="35"/>
      <c r="FM10" s="35"/>
      <c r="FN10" s="35"/>
      <c r="FO10" s="35"/>
      <c r="FP10" s="35"/>
      <c r="FQ10" s="35"/>
      <c r="FR10" s="35"/>
      <c r="FS10" s="35"/>
      <c r="FT10" s="35"/>
      <c r="FU10" s="35"/>
      <c r="FV10" s="35"/>
      <c r="FW10" s="35"/>
      <c r="FX10" s="35"/>
      <c r="FY10" s="35"/>
      <c r="FZ10" s="35"/>
      <c r="GA10" s="35"/>
      <c r="GB10" s="35"/>
      <c r="GC10" s="35"/>
      <c r="GD10" s="35"/>
      <c r="GE10" s="35"/>
      <c r="GF10" s="35"/>
      <c r="GG10" s="35"/>
      <c r="GH10" s="35"/>
      <c r="GI10" s="35"/>
      <c r="GJ10" s="35"/>
      <c r="GK10" s="35"/>
      <c r="GL10" s="35"/>
      <c r="GM10" s="35"/>
      <c r="GN10" s="35"/>
      <c r="GO10" s="35"/>
      <c r="GP10" s="35"/>
      <c r="GQ10" s="35"/>
      <c r="GR10" s="35"/>
      <c r="GS10" s="35"/>
      <c r="GT10" s="35"/>
      <c r="GU10" s="35"/>
      <c r="GV10" s="35"/>
      <c r="GW10" s="35"/>
      <c r="GX10" s="35"/>
      <c r="GY10" s="35"/>
      <c r="GZ10" s="35"/>
      <c r="HA10" s="35"/>
      <c r="HB10" s="35"/>
      <c r="HC10" s="35"/>
      <c r="HD10" s="35"/>
      <c r="HE10" s="35"/>
      <c r="HF10" s="35"/>
      <c r="HG10" s="35"/>
      <c r="HH10" s="35"/>
      <c r="HI10" s="35"/>
      <c r="HJ10" s="35"/>
      <c r="HK10" s="35"/>
      <c r="HL10" s="35"/>
      <c r="HM10" s="35"/>
      <c r="HN10" s="35"/>
      <c r="HO10" s="35"/>
      <c r="HP10" s="35"/>
      <c r="HQ10" s="35"/>
      <c r="HR10" s="35"/>
      <c r="HS10" s="35"/>
      <c r="HT10" s="35"/>
      <c r="HU10" s="35"/>
      <c r="HV10" s="35"/>
      <c r="HW10" s="35"/>
      <c r="HX10" s="35"/>
      <c r="HY10" s="35"/>
      <c r="HZ10" s="35"/>
      <c r="IA10" s="35"/>
      <c r="IB10" s="35"/>
      <c r="IC10" s="35"/>
      <c r="ID10" s="35"/>
      <c r="IE10" s="35"/>
      <c r="IF10" s="35"/>
      <c r="IG10" s="35"/>
      <c r="IH10" s="35"/>
      <c r="II10" s="35"/>
      <c r="IJ10" s="35"/>
      <c r="IK10" s="35"/>
      <c r="IL10" s="35"/>
      <c r="IM10" s="35"/>
      <c r="IN10" s="35"/>
      <c r="IO10" s="35"/>
      <c r="IP10" s="35"/>
      <c r="IQ10" s="35"/>
      <c r="IR10" s="35"/>
      <c r="IS10" s="35"/>
      <c r="IT10" s="35"/>
      <c r="IU10" s="35"/>
      <c r="IV10" s="35"/>
      <c r="IW10" s="35"/>
      <c r="IX10" s="35"/>
      <c r="IY10" s="35"/>
      <c r="IZ10" s="35"/>
      <c r="JA10" s="35"/>
      <c r="JB10" s="35"/>
      <c r="JC10" s="35"/>
      <c r="JD10" s="35"/>
      <c r="JE10" s="35"/>
      <c r="JF10" s="35"/>
      <c r="JG10" s="35"/>
      <c r="JH10" s="35"/>
      <c r="JI10" s="35"/>
      <c r="JJ10" s="35"/>
      <c r="JK10" s="35"/>
      <c r="JL10" s="35"/>
      <c r="JM10" s="35"/>
      <c r="JN10" s="35"/>
      <c r="JO10" s="35"/>
      <c r="JP10" s="35"/>
      <c r="JQ10" s="35"/>
      <c r="JR10" s="35"/>
      <c r="JS10" s="35"/>
      <c r="JT10" s="35"/>
      <c r="JU10" s="35"/>
      <c r="JV10" s="35"/>
      <c r="JW10" s="35"/>
      <c r="JX10" s="35"/>
      <c r="JY10" s="35"/>
      <c r="JZ10" s="35"/>
      <c r="KA10" s="35"/>
      <c r="KB10" s="35"/>
      <c r="KC10" s="35"/>
      <c r="KD10" s="35"/>
      <c r="KE10" s="35"/>
      <c r="KF10" s="35"/>
      <c r="KG10" s="35"/>
      <c r="KH10" s="35"/>
      <c r="KI10" s="35"/>
      <c r="KJ10" s="35"/>
      <c r="KK10" s="35"/>
      <c r="KL10" s="35"/>
      <c r="KM10" s="35"/>
      <c r="KN10" s="35"/>
      <c r="KO10" s="35"/>
      <c r="KP10" s="35"/>
      <c r="KQ10" s="35"/>
      <c r="KR10" s="35"/>
      <c r="KS10" s="35"/>
      <c r="KT10" s="35"/>
      <c r="KU10" s="35"/>
      <c r="KV10" s="35"/>
      <c r="KW10" s="35"/>
      <c r="KX10" s="35"/>
      <c r="KY10" s="35"/>
      <c r="KZ10" s="35"/>
      <c r="LA10" s="35"/>
      <c r="LB10" s="35"/>
      <c r="LC10" s="35"/>
      <c r="LD10" s="35"/>
      <c r="LE10" s="35"/>
      <c r="LF10" s="35"/>
      <c r="LG10" s="35"/>
      <c r="LH10" s="35"/>
      <c r="LI10" s="35"/>
      <c r="LJ10" s="35"/>
      <c r="LK10" s="35"/>
      <c r="LL10" s="35"/>
      <c r="LM10" s="35"/>
      <c r="LN10" s="35"/>
      <c r="LO10" s="35"/>
      <c r="LP10" s="35"/>
      <c r="LQ10" s="35"/>
      <c r="LR10" s="35"/>
      <c r="LS10" s="35"/>
      <c r="LT10" s="35"/>
      <c r="LU10" s="35"/>
      <c r="LV10" s="35"/>
      <c r="LW10" s="35"/>
      <c r="LX10" s="35"/>
      <c r="LY10" s="35"/>
      <c r="LZ10" s="35"/>
      <c r="MA10" s="35"/>
      <c r="MB10" s="35"/>
      <c r="MC10" s="35"/>
      <c r="MD10" s="35"/>
      <c r="ME10" s="35"/>
      <c r="MF10" s="35"/>
      <c r="MG10" s="35"/>
      <c r="MH10" s="35"/>
      <c r="MI10" s="35"/>
      <c r="MJ10" s="35"/>
      <c r="MK10" s="35"/>
      <c r="ML10" s="35"/>
      <c r="MM10" s="35"/>
      <c r="MN10" s="35"/>
      <c r="MO10" s="35"/>
      <c r="MP10" s="35"/>
      <c r="MQ10" s="35"/>
      <c r="MR10" s="35"/>
      <c r="MS10" s="35"/>
      <c r="MT10" s="35"/>
      <c r="MU10" s="35"/>
      <c r="MV10" s="35"/>
      <c r="MW10" s="35"/>
      <c r="MX10" s="35"/>
      <c r="MY10" s="35"/>
      <c r="MZ10" s="35"/>
      <c r="NA10" s="35"/>
      <c r="NB10" s="35"/>
      <c r="NC10" s="35"/>
      <c r="ND10" s="35"/>
      <c r="NE10" s="35"/>
      <c r="NF10" s="35"/>
      <c r="NG10" s="35"/>
      <c r="NH10" s="35"/>
      <c r="NI10" s="35"/>
      <c r="NJ10" s="35"/>
      <c r="NK10" s="35"/>
      <c r="NL10" s="35"/>
      <c r="NM10" s="35"/>
      <c r="NN10" s="35"/>
      <c r="NO10" s="35"/>
      <c r="NP10" s="35"/>
      <c r="NQ10" s="35"/>
      <c r="NR10" s="35"/>
      <c r="NS10" s="35"/>
      <c r="NT10" s="35"/>
      <c r="NU10" s="35"/>
      <c r="NV10" s="35"/>
      <c r="NW10" s="35"/>
      <c r="NX10" s="35"/>
      <c r="NY10" s="35"/>
      <c r="NZ10" s="35"/>
      <c r="OA10" s="35"/>
      <c r="OB10" s="35"/>
      <c r="OC10" s="35"/>
      <c r="OD10" s="35"/>
      <c r="OE10" s="35"/>
      <c r="OF10" s="35"/>
      <c r="OG10" s="35"/>
      <c r="OH10" s="35"/>
      <c r="OI10" s="35"/>
      <c r="OJ10" s="35"/>
      <c r="OK10" s="35"/>
      <c r="OL10" s="35"/>
      <c r="OM10" s="35"/>
      <c r="ON10" s="35"/>
      <c r="OO10" s="35"/>
      <c r="OP10" s="35"/>
      <c r="OQ10" s="35"/>
      <c r="OR10" s="35"/>
      <c r="OS10" s="35"/>
      <c r="OT10" s="35"/>
      <c r="OU10" s="35"/>
      <c r="OV10" s="35"/>
      <c r="OW10" s="35"/>
      <c r="OX10" s="35"/>
      <c r="OY10" s="35"/>
      <c r="OZ10" s="35"/>
      <c r="PA10" s="35"/>
      <c r="PB10" s="35"/>
      <c r="PC10" s="35"/>
      <c r="PD10" s="35"/>
      <c r="PE10" s="35"/>
      <c r="PF10" s="35"/>
      <c r="PG10" s="35"/>
      <c r="PH10" s="35"/>
      <c r="PI10" s="35"/>
      <c r="PJ10" s="35"/>
      <c r="PK10" s="35"/>
      <c r="PL10" s="35"/>
      <c r="PM10" s="35"/>
      <c r="PN10" s="35"/>
      <c r="PO10" s="35"/>
      <c r="PP10" s="35"/>
      <c r="PQ10" s="35"/>
      <c r="PR10" s="35"/>
      <c r="PS10" s="35"/>
      <c r="PT10" s="35"/>
      <c r="PU10" s="35"/>
      <c r="PV10" s="35"/>
      <c r="PW10" s="35"/>
      <c r="PX10" s="35"/>
      <c r="PY10" s="35"/>
      <c r="PZ10" s="35"/>
      <c r="QA10" s="35"/>
      <c r="QB10" s="35"/>
      <c r="QC10" s="35"/>
      <c r="QD10" s="35"/>
      <c r="QE10" s="35"/>
      <c r="QF10" s="35"/>
      <c r="QG10" s="35"/>
      <c r="QH10" s="35"/>
      <c r="QI10" s="35"/>
      <c r="QJ10" s="35"/>
      <c r="QK10" s="35"/>
      <c r="QL10" s="35"/>
      <c r="QM10" s="35"/>
      <c r="QN10" s="35"/>
      <c r="QO10" s="35"/>
      <c r="QP10" s="35"/>
      <c r="QQ10" s="35"/>
      <c r="QR10" s="35"/>
      <c r="QS10" s="35"/>
      <c r="QT10" s="35"/>
      <c r="QU10" s="35"/>
      <c r="QV10" s="35"/>
      <c r="QW10" s="35"/>
      <c r="QX10" s="35"/>
      <c r="QY10" s="35"/>
      <c r="QZ10" s="35"/>
      <c r="RA10" s="35"/>
      <c r="RB10" s="35"/>
      <c r="RC10" s="35"/>
      <c r="RD10" s="35"/>
      <c r="RE10" s="35"/>
      <c r="RF10" s="35"/>
      <c r="RG10" s="35"/>
      <c r="RH10" s="35"/>
      <c r="RI10" s="35"/>
      <c r="RJ10" s="35"/>
      <c r="RK10" s="35"/>
      <c r="RL10" s="35"/>
      <c r="RM10" s="35"/>
      <c r="RN10" s="35"/>
      <c r="RO10" s="35"/>
      <c r="RP10" s="35"/>
      <c r="RQ10" s="35"/>
      <c r="RR10" s="35"/>
      <c r="RS10" s="35"/>
      <c r="RT10" s="35"/>
      <c r="RU10" s="35"/>
      <c r="RV10" s="35"/>
      <c r="RW10" s="35"/>
      <c r="RX10" s="35"/>
      <c r="RY10" s="35"/>
      <c r="RZ10" s="35"/>
      <c r="SA10" s="35"/>
      <c r="SB10" s="35"/>
      <c r="SC10" s="35"/>
      <c r="SD10" s="35"/>
      <c r="SE10" s="35"/>
      <c r="SF10" s="35"/>
      <c r="SG10" s="35"/>
      <c r="SH10" s="35"/>
      <c r="SI10" s="35"/>
      <c r="SJ10" s="35"/>
      <c r="SK10" s="35"/>
      <c r="SL10" s="35"/>
      <c r="SM10" s="35"/>
      <c r="SN10" s="35"/>
      <c r="SO10" s="35"/>
      <c r="SP10" s="35"/>
      <c r="SQ10" s="35"/>
      <c r="SR10" s="35"/>
      <c r="SS10" s="35"/>
      <c r="ST10" s="35"/>
      <c r="SU10" s="35"/>
      <c r="SV10" s="35"/>
      <c r="SW10" s="35"/>
      <c r="SX10" s="35"/>
      <c r="SY10" s="35"/>
      <c r="SZ10" s="35"/>
      <c r="TA10" s="35"/>
      <c r="TB10" s="35"/>
      <c r="TC10" s="35"/>
      <c r="TD10" s="35"/>
      <c r="TE10" s="35"/>
      <c r="TF10" s="35"/>
      <c r="TG10" s="35"/>
      <c r="TH10" s="35"/>
      <c r="TI10" s="35"/>
      <c r="TJ10" s="35"/>
      <c r="TK10" s="35"/>
      <c r="TL10" s="35"/>
      <c r="TM10" s="35"/>
      <c r="TN10" s="35"/>
      <c r="TO10" s="35"/>
      <c r="TP10" s="35"/>
      <c r="TQ10" s="35"/>
      <c r="TR10" s="35"/>
      <c r="TS10" s="35"/>
      <c r="TT10" s="35"/>
      <c r="TU10" s="35"/>
      <c r="TV10" s="35"/>
      <c r="TW10" s="35"/>
      <c r="TX10" s="35"/>
      <c r="TY10" s="35"/>
      <c r="TZ10" s="35"/>
      <c r="UA10" s="35"/>
      <c r="UB10" s="35"/>
      <c r="UC10" s="35"/>
      <c r="UD10" s="35"/>
      <c r="UE10" s="35"/>
      <c r="UF10" s="35"/>
      <c r="UG10" s="35"/>
      <c r="UH10" s="35"/>
      <c r="UI10" s="35"/>
      <c r="UJ10" s="35"/>
      <c r="UK10" s="35"/>
      <c r="UL10" s="35"/>
      <c r="UM10" s="35"/>
      <c r="UN10" s="35"/>
      <c r="UO10" s="35"/>
      <c r="UP10" s="35"/>
      <c r="UQ10" s="35"/>
      <c r="UR10" s="35"/>
      <c r="US10" s="35"/>
      <c r="UT10" s="35"/>
      <c r="UU10" s="35"/>
      <c r="UV10" s="35"/>
      <c r="UW10" s="35"/>
      <c r="UX10" s="35"/>
      <c r="UY10" s="35"/>
      <c r="UZ10" s="35"/>
      <c r="VA10" s="35"/>
      <c r="VB10" s="35"/>
      <c r="VC10" s="35"/>
      <c r="VD10" s="35"/>
      <c r="VE10" s="35"/>
      <c r="VF10" s="35"/>
      <c r="VG10" s="35"/>
      <c r="VH10" s="35"/>
      <c r="VI10" s="35"/>
      <c r="VJ10" s="35"/>
      <c r="VK10" s="35"/>
      <c r="VL10" s="35"/>
      <c r="VM10" s="35"/>
      <c r="VN10" s="35"/>
      <c r="VO10" s="35"/>
      <c r="VP10" s="35"/>
      <c r="VQ10" s="35"/>
      <c r="VR10" s="35"/>
      <c r="VS10" s="35"/>
      <c r="VT10" s="35"/>
      <c r="VU10" s="35"/>
      <c r="VV10" s="35"/>
      <c r="VW10" s="35"/>
      <c r="VX10" s="35"/>
      <c r="VY10" s="35"/>
      <c r="VZ10" s="35"/>
      <c r="WA10" s="35"/>
      <c r="WB10" s="35"/>
      <c r="WC10" s="35"/>
      <c r="WD10" s="35"/>
      <c r="WE10" s="35"/>
      <c r="WF10" s="35"/>
      <c r="WG10" s="35"/>
      <c r="WH10" s="35"/>
      <c r="WI10" s="35"/>
      <c r="WJ10" s="35"/>
      <c r="WK10" s="35"/>
      <c r="WL10" s="35"/>
      <c r="WM10" s="35"/>
      <c r="WN10" s="35"/>
      <c r="WO10" s="35"/>
      <c r="WP10" s="35"/>
      <c r="WQ10" s="35"/>
      <c r="WR10" s="35"/>
      <c r="WS10" s="35"/>
      <c r="WT10" s="35"/>
      <c r="WU10" s="35"/>
      <c r="WV10" s="35"/>
      <c r="WW10" s="35"/>
      <c r="WX10" s="35"/>
      <c r="WY10" s="35"/>
      <c r="WZ10" s="35"/>
      <c r="XA10" s="35"/>
      <c r="XB10" s="35"/>
      <c r="XC10" s="35"/>
      <c r="XD10" s="35"/>
      <c r="XE10" s="35"/>
      <c r="XF10" s="35"/>
      <c r="XG10" s="35"/>
      <c r="XH10" s="35"/>
      <c r="XI10" s="35"/>
      <c r="XJ10" s="35"/>
      <c r="XK10" s="35"/>
      <c r="XL10" s="35"/>
      <c r="XM10" s="35"/>
      <c r="XN10" s="35"/>
      <c r="XO10" s="35"/>
      <c r="XP10" s="35"/>
      <c r="XQ10" s="35"/>
      <c r="XR10" s="35"/>
      <c r="XS10" s="35"/>
      <c r="XT10" s="35"/>
      <c r="XU10" s="35"/>
      <c r="XV10" s="35"/>
      <c r="XW10" s="35"/>
      <c r="XX10" s="35"/>
      <c r="XY10" s="35"/>
      <c r="XZ10" s="35"/>
      <c r="YA10" s="35"/>
      <c r="YB10" s="35"/>
      <c r="YC10" s="35"/>
      <c r="YD10" s="35"/>
      <c r="YE10" s="35"/>
      <c r="YF10" s="35"/>
      <c r="YG10" s="35"/>
      <c r="YH10" s="35"/>
      <c r="YI10" s="35"/>
      <c r="YJ10" s="35"/>
      <c r="YK10" s="35"/>
      <c r="YL10" s="35"/>
      <c r="YM10" s="35"/>
      <c r="YN10" s="35"/>
      <c r="YO10" s="35"/>
      <c r="YP10" s="35"/>
      <c r="YQ10" s="35"/>
      <c r="YR10" s="35"/>
      <c r="YS10" s="35"/>
      <c r="YT10" s="35"/>
      <c r="YU10" s="35"/>
      <c r="YV10" s="35"/>
      <c r="YW10" s="35"/>
      <c r="YX10" s="35"/>
      <c r="YY10" s="35"/>
      <c r="YZ10" s="35"/>
      <c r="ZA10" s="35"/>
      <c r="ZB10" s="35"/>
      <c r="ZC10" s="35"/>
      <c r="ZD10" s="35"/>
      <c r="ZE10" s="35"/>
      <c r="ZF10" s="35"/>
      <c r="ZG10" s="35"/>
      <c r="ZH10" s="35"/>
      <c r="ZI10" s="35"/>
      <c r="ZJ10" s="35"/>
      <c r="ZK10" s="35"/>
      <c r="ZL10" s="35"/>
      <c r="ZM10" s="35"/>
      <c r="ZN10" s="35"/>
      <c r="ZO10" s="35"/>
      <c r="ZP10" s="35"/>
      <c r="ZQ10" s="35"/>
      <c r="ZR10" s="35"/>
      <c r="ZS10" s="35"/>
      <c r="ZT10" s="35"/>
      <c r="ZU10" s="35"/>
      <c r="ZV10" s="35"/>
      <c r="ZW10" s="35"/>
      <c r="ZX10" s="35"/>
      <c r="ZY10" s="35"/>
      <c r="ZZ10" s="35"/>
      <c r="AAA10" s="35"/>
      <c r="AAB10" s="35"/>
      <c r="AAC10" s="35"/>
      <c r="AAD10" s="35"/>
      <c r="AAE10" s="35"/>
      <c r="AAF10" s="35"/>
      <c r="AAG10" s="35"/>
      <c r="AAH10" s="35"/>
      <c r="AAI10" s="35"/>
      <c r="AAJ10" s="35"/>
      <c r="AAK10" s="35"/>
      <c r="AAL10" s="35"/>
      <c r="AAM10" s="35"/>
      <c r="AAN10" s="35"/>
      <c r="AAO10" s="35"/>
      <c r="AAP10" s="35"/>
      <c r="AAQ10" s="35"/>
      <c r="AAR10" s="35"/>
      <c r="AAS10" s="35"/>
      <c r="AAT10" s="35"/>
      <c r="AAU10" s="35"/>
      <c r="AAV10" s="35"/>
      <c r="AAW10" s="35"/>
      <c r="AAX10" s="35"/>
      <c r="AAY10" s="35"/>
      <c r="AAZ10" s="35"/>
      <c r="ABA10" s="35"/>
      <c r="ABB10" s="35"/>
      <c r="ABC10" s="35"/>
      <c r="ABD10" s="35"/>
      <c r="ABE10" s="35"/>
      <c r="ABF10" s="35"/>
      <c r="ABG10" s="35"/>
      <c r="ABH10" s="35"/>
      <c r="ABI10" s="35"/>
      <c r="ABJ10" s="35"/>
      <c r="ABK10" s="35"/>
      <c r="ABL10" s="35"/>
      <c r="ABM10" s="35"/>
      <c r="ABN10" s="35"/>
      <c r="ABO10" s="35"/>
      <c r="ABP10" s="35"/>
      <c r="ABQ10" s="35"/>
      <c r="ABR10" s="35"/>
      <c r="ABS10" s="35"/>
      <c r="ABT10" s="35"/>
      <c r="ABU10" s="35"/>
      <c r="ABV10" s="35"/>
      <c r="ABW10" s="35"/>
      <c r="ABX10" s="35"/>
      <c r="ABY10" s="35"/>
      <c r="ABZ10" s="35"/>
      <c r="ACA10" s="35"/>
      <c r="ACB10" s="35"/>
      <c r="ACC10" s="35"/>
      <c r="ACD10" s="35"/>
      <c r="ACE10" s="35"/>
      <c r="ACF10" s="35"/>
      <c r="ACG10" s="35"/>
      <c r="ACH10" s="35"/>
      <c r="ACI10" s="35"/>
      <c r="ACJ10" s="35"/>
      <c r="ACK10" s="35"/>
      <c r="ACL10" s="35"/>
      <c r="ACM10" s="35"/>
      <c r="ACN10" s="35"/>
      <c r="ACO10" s="35"/>
      <c r="ACP10" s="35"/>
      <c r="ACQ10" s="35"/>
      <c r="ACR10" s="35"/>
      <c r="ACS10" s="35"/>
      <c r="ACT10" s="35"/>
      <c r="ACU10" s="35"/>
      <c r="ACV10" s="35"/>
      <c r="ACW10" s="35"/>
      <c r="ACX10" s="35"/>
      <c r="ACY10" s="35"/>
      <c r="ACZ10" s="35"/>
      <c r="ADA10" s="35"/>
      <c r="ADB10" s="35"/>
      <c r="ADC10" s="35"/>
      <c r="ADD10" s="35"/>
      <c r="ADE10" s="35"/>
      <c r="ADF10" s="35"/>
      <c r="ADG10" s="35"/>
      <c r="ADH10" s="35"/>
      <c r="ADI10" s="35"/>
      <c r="ADJ10" s="35"/>
      <c r="ADK10" s="35"/>
      <c r="ADL10" s="35"/>
      <c r="ADM10" s="35"/>
      <c r="ADN10" s="35"/>
      <c r="ADO10" s="35"/>
      <c r="ADP10" s="35"/>
      <c r="ADQ10" s="35"/>
      <c r="ADR10" s="35"/>
      <c r="ADS10" s="35"/>
      <c r="ADT10" s="35"/>
      <c r="ADU10" s="35"/>
      <c r="ADV10" s="35"/>
      <c r="ADW10" s="35"/>
      <c r="ADX10" s="35"/>
      <c r="ADY10" s="35"/>
      <c r="ADZ10" s="35"/>
      <c r="AEA10" s="35"/>
      <c r="AEB10" s="35"/>
      <c r="AEC10" s="35"/>
      <c r="AED10" s="35"/>
      <c r="AEE10" s="35"/>
      <c r="AEF10" s="35"/>
      <c r="AEG10" s="35"/>
      <c r="AEH10" s="35"/>
      <c r="AEI10" s="35"/>
      <c r="AEJ10" s="35"/>
      <c r="AEK10" s="35"/>
      <c r="AEL10" s="35"/>
      <c r="AEM10" s="35"/>
      <c r="AEN10" s="35"/>
      <c r="AEO10" s="35"/>
      <c r="AEP10" s="35"/>
      <c r="AEQ10" s="35"/>
      <c r="AER10" s="35"/>
      <c r="AES10" s="35"/>
      <c r="AET10" s="35"/>
      <c r="AEU10" s="35"/>
      <c r="AEV10" s="35"/>
      <c r="AEW10" s="35"/>
      <c r="AEX10" s="35"/>
      <c r="AEY10" s="35"/>
      <c r="AEZ10" s="35"/>
      <c r="AFA10" s="35"/>
      <c r="AFB10" s="35"/>
      <c r="AFC10" s="35"/>
      <c r="AFD10" s="35"/>
      <c r="AFE10" s="35"/>
      <c r="AFF10" s="35"/>
      <c r="AFG10" s="35"/>
      <c r="AFH10" s="35"/>
      <c r="AFI10" s="35"/>
      <c r="AFJ10" s="35"/>
      <c r="AFK10" s="35"/>
      <c r="AFL10" s="35"/>
      <c r="AFM10" s="35"/>
      <c r="AFN10" s="35"/>
      <c r="AFO10" s="35"/>
      <c r="AFP10" s="35"/>
      <c r="AFQ10" s="35"/>
      <c r="AFR10" s="35"/>
      <c r="AFS10" s="35"/>
      <c r="AFT10" s="35"/>
      <c r="AFU10" s="35"/>
      <c r="AFV10" s="35"/>
      <c r="AFW10" s="35"/>
      <c r="AFX10" s="35"/>
      <c r="AFY10" s="35"/>
      <c r="AFZ10" s="35"/>
      <c r="AGA10" s="35"/>
      <c r="AGB10" s="35"/>
      <c r="AGC10" s="35"/>
      <c r="AGD10" s="35"/>
      <c r="AGE10" s="35"/>
      <c r="AGF10" s="35"/>
      <c r="AGG10" s="35"/>
      <c r="AGH10" s="35"/>
      <c r="AGI10" s="35"/>
      <c r="AGJ10" s="35"/>
      <c r="AGK10" s="35"/>
      <c r="AGL10" s="35"/>
      <c r="AGM10" s="35"/>
      <c r="AGN10" s="35"/>
      <c r="AGO10" s="35"/>
      <c r="AGP10" s="35"/>
      <c r="AGQ10" s="35"/>
      <c r="AGR10" s="35"/>
      <c r="AGS10" s="35"/>
      <c r="AGT10" s="35"/>
      <c r="AGU10" s="35"/>
      <c r="AGV10" s="35"/>
      <c r="AGW10" s="35"/>
      <c r="AGX10" s="35"/>
      <c r="AGY10" s="35"/>
      <c r="AGZ10" s="35"/>
      <c r="AHA10" s="35"/>
      <c r="AHB10" s="35"/>
      <c r="AHC10" s="35"/>
      <c r="AHD10" s="35"/>
      <c r="AHE10" s="35"/>
      <c r="AHF10" s="35"/>
      <c r="AHG10" s="35"/>
      <c r="AHH10" s="35"/>
      <c r="AHI10" s="35"/>
      <c r="AHJ10" s="35"/>
      <c r="AHK10" s="35"/>
      <c r="AHL10" s="35"/>
      <c r="AHM10" s="35"/>
      <c r="AHN10" s="35"/>
      <c r="AHO10" s="35"/>
      <c r="AHP10" s="35"/>
      <c r="AHQ10" s="35"/>
      <c r="AHR10" s="35"/>
      <c r="AHS10" s="35"/>
      <c r="AHT10" s="35"/>
      <c r="AHU10" s="35"/>
      <c r="AHV10" s="35"/>
      <c r="AHW10" s="35"/>
      <c r="AHX10" s="35"/>
      <c r="AHY10" s="35"/>
      <c r="AHZ10" s="35"/>
      <c r="AIA10" s="35"/>
      <c r="AIB10" s="35"/>
      <c r="AIC10" s="35"/>
      <c r="AID10" s="35"/>
      <c r="AIE10" s="35"/>
      <c r="AIF10" s="35"/>
      <c r="AIG10" s="35"/>
      <c r="AIH10" s="35"/>
      <c r="AII10" s="35"/>
      <c r="AIJ10" s="35"/>
      <c r="AIK10" s="35"/>
      <c r="AIL10" s="35"/>
      <c r="AIM10" s="35"/>
      <c r="AIN10" s="35"/>
      <c r="AIO10" s="35"/>
      <c r="AIP10" s="35"/>
      <c r="AIQ10" s="35"/>
      <c r="AIR10" s="35"/>
      <c r="AIS10" s="35"/>
      <c r="AIT10" s="35"/>
      <c r="AIU10" s="35"/>
      <c r="AIV10" s="35"/>
      <c r="AIW10" s="35"/>
      <c r="AIX10" s="35"/>
      <c r="AIY10" s="35"/>
      <c r="AIZ10" s="35"/>
      <c r="AJA10" s="35"/>
      <c r="AJB10" s="35"/>
      <c r="AJC10" s="35"/>
      <c r="AJD10" s="35"/>
      <c r="AJE10" s="35"/>
      <c r="AJF10" s="35"/>
      <c r="AJG10" s="35"/>
      <c r="AJH10" s="35"/>
      <c r="AJI10" s="35"/>
      <c r="AJJ10" s="35"/>
      <c r="AJK10" s="35"/>
      <c r="AJL10" s="35"/>
      <c r="AJM10" s="35"/>
      <c r="AJN10" s="35"/>
      <c r="AJO10" s="35"/>
      <c r="AJP10" s="35"/>
      <c r="AJQ10" s="35"/>
      <c r="AJR10" s="35"/>
      <c r="AJS10" s="35"/>
      <c r="AJT10" s="35"/>
      <c r="AJU10" s="35"/>
      <c r="AJV10" s="35"/>
      <c r="AJW10" s="35"/>
      <c r="AJX10" s="35"/>
      <c r="AJY10" s="35"/>
      <c r="AJZ10" s="35"/>
      <c r="AKA10" s="35"/>
      <c r="AKB10" s="35"/>
      <c r="AKC10" s="35"/>
      <c r="AKD10" s="35"/>
      <c r="AKE10" s="35"/>
      <c r="AKF10" s="35"/>
      <c r="AKG10" s="35"/>
      <c r="AKH10" s="35"/>
      <c r="AKI10" s="35"/>
      <c r="AKJ10" s="35"/>
      <c r="AKK10" s="35"/>
      <c r="AKL10" s="35"/>
      <c r="AKM10" s="35"/>
      <c r="AKN10" s="35"/>
      <c r="AKO10" s="35"/>
      <c r="AKP10" s="35"/>
      <c r="AKQ10" s="35"/>
      <c r="AKR10" s="35"/>
      <c r="AKS10" s="35"/>
    </row>
    <row r="11" customFormat="false" ht="12.8" hidden="true" customHeight="true" outlineLevel="1" collapsed="false">
      <c r="A11" s="40"/>
      <c r="B11" s="40"/>
      <c r="C11" s="40"/>
      <c r="D11" s="40"/>
      <c r="E11" s="40"/>
      <c r="F11" s="40"/>
      <c r="G11" s="40"/>
      <c r="H11" s="40"/>
      <c r="I11" s="40"/>
      <c r="J11" s="40"/>
      <c r="K11" s="40"/>
      <c r="L11" s="40"/>
      <c r="M11" s="40"/>
      <c r="N11" s="40"/>
      <c r="O11" s="40"/>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c r="JI11" s="35"/>
      <c r="JJ11" s="35"/>
      <c r="JK11" s="35"/>
      <c r="JL11" s="35"/>
      <c r="JM11" s="35"/>
      <c r="JN11" s="35"/>
      <c r="JO11" s="35"/>
      <c r="JP11" s="35"/>
      <c r="JQ11" s="35"/>
      <c r="JR11" s="35"/>
      <c r="JS11" s="35"/>
      <c r="JT11" s="35"/>
      <c r="JU11" s="35"/>
      <c r="JV11" s="35"/>
      <c r="JW11" s="35"/>
      <c r="JX11" s="35"/>
      <c r="JY11" s="35"/>
      <c r="JZ11" s="35"/>
      <c r="KA11" s="35"/>
      <c r="KB11" s="35"/>
      <c r="KC11" s="35"/>
      <c r="KD11" s="35"/>
      <c r="KE11" s="35"/>
      <c r="KF11" s="35"/>
      <c r="KG11" s="35"/>
      <c r="KH11" s="35"/>
      <c r="KI11" s="35"/>
      <c r="KJ11" s="35"/>
      <c r="KK11" s="35"/>
      <c r="KL11" s="35"/>
      <c r="KM11" s="35"/>
      <c r="KN11" s="35"/>
      <c r="KO11" s="35"/>
      <c r="KP11" s="35"/>
      <c r="KQ11" s="35"/>
      <c r="KR11" s="35"/>
      <c r="KS11" s="35"/>
      <c r="KT11" s="35"/>
      <c r="KU11" s="35"/>
      <c r="KV11" s="35"/>
      <c r="KW11" s="35"/>
      <c r="KX11" s="35"/>
      <c r="KY11" s="35"/>
      <c r="KZ11" s="35"/>
      <c r="LA11" s="35"/>
      <c r="LB11" s="35"/>
      <c r="LC11" s="35"/>
      <c r="LD11" s="35"/>
      <c r="LE11" s="35"/>
      <c r="LF11" s="35"/>
      <c r="LG11" s="35"/>
      <c r="LH11" s="35"/>
      <c r="LI11" s="35"/>
      <c r="LJ11" s="35"/>
      <c r="LK11" s="35"/>
      <c r="LL11" s="35"/>
      <c r="LM11" s="35"/>
      <c r="LN11" s="35"/>
      <c r="LO11" s="35"/>
      <c r="LP11" s="35"/>
      <c r="LQ11" s="35"/>
      <c r="LR11" s="35"/>
      <c r="LS11" s="35"/>
      <c r="LT11" s="35"/>
      <c r="LU11" s="35"/>
      <c r="LV11" s="35"/>
      <c r="LW11" s="35"/>
      <c r="LX11" s="35"/>
      <c r="LY11" s="35"/>
      <c r="LZ11" s="35"/>
      <c r="MA11" s="35"/>
      <c r="MB11" s="35"/>
      <c r="MC11" s="35"/>
      <c r="MD11" s="35"/>
      <c r="ME11" s="35"/>
      <c r="MF11" s="35"/>
      <c r="MG11" s="35"/>
      <c r="MH11" s="35"/>
      <c r="MI11" s="35"/>
      <c r="MJ11" s="35"/>
      <c r="MK11" s="35"/>
      <c r="ML11" s="35"/>
      <c r="MM11" s="35"/>
      <c r="MN11" s="35"/>
      <c r="MO11" s="35"/>
      <c r="MP11" s="35"/>
      <c r="MQ11" s="35"/>
      <c r="MR11" s="35"/>
      <c r="MS11" s="35"/>
      <c r="MT11" s="35"/>
      <c r="MU11" s="35"/>
      <c r="MV11" s="35"/>
      <c r="MW11" s="35"/>
      <c r="MX11" s="35"/>
      <c r="MY11" s="35"/>
      <c r="MZ11" s="35"/>
      <c r="NA11" s="35"/>
      <c r="NB11" s="35"/>
      <c r="NC11" s="35"/>
      <c r="ND11" s="35"/>
      <c r="NE11" s="35"/>
      <c r="NF11" s="35"/>
      <c r="NG11" s="35"/>
      <c r="NH11" s="35"/>
      <c r="NI11" s="35"/>
      <c r="NJ11" s="35"/>
      <c r="NK11" s="35"/>
      <c r="NL11" s="35"/>
      <c r="NM11" s="35"/>
      <c r="NN11" s="35"/>
      <c r="NO11" s="35"/>
      <c r="NP11" s="35"/>
      <c r="NQ11" s="35"/>
      <c r="NR11" s="35"/>
      <c r="NS11" s="35"/>
      <c r="NT11" s="35"/>
      <c r="NU11" s="35"/>
      <c r="NV11" s="35"/>
      <c r="NW11" s="35"/>
      <c r="NX11" s="35"/>
      <c r="NY11" s="35"/>
      <c r="NZ11" s="35"/>
      <c r="OA11" s="35"/>
      <c r="OB11" s="35"/>
      <c r="OC11" s="35"/>
      <c r="OD11" s="35"/>
      <c r="OE11" s="35"/>
      <c r="OF11" s="35"/>
      <c r="OG11" s="35"/>
      <c r="OH11" s="35"/>
      <c r="OI11" s="35"/>
      <c r="OJ11" s="35"/>
      <c r="OK11" s="35"/>
      <c r="OL11" s="35"/>
      <c r="OM11" s="35"/>
      <c r="ON11" s="35"/>
      <c r="OO11" s="35"/>
      <c r="OP11" s="35"/>
      <c r="OQ11" s="35"/>
      <c r="OR11" s="35"/>
      <c r="OS11" s="35"/>
      <c r="OT11" s="35"/>
      <c r="OU11" s="35"/>
      <c r="OV11" s="35"/>
      <c r="OW11" s="35"/>
      <c r="OX11" s="35"/>
      <c r="OY11" s="35"/>
      <c r="OZ11" s="35"/>
      <c r="PA11" s="35"/>
      <c r="PB11" s="35"/>
      <c r="PC11" s="35"/>
      <c r="PD11" s="35"/>
      <c r="PE11" s="35"/>
      <c r="PF11" s="35"/>
      <c r="PG11" s="35"/>
      <c r="PH11" s="35"/>
      <c r="PI11" s="35"/>
      <c r="PJ11" s="35"/>
      <c r="PK11" s="35"/>
      <c r="PL11" s="35"/>
      <c r="PM11" s="35"/>
      <c r="PN11" s="35"/>
      <c r="PO11" s="35"/>
      <c r="PP11" s="35"/>
      <c r="PQ11" s="35"/>
      <c r="PR11" s="35"/>
      <c r="PS11" s="35"/>
      <c r="PT11" s="35"/>
      <c r="PU11" s="35"/>
      <c r="PV11" s="35"/>
      <c r="PW11" s="35"/>
      <c r="PX11" s="35"/>
      <c r="PY11" s="35"/>
      <c r="PZ11" s="35"/>
      <c r="QA11" s="35"/>
      <c r="QB11" s="35"/>
      <c r="QC11" s="35"/>
      <c r="QD11" s="35"/>
      <c r="QE11" s="35"/>
      <c r="QF11" s="35"/>
      <c r="QG11" s="35"/>
      <c r="QH11" s="35"/>
      <c r="QI11" s="35"/>
      <c r="QJ11" s="35"/>
      <c r="QK11" s="35"/>
      <c r="QL11" s="35"/>
      <c r="QM11" s="35"/>
      <c r="QN11" s="35"/>
      <c r="QO11" s="35"/>
      <c r="QP11" s="35"/>
      <c r="QQ11" s="35"/>
      <c r="QR11" s="35"/>
      <c r="QS11" s="35"/>
      <c r="QT11" s="35"/>
      <c r="QU11" s="35"/>
      <c r="QV11" s="35"/>
      <c r="QW11" s="35"/>
      <c r="QX11" s="35"/>
      <c r="QY11" s="35"/>
      <c r="QZ11" s="35"/>
      <c r="RA11" s="35"/>
      <c r="RB11" s="35"/>
      <c r="RC11" s="35"/>
      <c r="RD11" s="35"/>
      <c r="RE11" s="35"/>
      <c r="RF11" s="35"/>
      <c r="RG11" s="35"/>
      <c r="RH11" s="35"/>
      <c r="RI11" s="35"/>
      <c r="RJ11" s="35"/>
      <c r="RK11" s="35"/>
      <c r="RL11" s="35"/>
      <c r="RM11" s="35"/>
      <c r="RN11" s="35"/>
      <c r="RO11" s="35"/>
      <c r="RP11" s="35"/>
      <c r="RQ11" s="35"/>
      <c r="RR11" s="35"/>
      <c r="RS11" s="35"/>
      <c r="RT11" s="35"/>
      <c r="RU11" s="35"/>
      <c r="RV11" s="35"/>
      <c r="RW11" s="35"/>
      <c r="RX11" s="35"/>
      <c r="RY11" s="35"/>
      <c r="RZ11" s="35"/>
      <c r="SA11" s="35"/>
      <c r="SB11" s="35"/>
      <c r="SC11" s="35"/>
      <c r="SD11" s="35"/>
      <c r="SE11" s="35"/>
      <c r="SF11" s="35"/>
      <c r="SG11" s="35"/>
      <c r="SH11" s="35"/>
      <c r="SI11" s="35"/>
      <c r="SJ11" s="35"/>
      <c r="SK11" s="35"/>
      <c r="SL11" s="35"/>
      <c r="SM11" s="35"/>
      <c r="SN11" s="35"/>
      <c r="SO11" s="35"/>
      <c r="SP11" s="35"/>
      <c r="SQ11" s="35"/>
      <c r="SR11" s="35"/>
      <c r="SS11" s="35"/>
      <c r="ST11" s="35"/>
      <c r="SU11" s="35"/>
      <c r="SV11" s="35"/>
      <c r="SW11" s="35"/>
      <c r="SX11" s="35"/>
      <c r="SY11" s="35"/>
      <c r="SZ11" s="35"/>
      <c r="TA11" s="35"/>
      <c r="TB11" s="35"/>
      <c r="TC11" s="35"/>
      <c r="TD11" s="35"/>
      <c r="TE11" s="35"/>
      <c r="TF11" s="35"/>
      <c r="TG11" s="35"/>
      <c r="TH11" s="35"/>
      <c r="TI11" s="35"/>
      <c r="TJ11" s="35"/>
      <c r="TK11" s="35"/>
      <c r="TL11" s="35"/>
      <c r="TM11" s="35"/>
      <c r="TN11" s="35"/>
      <c r="TO11" s="35"/>
      <c r="TP11" s="35"/>
      <c r="TQ11" s="35"/>
      <c r="TR11" s="35"/>
      <c r="TS11" s="35"/>
      <c r="TT11" s="35"/>
      <c r="TU11" s="35"/>
      <c r="TV11" s="35"/>
      <c r="TW11" s="35"/>
      <c r="TX11" s="35"/>
      <c r="TY11" s="35"/>
      <c r="TZ11" s="35"/>
      <c r="UA11" s="35"/>
      <c r="UB11" s="35"/>
      <c r="UC11" s="35"/>
      <c r="UD11" s="35"/>
      <c r="UE11" s="35"/>
      <c r="UF11" s="35"/>
      <c r="UG11" s="35"/>
      <c r="UH11" s="35"/>
      <c r="UI11" s="35"/>
      <c r="UJ11" s="35"/>
      <c r="UK11" s="35"/>
      <c r="UL11" s="35"/>
      <c r="UM11" s="35"/>
      <c r="UN11" s="35"/>
      <c r="UO11" s="35"/>
      <c r="UP11" s="35"/>
      <c r="UQ11" s="35"/>
      <c r="UR11" s="35"/>
      <c r="US11" s="35"/>
      <c r="UT11" s="35"/>
      <c r="UU11" s="35"/>
      <c r="UV11" s="35"/>
      <c r="UW11" s="35"/>
      <c r="UX11" s="35"/>
      <c r="UY11" s="35"/>
      <c r="UZ11" s="35"/>
      <c r="VA11" s="35"/>
      <c r="VB11" s="35"/>
      <c r="VC11" s="35"/>
      <c r="VD11" s="35"/>
      <c r="VE11" s="35"/>
      <c r="VF11" s="35"/>
      <c r="VG11" s="35"/>
      <c r="VH11" s="35"/>
      <c r="VI11" s="35"/>
      <c r="VJ11" s="35"/>
      <c r="VK11" s="35"/>
      <c r="VL11" s="35"/>
      <c r="VM11" s="35"/>
      <c r="VN11" s="35"/>
      <c r="VO11" s="35"/>
      <c r="VP11" s="35"/>
      <c r="VQ11" s="35"/>
      <c r="VR11" s="35"/>
      <c r="VS11" s="35"/>
      <c r="VT11" s="35"/>
      <c r="VU11" s="35"/>
      <c r="VV11" s="35"/>
      <c r="VW11" s="35"/>
      <c r="VX11" s="35"/>
      <c r="VY11" s="35"/>
      <c r="VZ11" s="35"/>
      <c r="WA11" s="35"/>
      <c r="WB11" s="35"/>
      <c r="WC11" s="35"/>
      <c r="WD11" s="35"/>
      <c r="WE11" s="35"/>
      <c r="WF11" s="35"/>
      <c r="WG11" s="35"/>
      <c r="WH11" s="35"/>
      <c r="WI11" s="35"/>
      <c r="WJ11" s="35"/>
      <c r="WK11" s="35"/>
      <c r="WL11" s="35"/>
      <c r="WM11" s="35"/>
      <c r="WN11" s="35"/>
      <c r="WO11" s="35"/>
      <c r="WP11" s="35"/>
      <c r="WQ11" s="35"/>
      <c r="WR11" s="35"/>
      <c r="WS11" s="35"/>
      <c r="WT11" s="35"/>
      <c r="WU11" s="35"/>
      <c r="WV11" s="35"/>
      <c r="WW11" s="35"/>
      <c r="WX11" s="35"/>
      <c r="WY11" s="35"/>
      <c r="WZ11" s="35"/>
      <c r="XA11" s="35"/>
      <c r="XB11" s="35"/>
      <c r="XC11" s="35"/>
      <c r="XD11" s="35"/>
      <c r="XE11" s="35"/>
      <c r="XF11" s="35"/>
      <c r="XG11" s="35"/>
      <c r="XH11" s="35"/>
      <c r="XI11" s="35"/>
      <c r="XJ11" s="35"/>
      <c r="XK11" s="35"/>
      <c r="XL11" s="35"/>
      <c r="XM11" s="35"/>
      <c r="XN11" s="35"/>
      <c r="XO11" s="35"/>
      <c r="XP11" s="35"/>
      <c r="XQ11" s="35"/>
      <c r="XR11" s="35"/>
      <c r="XS11" s="35"/>
      <c r="XT11" s="35"/>
      <c r="XU11" s="35"/>
      <c r="XV11" s="35"/>
      <c r="XW11" s="35"/>
      <c r="XX11" s="35"/>
      <c r="XY11" s="35"/>
      <c r="XZ11" s="35"/>
      <c r="YA11" s="35"/>
      <c r="YB11" s="35"/>
      <c r="YC11" s="35"/>
      <c r="YD11" s="35"/>
      <c r="YE11" s="35"/>
      <c r="YF11" s="35"/>
      <c r="YG11" s="35"/>
      <c r="YH11" s="35"/>
      <c r="YI11" s="35"/>
      <c r="YJ11" s="35"/>
      <c r="YK11" s="35"/>
      <c r="YL11" s="35"/>
      <c r="YM11" s="35"/>
      <c r="YN11" s="35"/>
      <c r="YO11" s="35"/>
      <c r="YP11" s="35"/>
      <c r="YQ11" s="35"/>
      <c r="YR11" s="35"/>
      <c r="YS11" s="35"/>
      <c r="YT11" s="35"/>
      <c r="YU11" s="35"/>
      <c r="YV11" s="35"/>
      <c r="YW11" s="35"/>
      <c r="YX11" s="35"/>
      <c r="YY11" s="35"/>
      <c r="YZ11" s="35"/>
      <c r="ZA11" s="35"/>
      <c r="ZB11" s="35"/>
      <c r="ZC11" s="35"/>
      <c r="ZD11" s="35"/>
      <c r="ZE11" s="35"/>
      <c r="ZF11" s="35"/>
      <c r="ZG11" s="35"/>
      <c r="ZH11" s="35"/>
      <c r="ZI11" s="35"/>
      <c r="ZJ11" s="35"/>
      <c r="ZK11" s="35"/>
      <c r="ZL11" s="35"/>
      <c r="ZM11" s="35"/>
      <c r="ZN11" s="35"/>
      <c r="ZO11" s="35"/>
      <c r="ZP11" s="35"/>
      <c r="ZQ11" s="35"/>
      <c r="ZR11" s="35"/>
      <c r="ZS11" s="35"/>
      <c r="ZT11" s="35"/>
      <c r="ZU11" s="35"/>
      <c r="ZV11" s="35"/>
      <c r="ZW11" s="35"/>
      <c r="ZX11" s="35"/>
      <c r="ZY11" s="35"/>
      <c r="ZZ11" s="35"/>
      <c r="AAA11" s="35"/>
      <c r="AAB11" s="35"/>
      <c r="AAC11" s="35"/>
      <c r="AAD11" s="35"/>
      <c r="AAE11" s="35"/>
      <c r="AAF11" s="35"/>
      <c r="AAG11" s="35"/>
      <c r="AAH11" s="35"/>
      <c r="AAI11" s="35"/>
      <c r="AAJ11" s="35"/>
      <c r="AAK11" s="35"/>
      <c r="AAL11" s="35"/>
      <c r="AAM11" s="35"/>
      <c r="AAN11" s="35"/>
      <c r="AAO11" s="35"/>
      <c r="AAP11" s="35"/>
      <c r="AAQ11" s="35"/>
      <c r="AAR11" s="35"/>
      <c r="AAS11" s="35"/>
      <c r="AAT11" s="35"/>
      <c r="AAU11" s="35"/>
      <c r="AAV11" s="35"/>
      <c r="AAW11" s="35"/>
      <c r="AAX11" s="35"/>
      <c r="AAY11" s="35"/>
      <c r="AAZ11" s="35"/>
      <c r="ABA11" s="35"/>
      <c r="ABB11" s="35"/>
      <c r="ABC11" s="35"/>
      <c r="ABD11" s="35"/>
      <c r="ABE11" s="35"/>
      <c r="ABF11" s="35"/>
      <c r="ABG11" s="35"/>
      <c r="ABH11" s="35"/>
      <c r="ABI11" s="35"/>
      <c r="ABJ11" s="35"/>
      <c r="ABK11" s="35"/>
      <c r="ABL11" s="35"/>
      <c r="ABM11" s="35"/>
      <c r="ABN11" s="35"/>
      <c r="ABO11" s="35"/>
      <c r="ABP11" s="35"/>
      <c r="ABQ11" s="35"/>
      <c r="ABR11" s="35"/>
      <c r="ABS11" s="35"/>
      <c r="ABT11" s="35"/>
      <c r="ABU11" s="35"/>
      <c r="ABV11" s="35"/>
      <c r="ABW11" s="35"/>
      <c r="ABX11" s="35"/>
      <c r="ABY11" s="35"/>
      <c r="ABZ11" s="35"/>
      <c r="ACA11" s="35"/>
      <c r="ACB11" s="35"/>
      <c r="ACC11" s="35"/>
      <c r="ACD11" s="35"/>
      <c r="ACE11" s="35"/>
      <c r="ACF11" s="35"/>
      <c r="ACG11" s="35"/>
      <c r="ACH11" s="35"/>
      <c r="ACI11" s="35"/>
      <c r="ACJ11" s="35"/>
      <c r="ACK11" s="35"/>
      <c r="ACL11" s="35"/>
      <c r="ACM11" s="35"/>
      <c r="ACN11" s="35"/>
      <c r="ACO11" s="35"/>
      <c r="ACP11" s="35"/>
      <c r="ACQ11" s="35"/>
      <c r="ACR11" s="35"/>
      <c r="ACS11" s="35"/>
      <c r="ACT11" s="35"/>
      <c r="ACU11" s="35"/>
      <c r="ACV11" s="35"/>
      <c r="ACW11" s="35"/>
      <c r="ACX11" s="35"/>
      <c r="ACY11" s="35"/>
      <c r="ACZ11" s="35"/>
      <c r="ADA11" s="35"/>
      <c r="ADB11" s="35"/>
      <c r="ADC11" s="35"/>
      <c r="ADD11" s="35"/>
      <c r="ADE11" s="35"/>
      <c r="ADF11" s="35"/>
      <c r="ADG11" s="35"/>
      <c r="ADH11" s="35"/>
      <c r="ADI11" s="35"/>
      <c r="ADJ11" s="35"/>
      <c r="ADK11" s="35"/>
      <c r="ADL11" s="35"/>
      <c r="ADM11" s="35"/>
      <c r="ADN11" s="35"/>
      <c r="ADO11" s="35"/>
      <c r="ADP11" s="35"/>
      <c r="ADQ11" s="35"/>
      <c r="ADR11" s="35"/>
      <c r="ADS11" s="35"/>
      <c r="ADT11" s="35"/>
      <c r="ADU11" s="35"/>
      <c r="ADV11" s="35"/>
      <c r="ADW11" s="35"/>
      <c r="ADX11" s="35"/>
      <c r="ADY11" s="35"/>
      <c r="ADZ11" s="35"/>
      <c r="AEA11" s="35"/>
      <c r="AEB11" s="35"/>
      <c r="AEC11" s="35"/>
      <c r="AED11" s="35"/>
      <c r="AEE11" s="35"/>
      <c r="AEF11" s="35"/>
      <c r="AEG11" s="35"/>
      <c r="AEH11" s="35"/>
      <c r="AEI11" s="35"/>
      <c r="AEJ11" s="35"/>
      <c r="AEK11" s="35"/>
      <c r="AEL11" s="35"/>
      <c r="AEM11" s="35"/>
      <c r="AEN11" s="35"/>
      <c r="AEO11" s="35"/>
      <c r="AEP11" s="35"/>
      <c r="AEQ11" s="35"/>
      <c r="AER11" s="35"/>
      <c r="AES11" s="35"/>
      <c r="AET11" s="35"/>
      <c r="AEU11" s="35"/>
      <c r="AEV11" s="35"/>
      <c r="AEW11" s="35"/>
      <c r="AEX11" s="35"/>
      <c r="AEY11" s="35"/>
      <c r="AEZ11" s="35"/>
      <c r="AFA11" s="35"/>
      <c r="AFB11" s="35"/>
      <c r="AFC11" s="35"/>
      <c r="AFD11" s="35"/>
      <c r="AFE11" s="35"/>
      <c r="AFF11" s="35"/>
      <c r="AFG11" s="35"/>
      <c r="AFH11" s="35"/>
      <c r="AFI11" s="35"/>
      <c r="AFJ11" s="35"/>
      <c r="AFK11" s="35"/>
      <c r="AFL11" s="35"/>
      <c r="AFM11" s="35"/>
      <c r="AFN11" s="35"/>
      <c r="AFO11" s="35"/>
      <c r="AFP11" s="35"/>
      <c r="AFQ11" s="35"/>
      <c r="AFR11" s="35"/>
      <c r="AFS11" s="35"/>
      <c r="AFT11" s="35"/>
      <c r="AFU11" s="35"/>
      <c r="AFV11" s="35"/>
      <c r="AFW11" s="35"/>
      <c r="AFX11" s="35"/>
      <c r="AFY11" s="35"/>
      <c r="AFZ11" s="35"/>
      <c r="AGA11" s="35"/>
      <c r="AGB11" s="35"/>
      <c r="AGC11" s="35"/>
      <c r="AGD11" s="35"/>
      <c r="AGE11" s="35"/>
      <c r="AGF11" s="35"/>
      <c r="AGG11" s="35"/>
      <c r="AGH11" s="35"/>
      <c r="AGI11" s="35"/>
      <c r="AGJ11" s="35"/>
      <c r="AGK11" s="35"/>
      <c r="AGL11" s="35"/>
      <c r="AGM11" s="35"/>
      <c r="AGN11" s="35"/>
      <c r="AGO11" s="35"/>
      <c r="AGP11" s="35"/>
      <c r="AGQ11" s="35"/>
      <c r="AGR11" s="35"/>
      <c r="AGS11" s="35"/>
      <c r="AGT11" s="35"/>
      <c r="AGU11" s="35"/>
      <c r="AGV11" s="35"/>
      <c r="AGW11" s="35"/>
      <c r="AGX11" s="35"/>
      <c r="AGY11" s="35"/>
      <c r="AGZ11" s="35"/>
      <c r="AHA11" s="35"/>
      <c r="AHB11" s="35"/>
      <c r="AHC11" s="35"/>
      <c r="AHD11" s="35"/>
      <c r="AHE11" s="35"/>
      <c r="AHF11" s="35"/>
      <c r="AHG11" s="35"/>
      <c r="AHH11" s="35"/>
      <c r="AHI11" s="35"/>
      <c r="AHJ11" s="35"/>
      <c r="AHK11" s="35"/>
      <c r="AHL11" s="35"/>
      <c r="AHM11" s="35"/>
      <c r="AHN11" s="35"/>
      <c r="AHO11" s="35"/>
      <c r="AHP11" s="35"/>
      <c r="AHQ11" s="35"/>
      <c r="AHR11" s="35"/>
      <c r="AHS11" s="35"/>
      <c r="AHT11" s="35"/>
      <c r="AHU11" s="35"/>
      <c r="AHV11" s="35"/>
      <c r="AHW11" s="35"/>
      <c r="AHX11" s="35"/>
      <c r="AHY11" s="35"/>
      <c r="AHZ11" s="35"/>
      <c r="AIA11" s="35"/>
      <c r="AIB11" s="35"/>
      <c r="AIC11" s="35"/>
      <c r="AID11" s="35"/>
      <c r="AIE11" s="35"/>
      <c r="AIF11" s="35"/>
      <c r="AIG11" s="35"/>
      <c r="AIH11" s="35"/>
      <c r="AII11" s="35"/>
      <c r="AIJ11" s="35"/>
      <c r="AIK11" s="35"/>
      <c r="AIL11" s="35"/>
      <c r="AIM11" s="35"/>
      <c r="AIN11" s="35"/>
      <c r="AIO11" s="35"/>
      <c r="AIP11" s="35"/>
      <c r="AIQ11" s="35"/>
      <c r="AIR11" s="35"/>
      <c r="AIS11" s="35"/>
      <c r="AIT11" s="35"/>
      <c r="AIU11" s="35"/>
      <c r="AIV11" s="35"/>
      <c r="AIW11" s="35"/>
      <c r="AIX11" s="35"/>
      <c r="AIY11" s="35"/>
      <c r="AIZ11" s="35"/>
      <c r="AJA11" s="35"/>
      <c r="AJB11" s="35"/>
      <c r="AJC11" s="35"/>
      <c r="AJD11" s="35"/>
      <c r="AJE11" s="35"/>
      <c r="AJF11" s="35"/>
      <c r="AJG11" s="35"/>
      <c r="AJH11" s="35"/>
      <c r="AJI11" s="35"/>
      <c r="AJJ11" s="35"/>
      <c r="AJK11" s="35"/>
      <c r="AJL11" s="35"/>
      <c r="AJM11" s="35"/>
      <c r="AJN11" s="35"/>
      <c r="AJO11" s="35"/>
      <c r="AJP11" s="35"/>
      <c r="AJQ11" s="35"/>
      <c r="AJR11" s="35"/>
      <c r="AJS11" s="35"/>
      <c r="AJT11" s="35"/>
      <c r="AJU11" s="35"/>
      <c r="AJV11" s="35"/>
      <c r="AJW11" s="35"/>
      <c r="AJX11" s="35"/>
      <c r="AJY11" s="35"/>
      <c r="AJZ11" s="35"/>
      <c r="AKA11" s="35"/>
      <c r="AKB11" s="35"/>
      <c r="AKC11" s="35"/>
      <c r="AKD11" s="35"/>
      <c r="AKE11" s="35"/>
      <c r="AKF11" s="35"/>
      <c r="AKG11" s="35"/>
      <c r="AKH11" s="35"/>
      <c r="AKI11" s="35"/>
      <c r="AKJ11" s="35"/>
      <c r="AKK11" s="35"/>
      <c r="AKL11" s="35"/>
      <c r="AKM11" s="35"/>
      <c r="AKN11" s="35"/>
      <c r="AKO11" s="35"/>
      <c r="AKP11" s="35"/>
      <c r="AKQ11" s="35"/>
      <c r="AKR11" s="35"/>
      <c r="AKS11" s="35"/>
    </row>
    <row r="12" customFormat="false" ht="12.8" hidden="true" customHeight="true" outlineLevel="1" collapsed="false">
      <c r="A12" s="40"/>
      <c r="B12" s="40"/>
      <c r="C12" s="40"/>
      <c r="D12" s="40"/>
      <c r="E12" s="40"/>
      <c r="F12" s="40"/>
      <c r="G12" s="40"/>
      <c r="H12" s="40"/>
      <c r="I12" s="40"/>
      <c r="J12" s="40"/>
      <c r="K12" s="40"/>
      <c r="L12" s="40"/>
      <c r="M12" s="40"/>
      <c r="N12" s="40"/>
      <c r="O12" s="40"/>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c r="BJ12" s="35"/>
      <c r="BK12" s="35"/>
      <c r="BL12" s="35"/>
      <c r="BM12" s="35"/>
      <c r="BN12" s="35"/>
      <c r="BO12" s="35"/>
      <c r="BP12" s="35"/>
      <c r="BQ12" s="35"/>
      <c r="BR12" s="35"/>
      <c r="BS12" s="35"/>
      <c r="BT12" s="35"/>
      <c r="BU12" s="35"/>
      <c r="BV12" s="35"/>
      <c r="BW12" s="35"/>
      <c r="BX12" s="35"/>
      <c r="BY12" s="35"/>
      <c r="BZ12" s="35"/>
      <c r="CA12" s="35"/>
      <c r="CB12" s="35"/>
      <c r="CC12" s="35"/>
      <c r="CD12" s="35"/>
      <c r="CE12" s="35"/>
      <c r="CF12" s="35"/>
      <c r="CG12" s="35"/>
      <c r="CH12" s="35"/>
      <c r="CI12" s="35"/>
      <c r="CJ12" s="35"/>
      <c r="CK12" s="35"/>
      <c r="CL12" s="35"/>
      <c r="CM12" s="35"/>
      <c r="CN12" s="35"/>
      <c r="CO12" s="35"/>
      <c r="CP12" s="35"/>
      <c r="CQ12" s="35"/>
      <c r="CR12" s="35"/>
      <c r="CS12" s="35"/>
      <c r="CT12" s="35"/>
      <c r="CU12" s="35"/>
      <c r="CV12" s="35"/>
      <c r="CW12" s="35"/>
      <c r="CX12" s="35"/>
      <c r="CY12" s="35"/>
      <c r="CZ12" s="35"/>
      <c r="DA12" s="35"/>
      <c r="DB12" s="35"/>
      <c r="DC12" s="35"/>
      <c r="DD12" s="35"/>
      <c r="DE12" s="35"/>
      <c r="DF12" s="35"/>
      <c r="DG12" s="35"/>
      <c r="DH12" s="35"/>
      <c r="DI12" s="35"/>
      <c r="DJ12" s="35"/>
      <c r="DK12" s="35"/>
      <c r="DL12" s="35"/>
      <c r="DM12" s="35"/>
      <c r="DN12" s="35"/>
      <c r="DO12" s="35"/>
      <c r="DP12" s="35"/>
      <c r="DQ12" s="35"/>
      <c r="DR12" s="35"/>
      <c r="DS12" s="35"/>
      <c r="DT12" s="35"/>
      <c r="DU12" s="35"/>
      <c r="DV12" s="35"/>
      <c r="DW12" s="35"/>
      <c r="DX12" s="35"/>
      <c r="DY12" s="35"/>
      <c r="DZ12" s="35"/>
      <c r="EA12" s="35"/>
      <c r="EB12" s="35"/>
      <c r="EC12" s="35"/>
      <c r="ED12" s="35"/>
      <c r="EE12" s="35"/>
      <c r="EF12" s="35"/>
      <c r="EG12" s="35"/>
      <c r="EH12" s="35"/>
      <c r="EI12" s="35"/>
      <c r="EJ12" s="35"/>
      <c r="EK12" s="35"/>
      <c r="EL12" s="35"/>
      <c r="EM12" s="35"/>
      <c r="EN12" s="35"/>
      <c r="EO12" s="35"/>
      <c r="EP12" s="35"/>
      <c r="EQ12" s="35"/>
      <c r="ER12" s="35"/>
      <c r="ES12" s="35"/>
      <c r="ET12" s="35"/>
      <c r="EU12" s="35"/>
      <c r="EV12" s="35"/>
      <c r="EW12" s="35"/>
      <c r="EX12" s="35"/>
      <c r="EY12" s="35"/>
      <c r="EZ12" s="35"/>
      <c r="FA12" s="35"/>
      <c r="FB12" s="35"/>
      <c r="FC12" s="35"/>
      <c r="FD12" s="35"/>
      <c r="FE12" s="35"/>
      <c r="FF12" s="35"/>
      <c r="FG12" s="35"/>
      <c r="FH12" s="35"/>
      <c r="FI12" s="35"/>
      <c r="FJ12" s="35"/>
      <c r="FK12" s="35"/>
      <c r="FL12" s="35"/>
      <c r="FM12" s="35"/>
      <c r="FN12" s="35"/>
      <c r="FO12" s="35"/>
      <c r="FP12" s="35"/>
      <c r="FQ12" s="35"/>
      <c r="FR12" s="35"/>
      <c r="FS12" s="35"/>
      <c r="FT12" s="35"/>
      <c r="FU12" s="35"/>
      <c r="FV12" s="35"/>
      <c r="FW12" s="35"/>
      <c r="FX12" s="35"/>
      <c r="FY12" s="35"/>
      <c r="FZ12" s="35"/>
      <c r="GA12" s="35"/>
      <c r="GB12" s="35"/>
      <c r="GC12" s="35"/>
      <c r="GD12" s="35"/>
      <c r="GE12" s="35"/>
      <c r="GF12" s="35"/>
      <c r="GG12" s="35"/>
      <c r="GH12" s="35"/>
      <c r="GI12" s="35"/>
      <c r="GJ12" s="35"/>
      <c r="GK12" s="35"/>
      <c r="GL12" s="35"/>
      <c r="GM12" s="35"/>
      <c r="GN12" s="35"/>
      <c r="GO12" s="35"/>
      <c r="GP12" s="35"/>
      <c r="GQ12" s="35"/>
      <c r="GR12" s="35"/>
      <c r="GS12" s="35"/>
      <c r="GT12" s="35"/>
      <c r="GU12" s="35"/>
      <c r="GV12" s="35"/>
      <c r="GW12" s="35"/>
      <c r="GX12" s="35"/>
      <c r="GY12" s="35"/>
      <c r="GZ12" s="35"/>
      <c r="HA12" s="35"/>
      <c r="HB12" s="35"/>
      <c r="HC12" s="35"/>
      <c r="HD12" s="35"/>
      <c r="HE12" s="35"/>
      <c r="HF12" s="35"/>
      <c r="HG12" s="35"/>
      <c r="HH12" s="35"/>
      <c r="HI12" s="35"/>
      <c r="HJ12" s="35"/>
      <c r="HK12" s="35"/>
      <c r="HL12" s="35"/>
      <c r="HM12" s="35"/>
      <c r="HN12" s="35"/>
      <c r="HO12" s="35"/>
      <c r="HP12" s="35"/>
      <c r="HQ12" s="35"/>
      <c r="HR12" s="35"/>
      <c r="HS12" s="35"/>
      <c r="HT12" s="35"/>
      <c r="HU12" s="35"/>
      <c r="HV12" s="35"/>
      <c r="HW12" s="35"/>
      <c r="HX12" s="35"/>
      <c r="HY12" s="35"/>
      <c r="HZ12" s="35"/>
      <c r="IA12" s="35"/>
      <c r="IB12" s="35"/>
      <c r="IC12" s="35"/>
      <c r="ID12" s="35"/>
      <c r="IE12" s="35"/>
      <c r="IF12" s="35"/>
      <c r="IG12" s="35"/>
      <c r="IH12" s="35"/>
      <c r="II12" s="35"/>
      <c r="IJ12" s="35"/>
      <c r="IK12" s="35"/>
      <c r="IL12" s="35"/>
      <c r="IM12" s="35"/>
      <c r="IN12" s="35"/>
      <c r="IO12" s="35"/>
      <c r="IP12" s="35"/>
      <c r="IQ12" s="35"/>
      <c r="IR12" s="35"/>
      <c r="IS12" s="35"/>
      <c r="IT12" s="35"/>
      <c r="IU12" s="35"/>
      <c r="IV12" s="35"/>
      <c r="IW12" s="35"/>
      <c r="IX12" s="35"/>
      <c r="IY12" s="35"/>
      <c r="IZ12" s="35"/>
      <c r="JA12" s="35"/>
      <c r="JB12" s="35"/>
      <c r="JC12" s="35"/>
      <c r="JD12" s="35"/>
      <c r="JE12" s="35"/>
      <c r="JF12" s="35"/>
      <c r="JG12" s="35"/>
      <c r="JH12" s="35"/>
      <c r="JI12" s="35"/>
      <c r="JJ12" s="35"/>
      <c r="JK12" s="35"/>
      <c r="JL12" s="35"/>
      <c r="JM12" s="35"/>
      <c r="JN12" s="35"/>
      <c r="JO12" s="35"/>
      <c r="JP12" s="35"/>
      <c r="JQ12" s="35"/>
      <c r="JR12" s="35"/>
      <c r="JS12" s="35"/>
      <c r="JT12" s="35"/>
      <c r="JU12" s="35"/>
      <c r="JV12" s="35"/>
      <c r="JW12" s="35"/>
      <c r="JX12" s="35"/>
      <c r="JY12" s="35"/>
      <c r="JZ12" s="35"/>
      <c r="KA12" s="35"/>
      <c r="KB12" s="35"/>
      <c r="KC12" s="35"/>
      <c r="KD12" s="35"/>
      <c r="KE12" s="35"/>
      <c r="KF12" s="35"/>
      <c r="KG12" s="35"/>
      <c r="KH12" s="35"/>
      <c r="KI12" s="35"/>
      <c r="KJ12" s="35"/>
      <c r="KK12" s="35"/>
      <c r="KL12" s="35"/>
      <c r="KM12" s="35"/>
      <c r="KN12" s="35"/>
      <c r="KO12" s="35"/>
      <c r="KP12" s="35"/>
      <c r="KQ12" s="35"/>
      <c r="KR12" s="35"/>
      <c r="KS12" s="35"/>
      <c r="KT12" s="35"/>
      <c r="KU12" s="35"/>
      <c r="KV12" s="35"/>
      <c r="KW12" s="35"/>
      <c r="KX12" s="35"/>
      <c r="KY12" s="35"/>
      <c r="KZ12" s="35"/>
      <c r="LA12" s="35"/>
      <c r="LB12" s="35"/>
      <c r="LC12" s="35"/>
      <c r="LD12" s="35"/>
      <c r="LE12" s="35"/>
      <c r="LF12" s="35"/>
      <c r="LG12" s="35"/>
      <c r="LH12" s="35"/>
      <c r="LI12" s="35"/>
      <c r="LJ12" s="35"/>
      <c r="LK12" s="35"/>
      <c r="LL12" s="35"/>
      <c r="LM12" s="35"/>
      <c r="LN12" s="35"/>
      <c r="LO12" s="35"/>
      <c r="LP12" s="35"/>
      <c r="LQ12" s="35"/>
      <c r="LR12" s="35"/>
      <c r="LS12" s="35"/>
      <c r="LT12" s="35"/>
      <c r="LU12" s="35"/>
      <c r="LV12" s="35"/>
      <c r="LW12" s="35"/>
      <c r="LX12" s="35"/>
      <c r="LY12" s="35"/>
      <c r="LZ12" s="35"/>
      <c r="MA12" s="35"/>
      <c r="MB12" s="35"/>
      <c r="MC12" s="35"/>
      <c r="MD12" s="35"/>
      <c r="ME12" s="35"/>
      <c r="MF12" s="35"/>
      <c r="MG12" s="35"/>
      <c r="MH12" s="35"/>
      <c r="MI12" s="35"/>
      <c r="MJ12" s="35"/>
      <c r="MK12" s="35"/>
      <c r="ML12" s="35"/>
      <c r="MM12" s="35"/>
      <c r="MN12" s="35"/>
      <c r="MO12" s="35"/>
      <c r="MP12" s="35"/>
      <c r="MQ12" s="35"/>
      <c r="MR12" s="35"/>
      <c r="MS12" s="35"/>
      <c r="MT12" s="35"/>
      <c r="MU12" s="35"/>
      <c r="MV12" s="35"/>
      <c r="MW12" s="35"/>
      <c r="MX12" s="35"/>
      <c r="MY12" s="35"/>
      <c r="MZ12" s="35"/>
      <c r="NA12" s="35"/>
      <c r="NB12" s="35"/>
      <c r="NC12" s="35"/>
      <c r="ND12" s="35"/>
      <c r="NE12" s="35"/>
      <c r="NF12" s="35"/>
      <c r="NG12" s="35"/>
      <c r="NH12" s="35"/>
      <c r="NI12" s="35"/>
      <c r="NJ12" s="35"/>
      <c r="NK12" s="35"/>
      <c r="NL12" s="35"/>
      <c r="NM12" s="35"/>
      <c r="NN12" s="35"/>
      <c r="NO12" s="35"/>
      <c r="NP12" s="35"/>
      <c r="NQ12" s="35"/>
      <c r="NR12" s="35"/>
      <c r="NS12" s="35"/>
      <c r="NT12" s="35"/>
      <c r="NU12" s="35"/>
      <c r="NV12" s="35"/>
      <c r="NW12" s="35"/>
      <c r="NX12" s="35"/>
      <c r="NY12" s="35"/>
      <c r="NZ12" s="35"/>
      <c r="OA12" s="35"/>
      <c r="OB12" s="35"/>
      <c r="OC12" s="35"/>
      <c r="OD12" s="35"/>
      <c r="OE12" s="35"/>
      <c r="OF12" s="35"/>
      <c r="OG12" s="35"/>
      <c r="OH12" s="35"/>
      <c r="OI12" s="35"/>
      <c r="OJ12" s="35"/>
      <c r="OK12" s="35"/>
      <c r="OL12" s="35"/>
      <c r="OM12" s="35"/>
      <c r="ON12" s="35"/>
      <c r="OO12" s="35"/>
      <c r="OP12" s="35"/>
      <c r="OQ12" s="35"/>
      <c r="OR12" s="35"/>
      <c r="OS12" s="35"/>
      <c r="OT12" s="35"/>
      <c r="OU12" s="35"/>
      <c r="OV12" s="35"/>
      <c r="OW12" s="35"/>
      <c r="OX12" s="35"/>
      <c r="OY12" s="35"/>
      <c r="OZ12" s="35"/>
      <c r="PA12" s="35"/>
      <c r="PB12" s="35"/>
      <c r="PC12" s="35"/>
      <c r="PD12" s="35"/>
      <c r="PE12" s="35"/>
      <c r="PF12" s="35"/>
      <c r="PG12" s="35"/>
      <c r="PH12" s="35"/>
      <c r="PI12" s="35"/>
      <c r="PJ12" s="35"/>
      <c r="PK12" s="35"/>
      <c r="PL12" s="35"/>
      <c r="PM12" s="35"/>
      <c r="PN12" s="35"/>
      <c r="PO12" s="35"/>
      <c r="PP12" s="35"/>
      <c r="PQ12" s="35"/>
      <c r="PR12" s="35"/>
      <c r="PS12" s="35"/>
      <c r="PT12" s="35"/>
      <c r="PU12" s="35"/>
      <c r="PV12" s="35"/>
      <c r="PW12" s="35"/>
      <c r="PX12" s="35"/>
      <c r="PY12" s="35"/>
      <c r="PZ12" s="35"/>
      <c r="QA12" s="35"/>
      <c r="QB12" s="35"/>
      <c r="QC12" s="35"/>
      <c r="QD12" s="35"/>
      <c r="QE12" s="35"/>
      <c r="QF12" s="35"/>
      <c r="QG12" s="35"/>
      <c r="QH12" s="35"/>
      <c r="QI12" s="35"/>
      <c r="QJ12" s="35"/>
      <c r="QK12" s="35"/>
      <c r="QL12" s="35"/>
      <c r="QM12" s="35"/>
      <c r="QN12" s="35"/>
      <c r="QO12" s="35"/>
      <c r="QP12" s="35"/>
      <c r="QQ12" s="35"/>
      <c r="QR12" s="35"/>
      <c r="QS12" s="35"/>
      <c r="QT12" s="35"/>
      <c r="QU12" s="35"/>
      <c r="QV12" s="35"/>
      <c r="QW12" s="35"/>
      <c r="QX12" s="35"/>
      <c r="QY12" s="35"/>
      <c r="QZ12" s="35"/>
      <c r="RA12" s="35"/>
      <c r="RB12" s="35"/>
      <c r="RC12" s="35"/>
      <c r="RD12" s="35"/>
      <c r="RE12" s="35"/>
      <c r="RF12" s="35"/>
      <c r="RG12" s="35"/>
      <c r="RH12" s="35"/>
      <c r="RI12" s="35"/>
      <c r="RJ12" s="35"/>
      <c r="RK12" s="35"/>
      <c r="RL12" s="35"/>
      <c r="RM12" s="35"/>
      <c r="RN12" s="35"/>
      <c r="RO12" s="35"/>
      <c r="RP12" s="35"/>
      <c r="RQ12" s="35"/>
      <c r="RR12" s="35"/>
      <c r="RS12" s="35"/>
      <c r="RT12" s="35"/>
      <c r="RU12" s="35"/>
      <c r="RV12" s="35"/>
      <c r="RW12" s="35"/>
      <c r="RX12" s="35"/>
      <c r="RY12" s="35"/>
      <c r="RZ12" s="35"/>
      <c r="SA12" s="35"/>
      <c r="SB12" s="35"/>
      <c r="SC12" s="35"/>
      <c r="SD12" s="35"/>
      <c r="SE12" s="35"/>
      <c r="SF12" s="35"/>
      <c r="SG12" s="35"/>
      <c r="SH12" s="35"/>
      <c r="SI12" s="35"/>
      <c r="SJ12" s="35"/>
      <c r="SK12" s="35"/>
      <c r="SL12" s="35"/>
      <c r="SM12" s="35"/>
      <c r="SN12" s="35"/>
      <c r="SO12" s="35"/>
      <c r="SP12" s="35"/>
      <c r="SQ12" s="35"/>
      <c r="SR12" s="35"/>
      <c r="SS12" s="35"/>
      <c r="ST12" s="35"/>
      <c r="SU12" s="35"/>
      <c r="SV12" s="35"/>
      <c r="SW12" s="35"/>
      <c r="SX12" s="35"/>
      <c r="SY12" s="35"/>
      <c r="SZ12" s="35"/>
      <c r="TA12" s="35"/>
      <c r="TB12" s="35"/>
      <c r="TC12" s="35"/>
      <c r="TD12" s="35"/>
      <c r="TE12" s="35"/>
      <c r="TF12" s="35"/>
      <c r="TG12" s="35"/>
      <c r="TH12" s="35"/>
      <c r="TI12" s="35"/>
      <c r="TJ12" s="35"/>
      <c r="TK12" s="35"/>
      <c r="TL12" s="35"/>
      <c r="TM12" s="35"/>
      <c r="TN12" s="35"/>
      <c r="TO12" s="35"/>
      <c r="TP12" s="35"/>
      <c r="TQ12" s="35"/>
      <c r="TR12" s="35"/>
      <c r="TS12" s="35"/>
      <c r="TT12" s="35"/>
      <c r="TU12" s="35"/>
      <c r="TV12" s="35"/>
      <c r="TW12" s="35"/>
      <c r="TX12" s="35"/>
      <c r="TY12" s="35"/>
      <c r="TZ12" s="35"/>
      <c r="UA12" s="35"/>
      <c r="UB12" s="35"/>
      <c r="UC12" s="35"/>
      <c r="UD12" s="35"/>
      <c r="UE12" s="35"/>
      <c r="UF12" s="35"/>
      <c r="UG12" s="35"/>
      <c r="UH12" s="35"/>
      <c r="UI12" s="35"/>
      <c r="UJ12" s="35"/>
      <c r="UK12" s="35"/>
      <c r="UL12" s="35"/>
      <c r="UM12" s="35"/>
      <c r="UN12" s="35"/>
      <c r="UO12" s="35"/>
      <c r="UP12" s="35"/>
      <c r="UQ12" s="35"/>
      <c r="UR12" s="35"/>
      <c r="US12" s="35"/>
      <c r="UT12" s="35"/>
      <c r="UU12" s="35"/>
      <c r="UV12" s="35"/>
      <c r="UW12" s="35"/>
      <c r="UX12" s="35"/>
      <c r="UY12" s="35"/>
      <c r="UZ12" s="35"/>
      <c r="VA12" s="35"/>
      <c r="VB12" s="35"/>
      <c r="VC12" s="35"/>
      <c r="VD12" s="35"/>
      <c r="VE12" s="35"/>
      <c r="VF12" s="35"/>
      <c r="VG12" s="35"/>
      <c r="VH12" s="35"/>
      <c r="VI12" s="35"/>
      <c r="VJ12" s="35"/>
      <c r="VK12" s="35"/>
      <c r="VL12" s="35"/>
      <c r="VM12" s="35"/>
      <c r="VN12" s="35"/>
      <c r="VO12" s="35"/>
      <c r="VP12" s="35"/>
      <c r="VQ12" s="35"/>
      <c r="VR12" s="35"/>
      <c r="VS12" s="35"/>
      <c r="VT12" s="35"/>
      <c r="VU12" s="35"/>
      <c r="VV12" s="35"/>
      <c r="VW12" s="35"/>
      <c r="VX12" s="35"/>
      <c r="VY12" s="35"/>
      <c r="VZ12" s="35"/>
      <c r="WA12" s="35"/>
      <c r="WB12" s="35"/>
      <c r="WC12" s="35"/>
      <c r="WD12" s="35"/>
      <c r="WE12" s="35"/>
      <c r="WF12" s="35"/>
      <c r="WG12" s="35"/>
      <c r="WH12" s="35"/>
      <c r="WI12" s="35"/>
      <c r="WJ12" s="35"/>
      <c r="WK12" s="35"/>
      <c r="WL12" s="35"/>
      <c r="WM12" s="35"/>
      <c r="WN12" s="35"/>
      <c r="WO12" s="35"/>
      <c r="WP12" s="35"/>
      <c r="WQ12" s="35"/>
      <c r="WR12" s="35"/>
      <c r="WS12" s="35"/>
      <c r="WT12" s="35"/>
      <c r="WU12" s="35"/>
      <c r="WV12" s="35"/>
      <c r="WW12" s="35"/>
      <c r="WX12" s="35"/>
      <c r="WY12" s="35"/>
      <c r="WZ12" s="35"/>
      <c r="XA12" s="35"/>
      <c r="XB12" s="35"/>
      <c r="XC12" s="35"/>
      <c r="XD12" s="35"/>
      <c r="XE12" s="35"/>
      <c r="XF12" s="35"/>
      <c r="XG12" s="35"/>
      <c r="XH12" s="35"/>
      <c r="XI12" s="35"/>
      <c r="XJ12" s="35"/>
      <c r="XK12" s="35"/>
      <c r="XL12" s="35"/>
      <c r="XM12" s="35"/>
      <c r="XN12" s="35"/>
      <c r="XO12" s="35"/>
      <c r="XP12" s="35"/>
      <c r="XQ12" s="35"/>
      <c r="XR12" s="35"/>
      <c r="XS12" s="35"/>
      <c r="XT12" s="35"/>
      <c r="XU12" s="35"/>
      <c r="XV12" s="35"/>
      <c r="XW12" s="35"/>
      <c r="XX12" s="35"/>
      <c r="XY12" s="35"/>
      <c r="XZ12" s="35"/>
      <c r="YA12" s="35"/>
      <c r="YB12" s="35"/>
      <c r="YC12" s="35"/>
      <c r="YD12" s="35"/>
      <c r="YE12" s="35"/>
      <c r="YF12" s="35"/>
      <c r="YG12" s="35"/>
      <c r="YH12" s="35"/>
      <c r="YI12" s="35"/>
      <c r="YJ12" s="35"/>
      <c r="YK12" s="35"/>
      <c r="YL12" s="35"/>
      <c r="YM12" s="35"/>
      <c r="YN12" s="35"/>
      <c r="YO12" s="35"/>
      <c r="YP12" s="35"/>
      <c r="YQ12" s="35"/>
      <c r="YR12" s="35"/>
      <c r="YS12" s="35"/>
      <c r="YT12" s="35"/>
      <c r="YU12" s="35"/>
      <c r="YV12" s="35"/>
      <c r="YW12" s="35"/>
      <c r="YX12" s="35"/>
      <c r="YY12" s="35"/>
      <c r="YZ12" s="35"/>
      <c r="ZA12" s="35"/>
      <c r="ZB12" s="35"/>
      <c r="ZC12" s="35"/>
      <c r="ZD12" s="35"/>
      <c r="ZE12" s="35"/>
      <c r="ZF12" s="35"/>
      <c r="ZG12" s="35"/>
      <c r="ZH12" s="35"/>
      <c r="ZI12" s="35"/>
      <c r="ZJ12" s="35"/>
      <c r="ZK12" s="35"/>
      <c r="ZL12" s="35"/>
      <c r="ZM12" s="35"/>
      <c r="ZN12" s="35"/>
      <c r="ZO12" s="35"/>
      <c r="ZP12" s="35"/>
      <c r="ZQ12" s="35"/>
      <c r="ZR12" s="35"/>
      <c r="ZS12" s="35"/>
      <c r="ZT12" s="35"/>
      <c r="ZU12" s="35"/>
      <c r="ZV12" s="35"/>
      <c r="ZW12" s="35"/>
      <c r="ZX12" s="35"/>
      <c r="ZY12" s="35"/>
      <c r="ZZ12" s="35"/>
      <c r="AAA12" s="35"/>
      <c r="AAB12" s="35"/>
      <c r="AAC12" s="35"/>
      <c r="AAD12" s="35"/>
      <c r="AAE12" s="35"/>
      <c r="AAF12" s="35"/>
      <c r="AAG12" s="35"/>
      <c r="AAH12" s="35"/>
      <c r="AAI12" s="35"/>
      <c r="AAJ12" s="35"/>
      <c r="AAK12" s="35"/>
      <c r="AAL12" s="35"/>
      <c r="AAM12" s="35"/>
      <c r="AAN12" s="35"/>
      <c r="AAO12" s="35"/>
      <c r="AAP12" s="35"/>
      <c r="AAQ12" s="35"/>
      <c r="AAR12" s="35"/>
      <c r="AAS12" s="35"/>
      <c r="AAT12" s="35"/>
      <c r="AAU12" s="35"/>
      <c r="AAV12" s="35"/>
      <c r="AAW12" s="35"/>
      <c r="AAX12" s="35"/>
      <c r="AAY12" s="35"/>
      <c r="AAZ12" s="35"/>
      <c r="ABA12" s="35"/>
      <c r="ABB12" s="35"/>
      <c r="ABC12" s="35"/>
      <c r="ABD12" s="35"/>
      <c r="ABE12" s="35"/>
      <c r="ABF12" s="35"/>
      <c r="ABG12" s="35"/>
      <c r="ABH12" s="35"/>
      <c r="ABI12" s="35"/>
      <c r="ABJ12" s="35"/>
      <c r="ABK12" s="35"/>
      <c r="ABL12" s="35"/>
      <c r="ABM12" s="35"/>
      <c r="ABN12" s="35"/>
      <c r="ABO12" s="35"/>
      <c r="ABP12" s="35"/>
      <c r="ABQ12" s="35"/>
      <c r="ABR12" s="35"/>
      <c r="ABS12" s="35"/>
      <c r="ABT12" s="35"/>
      <c r="ABU12" s="35"/>
      <c r="ABV12" s="35"/>
      <c r="ABW12" s="35"/>
      <c r="ABX12" s="35"/>
      <c r="ABY12" s="35"/>
      <c r="ABZ12" s="35"/>
      <c r="ACA12" s="35"/>
      <c r="ACB12" s="35"/>
      <c r="ACC12" s="35"/>
      <c r="ACD12" s="35"/>
      <c r="ACE12" s="35"/>
      <c r="ACF12" s="35"/>
      <c r="ACG12" s="35"/>
      <c r="ACH12" s="35"/>
      <c r="ACI12" s="35"/>
      <c r="ACJ12" s="35"/>
      <c r="ACK12" s="35"/>
      <c r="ACL12" s="35"/>
      <c r="ACM12" s="35"/>
      <c r="ACN12" s="35"/>
      <c r="ACO12" s="35"/>
      <c r="ACP12" s="35"/>
      <c r="ACQ12" s="35"/>
      <c r="ACR12" s="35"/>
      <c r="ACS12" s="35"/>
      <c r="ACT12" s="35"/>
      <c r="ACU12" s="35"/>
      <c r="ACV12" s="35"/>
      <c r="ACW12" s="35"/>
      <c r="ACX12" s="35"/>
      <c r="ACY12" s="35"/>
      <c r="ACZ12" s="35"/>
      <c r="ADA12" s="35"/>
      <c r="ADB12" s="35"/>
      <c r="ADC12" s="35"/>
      <c r="ADD12" s="35"/>
      <c r="ADE12" s="35"/>
      <c r="ADF12" s="35"/>
      <c r="ADG12" s="35"/>
      <c r="ADH12" s="35"/>
      <c r="ADI12" s="35"/>
      <c r="ADJ12" s="35"/>
      <c r="ADK12" s="35"/>
      <c r="ADL12" s="35"/>
      <c r="ADM12" s="35"/>
      <c r="ADN12" s="35"/>
      <c r="ADO12" s="35"/>
      <c r="ADP12" s="35"/>
      <c r="ADQ12" s="35"/>
      <c r="ADR12" s="35"/>
      <c r="ADS12" s="35"/>
      <c r="ADT12" s="35"/>
      <c r="ADU12" s="35"/>
      <c r="ADV12" s="35"/>
      <c r="ADW12" s="35"/>
      <c r="ADX12" s="35"/>
      <c r="ADY12" s="35"/>
      <c r="ADZ12" s="35"/>
      <c r="AEA12" s="35"/>
      <c r="AEB12" s="35"/>
      <c r="AEC12" s="35"/>
      <c r="AED12" s="35"/>
      <c r="AEE12" s="35"/>
      <c r="AEF12" s="35"/>
      <c r="AEG12" s="35"/>
      <c r="AEH12" s="35"/>
      <c r="AEI12" s="35"/>
      <c r="AEJ12" s="35"/>
      <c r="AEK12" s="35"/>
      <c r="AEL12" s="35"/>
      <c r="AEM12" s="35"/>
      <c r="AEN12" s="35"/>
      <c r="AEO12" s="35"/>
      <c r="AEP12" s="35"/>
      <c r="AEQ12" s="35"/>
      <c r="AER12" s="35"/>
      <c r="AES12" s="35"/>
      <c r="AET12" s="35"/>
      <c r="AEU12" s="35"/>
      <c r="AEV12" s="35"/>
      <c r="AEW12" s="35"/>
      <c r="AEX12" s="35"/>
      <c r="AEY12" s="35"/>
      <c r="AEZ12" s="35"/>
      <c r="AFA12" s="35"/>
      <c r="AFB12" s="35"/>
      <c r="AFC12" s="35"/>
      <c r="AFD12" s="35"/>
      <c r="AFE12" s="35"/>
      <c r="AFF12" s="35"/>
      <c r="AFG12" s="35"/>
      <c r="AFH12" s="35"/>
      <c r="AFI12" s="35"/>
      <c r="AFJ12" s="35"/>
      <c r="AFK12" s="35"/>
      <c r="AFL12" s="35"/>
      <c r="AFM12" s="35"/>
      <c r="AFN12" s="35"/>
      <c r="AFO12" s="35"/>
      <c r="AFP12" s="35"/>
      <c r="AFQ12" s="35"/>
      <c r="AFR12" s="35"/>
      <c r="AFS12" s="35"/>
      <c r="AFT12" s="35"/>
      <c r="AFU12" s="35"/>
      <c r="AFV12" s="35"/>
      <c r="AFW12" s="35"/>
      <c r="AFX12" s="35"/>
      <c r="AFY12" s="35"/>
      <c r="AFZ12" s="35"/>
      <c r="AGA12" s="35"/>
      <c r="AGB12" s="35"/>
      <c r="AGC12" s="35"/>
      <c r="AGD12" s="35"/>
      <c r="AGE12" s="35"/>
      <c r="AGF12" s="35"/>
      <c r="AGG12" s="35"/>
      <c r="AGH12" s="35"/>
      <c r="AGI12" s="35"/>
      <c r="AGJ12" s="35"/>
      <c r="AGK12" s="35"/>
      <c r="AGL12" s="35"/>
      <c r="AGM12" s="35"/>
      <c r="AGN12" s="35"/>
      <c r="AGO12" s="35"/>
      <c r="AGP12" s="35"/>
      <c r="AGQ12" s="35"/>
      <c r="AGR12" s="35"/>
      <c r="AGS12" s="35"/>
      <c r="AGT12" s="35"/>
      <c r="AGU12" s="35"/>
      <c r="AGV12" s="35"/>
      <c r="AGW12" s="35"/>
      <c r="AGX12" s="35"/>
      <c r="AGY12" s="35"/>
      <c r="AGZ12" s="35"/>
      <c r="AHA12" s="35"/>
      <c r="AHB12" s="35"/>
      <c r="AHC12" s="35"/>
      <c r="AHD12" s="35"/>
      <c r="AHE12" s="35"/>
      <c r="AHF12" s="35"/>
      <c r="AHG12" s="35"/>
      <c r="AHH12" s="35"/>
      <c r="AHI12" s="35"/>
      <c r="AHJ12" s="35"/>
      <c r="AHK12" s="35"/>
      <c r="AHL12" s="35"/>
      <c r="AHM12" s="35"/>
      <c r="AHN12" s="35"/>
      <c r="AHO12" s="35"/>
      <c r="AHP12" s="35"/>
      <c r="AHQ12" s="35"/>
      <c r="AHR12" s="35"/>
      <c r="AHS12" s="35"/>
      <c r="AHT12" s="35"/>
      <c r="AHU12" s="35"/>
      <c r="AHV12" s="35"/>
      <c r="AHW12" s="35"/>
      <c r="AHX12" s="35"/>
      <c r="AHY12" s="35"/>
      <c r="AHZ12" s="35"/>
      <c r="AIA12" s="35"/>
      <c r="AIB12" s="35"/>
      <c r="AIC12" s="35"/>
      <c r="AID12" s="35"/>
      <c r="AIE12" s="35"/>
      <c r="AIF12" s="35"/>
      <c r="AIG12" s="35"/>
      <c r="AIH12" s="35"/>
      <c r="AII12" s="35"/>
      <c r="AIJ12" s="35"/>
      <c r="AIK12" s="35"/>
      <c r="AIL12" s="35"/>
      <c r="AIM12" s="35"/>
      <c r="AIN12" s="35"/>
      <c r="AIO12" s="35"/>
      <c r="AIP12" s="35"/>
      <c r="AIQ12" s="35"/>
      <c r="AIR12" s="35"/>
      <c r="AIS12" s="35"/>
      <c r="AIT12" s="35"/>
      <c r="AIU12" s="35"/>
      <c r="AIV12" s="35"/>
      <c r="AIW12" s="35"/>
      <c r="AIX12" s="35"/>
      <c r="AIY12" s="35"/>
      <c r="AIZ12" s="35"/>
      <c r="AJA12" s="35"/>
      <c r="AJB12" s="35"/>
      <c r="AJC12" s="35"/>
      <c r="AJD12" s="35"/>
      <c r="AJE12" s="35"/>
      <c r="AJF12" s="35"/>
      <c r="AJG12" s="35"/>
      <c r="AJH12" s="35"/>
      <c r="AJI12" s="35"/>
      <c r="AJJ12" s="35"/>
      <c r="AJK12" s="35"/>
      <c r="AJL12" s="35"/>
      <c r="AJM12" s="35"/>
      <c r="AJN12" s="35"/>
      <c r="AJO12" s="35"/>
      <c r="AJP12" s="35"/>
      <c r="AJQ12" s="35"/>
      <c r="AJR12" s="35"/>
      <c r="AJS12" s="35"/>
      <c r="AJT12" s="35"/>
      <c r="AJU12" s="35"/>
      <c r="AJV12" s="35"/>
      <c r="AJW12" s="35"/>
      <c r="AJX12" s="35"/>
      <c r="AJY12" s="35"/>
      <c r="AJZ12" s="35"/>
      <c r="AKA12" s="35"/>
      <c r="AKB12" s="35"/>
      <c r="AKC12" s="35"/>
      <c r="AKD12" s="35"/>
      <c r="AKE12" s="35"/>
      <c r="AKF12" s="35"/>
      <c r="AKG12" s="35"/>
      <c r="AKH12" s="35"/>
      <c r="AKI12" s="35"/>
      <c r="AKJ12" s="35"/>
      <c r="AKK12" s="35"/>
      <c r="AKL12" s="35"/>
      <c r="AKM12" s="35"/>
      <c r="AKN12" s="35"/>
      <c r="AKO12" s="35"/>
      <c r="AKP12" s="35"/>
      <c r="AKQ12" s="35"/>
      <c r="AKR12" s="35"/>
      <c r="AKS12" s="35"/>
    </row>
    <row r="13" customFormat="false" ht="12.8" hidden="true" customHeight="true" outlineLevel="1" collapsed="false">
      <c r="A13" s="40"/>
      <c r="B13" s="40"/>
      <c r="C13" s="40"/>
      <c r="D13" s="40"/>
      <c r="E13" s="40"/>
      <c r="F13" s="40"/>
      <c r="G13" s="40"/>
      <c r="H13" s="40"/>
      <c r="I13" s="40"/>
      <c r="J13" s="40"/>
      <c r="K13" s="40"/>
      <c r="L13" s="40"/>
      <c r="M13" s="40"/>
      <c r="N13" s="40"/>
      <c r="O13" s="40"/>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5"/>
      <c r="GC13" s="35"/>
      <c r="GD13" s="35"/>
      <c r="GE13" s="35"/>
      <c r="GF13" s="35"/>
      <c r="GG13" s="35"/>
      <c r="GH13" s="35"/>
      <c r="GI13" s="35"/>
      <c r="GJ13" s="35"/>
      <c r="GK13" s="35"/>
      <c r="GL13" s="35"/>
      <c r="GM13" s="35"/>
      <c r="GN13" s="35"/>
      <c r="GO13" s="35"/>
      <c r="GP13" s="35"/>
      <c r="GQ13" s="35"/>
      <c r="GR13" s="35"/>
      <c r="GS13" s="35"/>
      <c r="GT13" s="35"/>
      <c r="GU13" s="35"/>
      <c r="GV13" s="35"/>
      <c r="GW13" s="35"/>
      <c r="GX13" s="35"/>
      <c r="GY13" s="35"/>
      <c r="GZ13" s="35"/>
      <c r="HA13" s="35"/>
      <c r="HB13" s="35"/>
      <c r="HC13" s="35"/>
      <c r="HD13" s="35"/>
      <c r="HE13" s="35"/>
      <c r="HF13" s="35"/>
      <c r="HG13" s="35"/>
      <c r="HH13" s="35"/>
      <c r="HI13" s="35"/>
      <c r="HJ13" s="35"/>
      <c r="HK13" s="35"/>
      <c r="HL13" s="35"/>
      <c r="HM13" s="35"/>
      <c r="HN13" s="35"/>
      <c r="HO13" s="35"/>
      <c r="HP13" s="35"/>
      <c r="HQ13" s="35"/>
      <c r="HR13" s="35"/>
      <c r="HS13" s="35"/>
      <c r="HT13" s="35"/>
      <c r="HU13" s="35"/>
      <c r="HV13" s="35"/>
      <c r="HW13" s="35"/>
      <c r="HX13" s="35"/>
      <c r="HY13" s="35"/>
      <c r="HZ13" s="35"/>
      <c r="IA13" s="35"/>
      <c r="IB13" s="35"/>
      <c r="IC13" s="35"/>
      <c r="ID13" s="35"/>
      <c r="IE13" s="35"/>
      <c r="IF13" s="35"/>
      <c r="IG13" s="35"/>
      <c r="IH13" s="35"/>
      <c r="II13" s="35"/>
      <c r="IJ13" s="35"/>
      <c r="IK13" s="35"/>
      <c r="IL13" s="35"/>
      <c r="IM13" s="35"/>
      <c r="IN13" s="35"/>
      <c r="IO13" s="35"/>
      <c r="IP13" s="35"/>
      <c r="IQ13" s="35"/>
      <c r="IR13" s="35"/>
      <c r="IS13" s="35"/>
      <c r="IT13" s="35"/>
      <c r="IU13" s="35"/>
      <c r="IV13" s="35"/>
      <c r="IW13" s="35"/>
      <c r="IX13" s="35"/>
      <c r="IY13" s="35"/>
      <c r="IZ13" s="35"/>
      <c r="JA13" s="35"/>
      <c r="JB13" s="35"/>
      <c r="JC13" s="35"/>
      <c r="JD13" s="35"/>
      <c r="JE13" s="35"/>
      <c r="JF13" s="35"/>
      <c r="JG13" s="35"/>
      <c r="JH13" s="35"/>
      <c r="JI13" s="35"/>
      <c r="JJ13" s="35"/>
      <c r="JK13" s="35"/>
      <c r="JL13" s="35"/>
      <c r="JM13" s="35"/>
      <c r="JN13" s="35"/>
      <c r="JO13" s="35"/>
      <c r="JP13" s="35"/>
      <c r="JQ13" s="35"/>
      <c r="JR13" s="35"/>
      <c r="JS13" s="35"/>
      <c r="JT13" s="35"/>
      <c r="JU13" s="35"/>
      <c r="JV13" s="35"/>
      <c r="JW13" s="35"/>
      <c r="JX13" s="35"/>
      <c r="JY13" s="35"/>
      <c r="JZ13" s="35"/>
      <c r="KA13" s="35"/>
      <c r="KB13" s="35"/>
      <c r="KC13" s="35"/>
      <c r="KD13" s="35"/>
      <c r="KE13" s="35"/>
      <c r="KF13" s="35"/>
      <c r="KG13" s="35"/>
      <c r="KH13" s="35"/>
      <c r="KI13" s="35"/>
      <c r="KJ13" s="35"/>
      <c r="KK13" s="35"/>
      <c r="KL13" s="35"/>
      <c r="KM13" s="35"/>
      <c r="KN13" s="35"/>
      <c r="KO13" s="35"/>
      <c r="KP13" s="35"/>
      <c r="KQ13" s="35"/>
      <c r="KR13" s="35"/>
      <c r="KS13" s="35"/>
      <c r="KT13" s="35"/>
      <c r="KU13" s="35"/>
      <c r="KV13" s="35"/>
      <c r="KW13" s="35"/>
      <c r="KX13" s="35"/>
      <c r="KY13" s="35"/>
      <c r="KZ13" s="35"/>
      <c r="LA13" s="35"/>
      <c r="LB13" s="35"/>
      <c r="LC13" s="35"/>
      <c r="LD13" s="35"/>
      <c r="LE13" s="35"/>
      <c r="LF13" s="35"/>
      <c r="LG13" s="35"/>
      <c r="LH13" s="35"/>
      <c r="LI13" s="35"/>
      <c r="LJ13" s="35"/>
      <c r="LK13" s="35"/>
      <c r="LL13" s="35"/>
      <c r="LM13" s="35"/>
      <c r="LN13" s="35"/>
      <c r="LO13" s="35"/>
      <c r="LP13" s="35"/>
      <c r="LQ13" s="35"/>
      <c r="LR13" s="35"/>
      <c r="LS13" s="35"/>
      <c r="LT13" s="35"/>
      <c r="LU13" s="35"/>
      <c r="LV13" s="35"/>
      <c r="LW13" s="35"/>
      <c r="LX13" s="35"/>
      <c r="LY13" s="35"/>
      <c r="LZ13" s="35"/>
      <c r="MA13" s="35"/>
      <c r="MB13" s="35"/>
      <c r="MC13" s="35"/>
      <c r="MD13" s="35"/>
      <c r="ME13" s="35"/>
      <c r="MF13" s="35"/>
      <c r="MG13" s="35"/>
      <c r="MH13" s="35"/>
      <c r="MI13" s="35"/>
      <c r="MJ13" s="35"/>
      <c r="MK13" s="35"/>
      <c r="ML13" s="35"/>
      <c r="MM13" s="35"/>
      <c r="MN13" s="35"/>
      <c r="MO13" s="35"/>
      <c r="MP13" s="35"/>
      <c r="MQ13" s="35"/>
      <c r="MR13" s="35"/>
      <c r="MS13" s="35"/>
      <c r="MT13" s="35"/>
      <c r="MU13" s="35"/>
      <c r="MV13" s="35"/>
      <c r="MW13" s="35"/>
      <c r="MX13" s="35"/>
      <c r="MY13" s="35"/>
      <c r="MZ13" s="35"/>
      <c r="NA13" s="35"/>
      <c r="NB13" s="35"/>
      <c r="NC13" s="35"/>
      <c r="ND13" s="35"/>
      <c r="NE13" s="35"/>
      <c r="NF13" s="35"/>
      <c r="NG13" s="35"/>
      <c r="NH13" s="35"/>
      <c r="NI13" s="35"/>
      <c r="NJ13" s="35"/>
      <c r="NK13" s="35"/>
      <c r="NL13" s="35"/>
      <c r="NM13" s="35"/>
      <c r="NN13" s="35"/>
      <c r="NO13" s="35"/>
      <c r="NP13" s="35"/>
      <c r="NQ13" s="35"/>
      <c r="NR13" s="35"/>
      <c r="NS13" s="35"/>
      <c r="NT13" s="35"/>
      <c r="NU13" s="35"/>
      <c r="NV13" s="35"/>
      <c r="NW13" s="35"/>
      <c r="NX13" s="35"/>
      <c r="NY13" s="35"/>
      <c r="NZ13" s="35"/>
      <c r="OA13" s="35"/>
      <c r="OB13" s="35"/>
      <c r="OC13" s="35"/>
      <c r="OD13" s="35"/>
      <c r="OE13" s="35"/>
      <c r="OF13" s="35"/>
      <c r="OG13" s="35"/>
      <c r="OH13" s="35"/>
      <c r="OI13" s="35"/>
      <c r="OJ13" s="35"/>
      <c r="OK13" s="35"/>
      <c r="OL13" s="35"/>
      <c r="OM13" s="35"/>
      <c r="ON13" s="35"/>
      <c r="OO13" s="35"/>
      <c r="OP13" s="35"/>
      <c r="OQ13" s="35"/>
      <c r="OR13" s="35"/>
      <c r="OS13" s="35"/>
      <c r="OT13" s="35"/>
      <c r="OU13" s="35"/>
      <c r="OV13" s="35"/>
      <c r="OW13" s="35"/>
      <c r="OX13" s="35"/>
      <c r="OY13" s="35"/>
      <c r="OZ13" s="35"/>
      <c r="PA13" s="35"/>
      <c r="PB13" s="35"/>
      <c r="PC13" s="35"/>
      <c r="PD13" s="35"/>
      <c r="PE13" s="35"/>
      <c r="PF13" s="35"/>
      <c r="PG13" s="35"/>
      <c r="PH13" s="35"/>
      <c r="PI13" s="35"/>
      <c r="PJ13" s="35"/>
      <c r="PK13" s="35"/>
      <c r="PL13" s="35"/>
      <c r="PM13" s="35"/>
      <c r="PN13" s="35"/>
      <c r="PO13" s="35"/>
      <c r="PP13" s="35"/>
      <c r="PQ13" s="35"/>
      <c r="PR13" s="35"/>
      <c r="PS13" s="35"/>
      <c r="PT13" s="35"/>
      <c r="PU13" s="35"/>
      <c r="PV13" s="35"/>
      <c r="PW13" s="35"/>
      <c r="PX13" s="35"/>
      <c r="PY13" s="35"/>
      <c r="PZ13" s="35"/>
      <c r="QA13" s="35"/>
      <c r="QB13" s="35"/>
      <c r="QC13" s="35"/>
      <c r="QD13" s="35"/>
      <c r="QE13" s="35"/>
      <c r="QF13" s="35"/>
      <c r="QG13" s="35"/>
      <c r="QH13" s="35"/>
      <c r="QI13" s="35"/>
      <c r="QJ13" s="35"/>
      <c r="QK13" s="35"/>
      <c r="QL13" s="35"/>
      <c r="QM13" s="35"/>
      <c r="QN13" s="35"/>
      <c r="QO13" s="35"/>
      <c r="QP13" s="35"/>
      <c r="QQ13" s="35"/>
      <c r="QR13" s="35"/>
      <c r="QS13" s="35"/>
      <c r="QT13" s="35"/>
      <c r="QU13" s="35"/>
      <c r="QV13" s="35"/>
      <c r="QW13" s="35"/>
      <c r="QX13" s="35"/>
      <c r="QY13" s="35"/>
      <c r="QZ13" s="35"/>
      <c r="RA13" s="35"/>
      <c r="RB13" s="35"/>
      <c r="RC13" s="35"/>
      <c r="RD13" s="35"/>
      <c r="RE13" s="35"/>
      <c r="RF13" s="35"/>
      <c r="RG13" s="35"/>
      <c r="RH13" s="35"/>
      <c r="RI13" s="35"/>
      <c r="RJ13" s="35"/>
      <c r="RK13" s="35"/>
      <c r="RL13" s="35"/>
      <c r="RM13" s="35"/>
      <c r="RN13" s="35"/>
      <c r="RO13" s="35"/>
      <c r="RP13" s="35"/>
      <c r="RQ13" s="35"/>
      <c r="RR13" s="35"/>
      <c r="RS13" s="35"/>
      <c r="RT13" s="35"/>
      <c r="RU13" s="35"/>
      <c r="RV13" s="35"/>
      <c r="RW13" s="35"/>
      <c r="RX13" s="35"/>
      <c r="RY13" s="35"/>
      <c r="RZ13" s="35"/>
      <c r="SA13" s="35"/>
      <c r="SB13" s="35"/>
      <c r="SC13" s="35"/>
      <c r="SD13" s="35"/>
      <c r="SE13" s="35"/>
      <c r="SF13" s="35"/>
      <c r="SG13" s="35"/>
      <c r="SH13" s="35"/>
      <c r="SI13" s="35"/>
      <c r="SJ13" s="35"/>
      <c r="SK13" s="35"/>
      <c r="SL13" s="35"/>
      <c r="SM13" s="35"/>
      <c r="SN13" s="35"/>
      <c r="SO13" s="35"/>
      <c r="SP13" s="35"/>
      <c r="SQ13" s="35"/>
      <c r="SR13" s="35"/>
      <c r="SS13" s="35"/>
      <c r="ST13" s="35"/>
      <c r="SU13" s="35"/>
      <c r="SV13" s="35"/>
      <c r="SW13" s="35"/>
      <c r="SX13" s="35"/>
      <c r="SY13" s="35"/>
      <c r="SZ13" s="35"/>
      <c r="TA13" s="35"/>
      <c r="TB13" s="35"/>
      <c r="TC13" s="35"/>
      <c r="TD13" s="35"/>
      <c r="TE13" s="35"/>
      <c r="TF13" s="35"/>
      <c r="TG13" s="35"/>
      <c r="TH13" s="35"/>
      <c r="TI13" s="35"/>
      <c r="TJ13" s="35"/>
      <c r="TK13" s="35"/>
      <c r="TL13" s="35"/>
      <c r="TM13" s="35"/>
      <c r="TN13" s="35"/>
      <c r="TO13" s="35"/>
      <c r="TP13" s="35"/>
      <c r="TQ13" s="35"/>
      <c r="TR13" s="35"/>
      <c r="TS13" s="35"/>
      <c r="TT13" s="35"/>
      <c r="TU13" s="35"/>
      <c r="TV13" s="35"/>
      <c r="TW13" s="35"/>
      <c r="TX13" s="35"/>
      <c r="TY13" s="35"/>
      <c r="TZ13" s="35"/>
      <c r="UA13" s="35"/>
      <c r="UB13" s="35"/>
      <c r="UC13" s="35"/>
      <c r="UD13" s="35"/>
      <c r="UE13" s="35"/>
      <c r="UF13" s="35"/>
      <c r="UG13" s="35"/>
      <c r="UH13" s="35"/>
      <c r="UI13" s="35"/>
      <c r="UJ13" s="35"/>
      <c r="UK13" s="35"/>
      <c r="UL13" s="35"/>
      <c r="UM13" s="35"/>
      <c r="UN13" s="35"/>
      <c r="UO13" s="35"/>
      <c r="UP13" s="35"/>
      <c r="UQ13" s="35"/>
      <c r="UR13" s="35"/>
      <c r="US13" s="35"/>
      <c r="UT13" s="35"/>
      <c r="UU13" s="35"/>
      <c r="UV13" s="35"/>
      <c r="UW13" s="35"/>
      <c r="UX13" s="35"/>
      <c r="UY13" s="35"/>
      <c r="UZ13" s="35"/>
      <c r="VA13" s="35"/>
      <c r="VB13" s="35"/>
      <c r="VC13" s="35"/>
      <c r="VD13" s="35"/>
      <c r="VE13" s="35"/>
      <c r="VF13" s="35"/>
      <c r="VG13" s="35"/>
      <c r="VH13" s="35"/>
      <c r="VI13" s="35"/>
      <c r="VJ13" s="35"/>
      <c r="VK13" s="35"/>
      <c r="VL13" s="35"/>
      <c r="VM13" s="35"/>
      <c r="VN13" s="35"/>
      <c r="VO13" s="35"/>
      <c r="VP13" s="35"/>
      <c r="VQ13" s="35"/>
      <c r="VR13" s="35"/>
      <c r="VS13" s="35"/>
      <c r="VT13" s="35"/>
      <c r="VU13" s="35"/>
      <c r="VV13" s="35"/>
      <c r="VW13" s="35"/>
      <c r="VX13" s="35"/>
      <c r="VY13" s="35"/>
      <c r="VZ13" s="35"/>
      <c r="WA13" s="35"/>
      <c r="WB13" s="35"/>
      <c r="WC13" s="35"/>
      <c r="WD13" s="35"/>
      <c r="WE13" s="35"/>
      <c r="WF13" s="35"/>
      <c r="WG13" s="35"/>
      <c r="WH13" s="35"/>
      <c r="WI13" s="35"/>
      <c r="WJ13" s="35"/>
      <c r="WK13" s="35"/>
      <c r="WL13" s="35"/>
      <c r="WM13" s="35"/>
      <c r="WN13" s="35"/>
      <c r="WO13" s="35"/>
      <c r="WP13" s="35"/>
      <c r="WQ13" s="35"/>
      <c r="WR13" s="35"/>
      <c r="WS13" s="35"/>
      <c r="WT13" s="35"/>
      <c r="WU13" s="35"/>
      <c r="WV13" s="35"/>
      <c r="WW13" s="35"/>
      <c r="WX13" s="35"/>
      <c r="WY13" s="35"/>
      <c r="WZ13" s="35"/>
      <c r="XA13" s="35"/>
      <c r="XB13" s="35"/>
      <c r="XC13" s="35"/>
      <c r="XD13" s="35"/>
      <c r="XE13" s="35"/>
      <c r="XF13" s="35"/>
      <c r="XG13" s="35"/>
      <c r="XH13" s="35"/>
      <c r="XI13" s="35"/>
      <c r="XJ13" s="35"/>
      <c r="XK13" s="35"/>
      <c r="XL13" s="35"/>
      <c r="XM13" s="35"/>
      <c r="XN13" s="35"/>
      <c r="XO13" s="35"/>
      <c r="XP13" s="35"/>
      <c r="XQ13" s="35"/>
      <c r="XR13" s="35"/>
      <c r="XS13" s="35"/>
      <c r="XT13" s="35"/>
      <c r="XU13" s="35"/>
      <c r="XV13" s="35"/>
      <c r="XW13" s="35"/>
      <c r="XX13" s="35"/>
      <c r="XY13" s="35"/>
      <c r="XZ13" s="35"/>
      <c r="YA13" s="35"/>
      <c r="YB13" s="35"/>
      <c r="YC13" s="35"/>
      <c r="YD13" s="35"/>
      <c r="YE13" s="35"/>
      <c r="YF13" s="35"/>
      <c r="YG13" s="35"/>
      <c r="YH13" s="35"/>
      <c r="YI13" s="35"/>
      <c r="YJ13" s="35"/>
      <c r="YK13" s="35"/>
      <c r="YL13" s="35"/>
      <c r="YM13" s="35"/>
      <c r="YN13" s="35"/>
      <c r="YO13" s="35"/>
      <c r="YP13" s="35"/>
      <c r="YQ13" s="35"/>
      <c r="YR13" s="35"/>
      <c r="YS13" s="35"/>
      <c r="YT13" s="35"/>
      <c r="YU13" s="35"/>
      <c r="YV13" s="35"/>
      <c r="YW13" s="35"/>
      <c r="YX13" s="35"/>
      <c r="YY13" s="35"/>
      <c r="YZ13" s="35"/>
      <c r="ZA13" s="35"/>
      <c r="ZB13" s="35"/>
      <c r="ZC13" s="35"/>
      <c r="ZD13" s="35"/>
      <c r="ZE13" s="35"/>
      <c r="ZF13" s="35"/>
      <c r="ZG13" s="35"/>
      <c r="ZH13" s="35"/>
      <c r="ZI13" s="35"/>
      <c r="ZJ13" s="35"/>
      <c r="ZK13" s="35"/>
      <c r="ZL13" s="35"/>
      <c r="ZM13" s="35"/>
      <c r="ZN13" s="35"/>
      <c r="ZO13" s="35"/>
      <c r="ZP13" s="35"/>
      <c r="ZQ13" s="35"/>
      <c r="ZR13" s="35"/>
      <c r="ZS13" s="35"/>
      <c r="ZT13" s="35"/>
      <c r="ZU13" s="35"/>
      <c r="ZV13" s="35"/>
      <c r="ZW13" s="35"/>
      <c r="ZX13" s="35"/>
      <c r="ZY13" s="35"/>
      <c r="ZZ13" s="35"/>
      <c r="AAA13" s="35"/>
      <c r="AAB13" s="35"/>
      <c r="AAC13" s="35"/>
      <c r="AAD13" s="35"/>
      <c r="AAE13" s="35"/>
      <c r="AAF13" s="35"/>
      <c r="AAG13" s="35"/>
      <c r="AAH13" s="35"/>
      <c r="AAI13" s="35"/>
      <c r="AAJ13" s="35"/>
      <c r="AAK13" s="35"/>
      <c r="AAL13" s="35"/>
      <c r="AAM13" s="35"/>
      <c r="AAN13" s="35"/>
      <c r="AAO13" s="35"/>
      <c r="AAP13" s="35"/>
      <c r="AAQ13" s="35"/>
      <c r="AAR13" s="35"/>
      <c r="AAS13" s="35"/>
      <c r="AAT13" s="35"/>
      <c r="AAU13" s="35"/>
      <c r="AAV13" s="35"/>
      <c r="AAW13" s="35"/>
      <c r="AAX13" s="35"/>
      <c r="AAY13" s="35"/>
      <c r="AAZ13" s="35"/>
      <c r="ABA13" s="35"/>
      <c r="ABB13" s="35"/>
      <c r="ABC13" s="35"/>
      <c r="ABD13" s="35"/>
      <c r="ABE13" s="35"/>
      <c r="ABF13" s="35"/>
      <c r="ABG13" s="35"/>
      <c r="ABH13" s="35"/>
      <c r="ABI13" s="35"/>
      <c r="ABJ13" s="35"/>
      <c r="ABK13" s="35"/>
      <c r="ABL13" s="35"/>
      <c r="ABM13" s="35"/>
      <c r="ABN13" s="35"/>
      <c r="ABO13" s="35"/>
      <c r="ABP13" s="35"/>
      <c r="ABQ13" s="35"/>
      <c r="ABR13" s="35"/>
      <c r="ABS13" s="35"/>
      <c r="ABT13" s="35"/>
      <c r="ABU13" s="35"/>
      <c r="ABV13" s="35"/>
      <c r="ABW13" s="35"/>
      <c r="ABX13" s="35"/>
      <c r="ABY13" s="35"/>
      <c r="ABZ13" s="35"/>
      <c r="ACA13" s="35"/>
      <c r="ACB13" s="35"/>
      <c r="ACC13" s="35"/>
      <c r="ACD13" s="35"/>
      <c r="ACE13" s="35"/>
      <c r="ACF13" s="35"/>
      <c r="ACG13" s="35"/>
      <c r="ACH13" s="35"/>
      <c r="ACI13" s="35"/>
      <c r="ACJ13" s="35"/>
      <c r="ACK13" s="35"/>
      <c r="ACL13" s="35"/>
      <c r="ACM13" s="35"/>
      <c r="ACN13" s="35"/>
      <c r="ACO13" s="35"/>
      <c r="ACP13" s="35"/>
      <c r="ACQ13" s="35"/>
      <c r="ACR13" s="35"/>
      <c r="ACS13" s="35"/>
      <c r="ACT13" s="35"/>
      <c r="ACU13" s="35"/>
      <c r="ACV13" s="35"/>
      <c r="ACW13" s="35"/>
      <c r="ACX13" s="35"/>
      <c r="ACY13" s="35"/>
      <c r="ACZ13" s="35"/>
      <c r="ADA13" s="35"/>
      <c r="ADB13" s="35"/>
      <c r="ADC13" s="35"/>
      <c r="ADD13" s="35"/>
      <c r="ADE13" s="35"/>
      <c r="ADF13" s="35"/>
      <c r="ADG13" s="35"/>
      <c r="ADH13" s="35"/>
      <c r="ADI13" s="35"/>
      <c r="ADJ13" s="35"/>
      <c r="ADK13" s="35"/>
      <c r="ADL13" s="35"/>
      <c r="ADM13" s="35"/>
      <c r="ADN13" s="35"/>
      <c r="ADO13" s="35"/>
      <c r="ADP13" s="35"/>
      <c r="ADQ13" s="35"/>
      <c r="ADR13" s="35"/>
      <c r="ADS13" s="35"/>
      <c r="ADT13" s="35"/>
      <c r="ADU13" s="35"/>
      <c r="ADV13" s="35"/>
      <c r="ADW13" s="35"/>
      <c r="ADX13" s="35"/>
      <c r="ADY13" s="35"/>
      <c r="ADZ13" s="35"/>
      <c r="AEA13" s="35"/>
      <c r="AEB13" s="35"/>
      <c r="AEC13" s="35"/>
      <c r="AED13" s="35"/>
      <c r="AEE13" s="35"/>
      <c r="AEF13" s="35"/>
      <c r="AEG13" s="35"/>
      <c r="AEH13" s="35"/>
      <c r="AEI13" s="35"/>
      <c r="AEJ13" s="35"/>
      <c r="AEK13" s="35"/>
      <c r="AEL13" s="35"/>
      <c r="AEM13" s="35"/>
      <c r="AEN13" s="35"/>
      <c r="AEO13" s="35"/>
      <c r="AEP13" s="35"/>
      <c r="AEQ13" s="35"/>
      <c r="AER13" s="35"/>
      <c r="AES13" s="35"/>
      <c r="AET13" s="35"/>
      <c r="AEU13" s="35"/>
      <c r="AEV13" s="35"/>
      <c r="AEW13" s="35"/>
      <c r="AEX13" s="35"/>
      <c r="AEY13" s="35"/>
      <c r="AEZ13" s="35"/>
      <c r="AFA13" s="35"/>
      <c r="AFB13" s="35"/>
      <c r="AFC13" s="35"/>
      <c r="AFD13" s="35"/>
      <c r="AFE13" s="35"/>
      <c r="AFF13" s="35"/>
      <c r="AFG13" s="35"/>
      <c r="AFH13" s="35"/>
      <c r="AFI13" s="35"/>
      <c r="AFJ13" s="35"/>
      <c r="AFK13" s="35"/>
      <c r="AFL13" s="35"/>
      <c r="AFM13" s="35"/>
      <c r="AFN13" s="35"/>
      <c r="AFO13" s="35"/>
      <c r="AFP13" s="35"/>
      <c r="AFQ13" s="35"/>
      <c r="AFR13" s="35"/>
      <c r="AFS13" s="35"/>
      <c r="AFT13" s="35"/>
      <c r="AFU13" s="35"/>
      <c r="AFV13" s="35"/>
      <c r="AFW13" s="35"/>
      <c r="AFX13" s="35"/>
      <c r="AFY13" s="35"/>
      <c r="AFZ13" s="35"/>
      <c r="AGA13" s="35"/>
      <c r="AGB13" s="35"/>
      <c r="AGC13" s="35"/>
      <c r="AGD13" s="35"/>
      <c r="AGE13" s="35"/>
      <c r="AGF13" s="35"/>
      <c r="AGG13" s="35"/>
      <c r="AGH13" s="35"/>
      <c r="AGI13" s="35"/>
      <c r="AGJ13" s="35"/>
      <c r="AGK13" s="35"/>
      <c r="AGL13" s="35"/>
      <c r="AGM13" s="35"/>
      <c r="AGN13" s="35"/>
      <c r="AGO13" s="35"/>
      <c r="AGP13" s="35"/>
      <c r="AGQ13" s="35"/>
      <c r="AGR13" s="35"/>
      <c r="AGS13" s="35"/>
      <c r="AGT13" s="35"/>
      <c r="AGU13" s="35"/>
      <c r="AGV13" s="35"/>
      <c r="AGW13" s="35"/>
      <c r="AGX13" s="35"/>
      <c r="AGY13" s="35"/>
      <c r="AGZ13" s="35"/>
      <c r="AHA13" s="35"/>
      <c r="AHB13" s="35"/>
      <c r="AHC13" s="35"/>
      <c r="AHD13" s="35"/>
      <c r="AHE13" s="35"/>
      <c r="AHF13" s="35"/>
      <c r="AHG13" s="35"/>
      <c r="AHH13" s="35"/>
      <c r="AHI13" s="35"/>
      <c r="AHJ13" s="35"/>
      <c r="AHK13" s="35"/>
      <c r="AHL13" s="35"/>
      <c r="AHM13" s="35"/>
      <c r="AHN13" s="35"/>
      <c r="AHO13" s="35"/>
      <c r="AHP13" s="35"/>
      <c r="AHQ13" s="35"/>
      <c r="AHR13" s="35"/>
      <c r="AHS13" s="35"/>
      <c r="AHT13" s="35"/>
      <c r="AHU13" s="35"/>
      <c r="AHV13" s="35"/>
      <c r="AHW13" s="35"/>
      <c r="AHX13" s="35"/>
      <c r="AHY13" s="35"/>
      <c r="AHZ13" s="35"/>
      <c r="AIA13" s="35"/>
      <c r="AIB13" s="35"/>
      <c r="AIC13" s="35"/>
      <c r="AID13" s="35"/>
      <c r="AIE13" s="35"/>
      <c r="AIF13" s="35"/>
      <c r="AIG13" s="35"/>
      <c r="AIH13" s="35"/>
      <c r="AII13" s="35"/>
      <c r="AIJ13" s="35"/>
      <c r="AIK13" s="35"/>
      <c r="AIL13" s="35"/>
      <c r="AIM13" s="35"/>
      <c r="AIN13" s="35"/>
      <c r="AIO13" s="35"/>
      <c r="AIP13" s="35"/>
      <c r="AIQ13" s="35"/>
      <c r="AIR13" s="35"/>
      <c r="AIS13" s="35"/>
      <c r="AIT13" s="35"/>
      <c r="AIU13" s="35"/>
      <c r="AIV13" s="35"/>
      <c r="AIW13" s="35"/>
      <c r="AIX13" s="35"/>
      <c r="AIY13" s="35"/>
      <c r="AIZ13" s="35"/>
      <c r="AJA13" s="35"/>
      <c r="AJB13" s="35"/>
      <c r="AJC13" s="35"/>
      <c r="AJD13" s="35"/>
      <c r="AJE13" s="35"/>
      <c r="AJF13" s="35"/>
      <c r="AJG13" s="35"/>
      <c r="AJH13" s="35"/>
      <c r="AJI13" s="35"/>
      <c r="AJJ13" s="35"/>
      <c r="AJK13" s="35"/>
      <c r="AJL13" s="35"/>
      <c r="AJM13" s="35"/>
      <c r="AJN13" s="35"/>
      <c r="AJO13" s="35"/>
      <c r="AJP13" s="35"/>
      <c r="AJQ13" s="35"/>
      <c r="AJR13" s="35"/>
      <c r="AJS13" s="35"/>
      <c r="AJT13" s="35"/>
      <c r="AJU13" s="35"/>
      <c r="AJV13" s="35"/>
      <c r="AJW13" s="35"/>
      <c r="AJX13" s="35"/>
      <c r="AJY13" s="35"/>
      <c r="AJZ13" s="35"/>
      <c r="AKA13" s="35"/>
      <c r="AKB13" s="35"/>
      <c r="AKC13" s="35"/>
      <c r="AKD13" s="35"/>
      <c r="AKE13" s="35"/>
      <c r="AKF13" s="35"/>
      <c r="AKG13" s="35"/>
      <c r="AKH13" s="35"/>
      <c r="AKI13" s="35"/>
      <c r="AKJ13" s="35"/>
      <c r="AKK13" s="35"/>
      <c r="AKL13" s="35"/>
      <c r="AKM13" s="35"/>
      <c r="AKN13" s="35"/>
      <c r="AKO13" s="35"/>
      <c r="AKP13" s="35"/>
      <c r="AKQ13" s="35"/>
      <c r="AKR13" s="35"/>
      <c r="AKS13" s="35"/>
    </row>
    <row r="14" customFormat="false" ht="12.8" hidden="true" customHeight="true" outlineLevel="1" collapsed="false">
      <c r="A14" s="40"/>
      <c r="B14" s="40"/>
      <c r="C14" s="40"/>
      <c r="D14" s="40"/>
      <c r="E14" s="40"/>
      <c r="F14" s="40"/>
      <c r="G14" s="40"/>
      <c r="H14" s="40"/>
      <c r="I14" s="40"/>
      <c r="J14" s="40"/>
      <c r="K14" s="40"/>
      <c r="L14" s="40"/>
      <c r="M14" s="40"/>
      <c r="N14" s="40"/>
      <c r="O14" s="40"/>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5"/>
      <c r="CD14" s="35"/>
      <c r="CE14" s="35"/>
      <c r="CF14" s="35"/>
      <c r="CG14" s="35"/>
      <c r="CH14" s="35"/>
      <c r="CI14" s="35"/>
      <c r="CJ14" s="35"/>
      <c r="CK14" s="35"/>
      <c r="CL14" s="35"/>
      <c r="CM14" s="35"/>
      <c r="CN14" s="35"/>
      <c r="CO14" s="35"/>
      <c r="CP14" s="35"/>
      <c r="CQ14" s="35"/>
      <c r="CR14" s="35"/>
      <c r="CS14" s="35"/>
      <c r="CT14" s="35"/>
      <c r="CU14" s="35"/>
      <c r="CV14" s="35"/>
      <c r="CW14" s="35"/>
      <c r="CX14" s="35"/>
      <c r="CY14" s="35"/>
      <c r="CZ14" s="35"/>
      <c r="DA14" s="35"/>
      <c r="DB14" s="35"/>
      <c r="DC14" s="35"/>
      <c r="DD14" s="35"/>
      <c r="DE14" s="35"/>
      <c r="DF14" s="35"/>
      <c r="DG14" s="35"/>
      <c r="DH14" s="35"/>
      <c r="DI14" s="35"/>
      <c r="DJ14" s="35"/>
      <c r="DK14" s="35"/>
      <c r="DL14" s="35"/>
      <c r="DM14" s="35"/>
      <c r="DN14" s="35"/>
      <c r="DO14" s="35"/>
      <c r="DP14" s="35"/>
      <c r="DQ14" s="35"/>
      <c r="DR14" s="35"/>
      <c r="DS14" s="35"/>
      <c r="DT14" s="35"/>
      <c r="DU14" s="35"/>
      <c r="DV14" s="35"/>
      <c r="DW14" s="35"/>
      <c r="DX14" s="35"/>
      <c r="DY14" s="35"/>
      <c r="DZ14" s="35"/>
      <c r="EA14" s="35"/>
      <c r="EB14" s="35"/>
      <c r="EC14" s="35"/>
      <c r="ED14" s="35"/>
      <c r="EE14" s="35"/>
      <c r="EF14" s="35"/>
      <c r="EG14" s="35"/>
      <c r="EH14" s="35"/>
      <c r="EI14" s="35"/>
      <c r="EJ14" s="35"/>
      <c r="EK14" s="35"/>
      <c r="EL14" s="35"/>
      <c r="EM14" s="35"/>
      <c r="EN14" s="35"/>
      <c r="EO14" s="35"/>
      <c r="EP14" s="35"/>
      <c r="EQ14" s="35"/>
      <c r="ER14" s="35"/>
      <c r="ES14" s="35"/>
      <c r="ET14" s="35"/>
      <c r="EU14" s="35"/>
      <c r="EV14" s="35"/>
      <c r="EW14" s="35"/>
      <c r="EX14" s="35"/>
      <c r="EY14" s="35"/>
      <c r="EZ14" s="35"/>
      <c r="FA14" s="35"/>
      <c r="FB14" s="35"/>
      <c r="FC14" s="35"/>
      <c r="FD14" s="35"/>
      <c r="FE14" s="35"/>
      <c r="FF14" s="35"/>
      <c r="FG14" s="35"/>
      <c r="FH14" s="35"/>
      <c r="FI14" s="35"/>
      <c r="FJ14" s="35"/>
      <c r="FK14" s="35"/>
      <c r="FL14" s="35"/>
      <c r="FM14" s="35"/>
      <c r="FN14" s="35"/>
      <c r="FO14" s="35"/>
      <c r="FP14" s="35"/>
      <c r="FQ14" s="35"/>
      <c r="FR14" s="35"/>
      <c r="FS14" s="35"/>
      <c r="FT14" s="35"/>
      <c r="FU14" s="35"/>
      <c r="FV14" s="35"/>
      <c r="FW14" s="35"/>
      <c r="FX14" s="35"/>
      <c r="FY14" s="35"/>
      <c r="FZ14" s="35"/>
      <c r="GA14" s="35"/>
      <c r="GB14" s="35"/>
      <c r="GC14" s="35"/>
      <c r="GD14" s="35"/>
      <c r="GE14" s="35"/>
      <c r="GF14" s="35"/>
      <c r="GG14" s="35"/>
      <c r="GH14" s="35"/>
      <c r="GI14" s="35"/>
      <c r="GJ14" s="35"/>
      <c r="GK14" s="35"/>
      <c r="GL14" s="35"/>
      <c r="GM14" s="35"/>
      <c r="GN14" s="35"/>
      <c r="GO14" s="35"/>
      <c r="GP14" s="35"/>
      <c r="GQ14" s="35"/>
      <c r="GR14" s="35"/>
      <c r="GS14" s="35"/>
      <c r="GT14" s="35"/>
      <c r="GU14" s="35"/>
      <c r="GV14" s="35"/>
      <c r="GW14" s="35"/>
      <c r="GX14" s="35"/>
      <c r="GY14" s="35"/>
      <c r="GZ14" s="35"/>
      <c r="HA14" s="35"/>
      <c r="HB14" s="35"/>
      <c r="HC14" s="35"/>
      <c r="HD14" s="35"/>
      <c r="HE14" s="35"/>
      <c r="HF14" s="35"/>
      <c r="HG14" s="35"/>
      <c r="HH14" s="35"/>
      <c r="HI14" s="35"/>
      <c r="HJ14" s="35"/>
      <c r="HK14" s="35"/>
      <c r="HL14" s="35"/>
      <c r="HM14" s="35"/>
      <c r="HN14" s="35"/>
      <c r="HO14" s="35"/>
      <c r="HP14" s="35"/>
      <c r="HQ14" s="35"/>
      <c r="HR14" s="35"/>
      <c r="HS14" s="35"/>
      <c r="HT14" s="35"/>
      <c r="HU14" s="35"/>
      <c r="HV14" s="35"/>
      <c r="HW14" s="35"/>
      <c r="HX14" s="35"/>
      <c r="HY14" s="35"/>
      <c r="HZ14" s="35"/>
      <c r="IA14" s="35"/>
      <c r="IB14" s="35"/>
      <c r="IC14" s="35"/>
      <c r="ID14" s="35"/>
      <c r="IE14" s="35"/>
      <c r="IF14" s="35"/>
      <c r="IG14" s="35"/>
      <c r="IH14" s="35"/>
      <c r="II14" s="35"/>
      <c r="IJ14" s="35"/>
      <c r="IK14" s="35"/>
      <c r="IL14" s="35"/>
      <c r="IM14" s="35"/>
      <c r="IN14" s="35"/>
      <c r="IO14" s="35"/>
      <c r="IP14" s="35"/>
      <c r="IQ14" s="35"/>
      <c r="IR14" s="35"/>
      <c r="IS14" s="35"/>
      <c r="IT14" s="35"/>
      <c r="IU14" s="35"/>
      <c r="IV14" s="35"/>
      <c r="IW14" s="35"/>
      <c r="IX14" s="35"/>
      <c r="IY14" s="35"/>
      <c r="IZ14" s="35"/>
      <c r="JA14" s="35"/>
      <c r="JB14" s="35"/>
      <c r="JC14" s="35"/>
      <c r="JD14" s="35"/>
      <c r="JE14" s="35"/>
      <c r="JF14" s="35"/>
      <c r="JG14" s="35"/>
      <c r="JH14" s="35"/>
      <c r="JI14" s="35"/>
      <c r="JJ14" s="35"/>
      <c r="JK14" s="35"/>
      <c r="JL14" s="35"/>
      <c r="JM14" s="35"/>
      <c r="JN14" s="35"/>
      <c r="JO14" s="35"/>
      <c r="JP14" s="35"/>
      <c r="JQ14" s="35"/>
      <c r="JR14" s="35"/>
      <c r="JS14" s="35"/>
      <c r="JT14" s="35"/>
      <c r="JU14" s="35"/>
      <c r="JV14" s="35"/>
      <c r="JW14" s="35"/>
      <c r="JX14" s="35"/>
      <c r="JY14" s="35"/>
      <c r="JZ14" s="35"/>
      <c r="KA14" s="35"/>
      <c r="KB14" s="35"/>
      <c r="KC14" s="35"/>
      <c r="KD14" s="35"/>
      <c r="KE14" s="35"/>
      <c r="KF14" s="35"/>
      <c r="KG14" s="35"/>
      <c r="KH14" s="35"/>
      <c r="KI14" s="35"/>
      <c r="KJ14" s="35"/>
      <c r="KK14" s="35"/>
      <c r="KL14" s="35"/>
      <c r="KM14" s="35"/>
      <c r="KN14" s="35"/>
      <c r="KO14" s="35"/>
      <c r="KP14" s="35"/>
      <c r="KQ14" s="35"/>
      <c r="KR14" s="35"/>
      <c r="KS14" s="35"/>
      <c r="KT14" s="35"/>
      <c r="KU14" s="35"/>
      <c r="KV14" s="35"/>
      <c r="KW14" s="35"/>
      <c r="KX14" s="35"/>
      <c r="KY14" s="35"/>
      <c r="KZ14" s="35"/>
      <c r="LA14" s="35"/>
      <c r="LB14" s="35"/>
      <c r="LC14" s="35"/>
      <c r="LD14" s="35"/>
      <c r="LE14" s="35"/>
      <c r="LF14" s="35"/>
      <c r="LG14" s="35"/>
      <c r="LH14" s="35"/>
      <c r="LI14" s="35"/>
      <c r="LJ14" s="35"/>
      <c r="LK14" s="35"/>
      <c r="LL14" s="35"/>
      <c r="LM14" s="35"/>
      <c r="LN14" s="35"/>
      <c r="LO14" s="35"/>
      <c r="LP14" s="35"/>
      <c r="LQ14" s="35"/>
      <c r="LR14" s="35"/>
      <c r="LS14" s="35"/>
      <c r="LT14" s="35"/>
      <c r="LU14" s="35"/>
      <c r="LV14" s="35"/>
      <c r="LW14" s="35"/>
      <c r="LX14" s="35"/>
      <c r="LY14" s="35"/>
      <c r="LZ14" s="35"/>
      <c r="MA14" s="35"/>
      <c r="MB14" s="35"/>
      <c r="MC14" s="35"/>
      <c r="MD14" s="35"/>
      <c r="ME14" s="35"/>
      <c r="MF14" s="35"/>
      <c r="MG14" s="35"/>
      <c r="MH14" s="35"/>
      <c r="MI14" s="35"/>
      <c r="MJ14" s="35"/>
      <c r="MK14" s="35"/>
      <c r="ML14" s="35"/>
      <c r="MM14" s="35"/>
      <c r="MN14" s="35"/>
      <c r="MO14" s="35"/>
      <c r="MP14" s="35"/>
      <c r="MQ14" s="35"/>
      <c r="MR14" s="35"/>
      <c r="MS14" s="35"/>
      <c r="MT14" s="35"/>
      <c r="MU14" s="35"/>
      <c r="MV14" s="35"/>
      <c r="MW14" s="35"/>
      <c r="MX14" s="35"/>
      <c r="MY14" s="35"/>
      <c r="MZ14" s="35"/>
      <c r="NA14" s="35"/>
      <c r="NB14" s="35"/>
      <c r="NC14" s="35"/>
      <c r="ND14" s="35"/>
      <c r="NE14" s="35"/>
      <c r="NF14" s="35"/>
      <c r="NG14" s="35"/>
      <c r="NH14" s="35"/>
      <c r="NI14" s="35"/>
      <c r="NJ14" s="35"/>
      <c r="NK14" s="35"/>
      <c r="NL14" s="35"/>
      <c r="NM14" s="35"/>
      <c r="NN14" s="35"/>
      <c r="NO14" s="35"/>
      <c r="NP14" s="35"/>
      <c r="NQ14" s="35"/>
      <c r="NR14" s="35"/>
      <c r="NS14" s="35"/>
      <c r="NT14" s="35"/>
      <c r="NU14" s="35"/>
      <c r="NV14" s="35"/>
      <c r="NW14" s="35"/>
      <c r="NX14" s="35"/>
      <c r="NY14" s="35"/>
      <c r="NZ14" s="35"/>
      <c r="OA14" s="35"/>
      <c r="OB14" s="35"/>
      <c r="OC14" s="35"/>
      <c r="OD14" s="35"/>
      <c r="OE14" s="35"/>
      <c r="OF14" s="35"/>
      <c r="OG14" s="35"/>
      <c r="OH14" s="35"/>
      <c r="OI14" s="35"/>
      <c r="OJ14" s="35"/>
      <c r="OK14" s="35"/>
      <c r="OL14" s="35"/>
      <c r="OM14" s="35"/>
      <c r="ON14" s="35"/>
      <c r="OO14" s="35"/>
      <c r="OP14" s="35"/>
      <c r="OQ14" s="35"/>
      <c r="OR14" s="35"/>
      <c r="OS14" s="35"/>
      <c r="OT14" s="35"/>
      <c r="OU14" s="35"/>
      <c r="OV14" s="35"/>
      <c r="OW14" s="35"/>
      <c r="OX14" s="35"/>
      <c r="OY14" s="35"/>
      <c r="OZ14" s="35"/>
      <c r="PA14" s="35"/>
      <c r="PB14" s="35"/>
      <c r="PC14" s="35"/>
      <c r="PD14" s="35"/>
      <c r="PE14" s="35"/>
      <c r="PF14" s="35"/>
      <c r="PG14" s="35"/>
      <c r="PH14" s="35"/>
      <c r="PI14" s="35"/>
      <c r="PJ14" s="35"/>
      <c r="PK14" s="35"/>
      <c r="PL14" s="35"/>
      <c r="PM14" s="35"/>
      <c r="PN14" s="35"/>
      <c r="PO14" s="35"/>
      <c r="PP14" s="35"/>
      <c r="PQ14" s="35"/>
      <c r="PR14" s="35"/>
      <c r="PS14" s="35"/>
      <c r="PT14" s="35"/>
      <c r="PU14" s="35"/>
      <c r="PV14" s="35"/>
      <c r="PW14" s="35"/>
      <c r="PX14" s="35"/>
      <c r="PY14" s="35"/>
      <c r="PZ14" s="35"/>
      <c r="QA14" s="35"/>
      <c r="QB14" s="35"/>
      <c r="QC14" s="35"/>
      <c r="QD14" s="35"/>
      <c r="QE14" s="35"/>
      <c r="QF14" s="35"/>
      <c r="QG14" s="35"/>
      <c r="QH14" s="35"/>
      <c r="QI14" s="35"/>
      <c r="QJ14" s="35"/>
      <c r="QK14" s="35"/>
      <c r="QL14" s="35"/>
      <c r="QM14" s="35"/>
      <c r="QN14" s="35"/>
      <c r="QO14" s="35"/>
      <c r="QP14" s="35"/>
      <c r="QQ14" s="35"/>
      <c r="QR14" s="35"/>
      <c r="QS14" s="35"/>
      <c r="QT14" s="35"/>
      <c r="QU14" s="35"/>
      <c r="QV14" s="35"/>
      <c r="QW14" s="35"/>
      <c r="QX14" s="35"/>
      <c r="QY14" s="35"/>
      <c r="QZ14" s="35"/>
      <c r="RA14" s="35"/>
      <c r="RB14" s="35"/>
      <c r="RC14" s="35"/>
      <c r="RD14" s="35"/>
      <c r="RE14" s="35"/>
      <c r="RF14" s="35"/>
      <c r="RG14" s="35"/>
      <c r="RH14" s="35"/>
      <c r="RI14" s="35"/>
      <c r="RJ14" s="35"/>
      <c r="RK14" s="35"/>
      <c r="RL14" s="35"/>
      <c r="RM14" s="35"/>
      <c r="RN14" s="35"/>
      <c r="RO14" s="35"/>
      <c r="RP14" s="35"/>
      <c r="RQ14" s="35"/>
      <c r="RR14" s="35"/>
      <c r="RS14" s="35"/>
      <c r="RT14" s="35"/>
      <c r="RU14" s="35"/>
      <c r="RV14" s="35"/>
      <c r="RW14" s="35"/>
      <c r="RX14" s="35"/>
      <c r="RY14" s="35"/>
      <c r="RZ14" s="35"/>
      <c r="SA14" s="35"/>
      <c r="SB14" s="35"/>
      <c r="SC14" s="35"/>
      <c r="SD14" s="35"/>
      <c r="SE14" s="35"/>
      <c r="SF14" s="35"/>
      <c r="SG14" s="35"/>
      <c r="SH14" s="35"/>
      <c r="SI14" s="35"/>
      <c r="SJ14" s="35"/>
      <c r="SK14" s="35"/>
      <c r="SL14" s="35"/>
      <c r="SM14" s="35"/>
      <c r="SN14" s="35"/>
      <c r="SO14" s="35"/>
      <c r="SP14" s="35"/>
      <c r="SQ14" s="35"/>
      <c r="SR14" s="35"/>
      <c r="SS14" s="35"/>
      <c r="ST14" s="35"/>
      <c r="SU14" s="35"/>
      <c r="SV14" s="35"/>
      <c r="SW14" s="35"/>
      <c r="SX14" s="35"/>
      <c r="SY14" s="35"/>
      <c r="SZ14" s="35"/>
      <c r="TA14" s="35"/>
      <c r="TB14" s="35"/>
      <c r="TC14" s="35"/>
      <c r="TD14" s="35"/>
      <c r="TE14" s="35"/>
      <c r="TF14" s="35"/>
      <c r="TG14" s="35"/>
      <c r="TH14" s="35"/>
      <c r="TI14" s="35"/>
      <c r="TJ14" s="35"/>
      <c r="TK14" s="35"/>
      <c r="TL14" s="35"/>
      <c r="TM14" s="35"/>
      <c r="TN14" s="35"/>
      <c r="TO14" s="35"/>
      <c r="TP14" s="35"/>
      <c r="TQ14" s="35"/>
      <c r="TR14" s="35"/>
      <c r="TS14" s="35"/>
      <c r="TT14" s="35"/>
      <c r="TU14" s="35"/>
      <c r="TV14" s="35"/>
      <c r="TW14" s="35"/>
      <c r="TX14" s="35"/>
      <c r="TY14" s="35"/>
      <c r="TZ14" s="35"/>
      <c r="UA14" s="35"/>
      <c r="UB14" s="35"/>
      <c r="UC14" s="35"/>
      <c r="UD14" s="35"/>
      <c r="UE14" s="35"/>
      <c r="UF14" s="35"/>
      <c r="UG14" s="35"/>
      <c r="UH14" s="35"/>
      <c r="UI14" s="35"/>
      <c r="UJ14" s="35"/>
      <c r="UK14" s="35"/>
      <c r="UL14" s="35"/>
      <c r="UM14" s="35"/>
      <c r="UN14" s="35"/>
      <c r="UO14" s="35"/>
      <c r="UP14" s="35"/>
      <c r="UQ14" s="35"/>
      <c r="UR14" s="35"/>
      <c r="US14" s="35"/>
      <c r="UT14" s="35"/>
      <c r="UU14" s="35"/>
      <c r="UV14" s="35"/>
      <c r="UW14" s="35"/>
      <c r="UX14" s="35"/>
      <c r="UY14" s="35"/>
      <c r="UZ14" s="35"/>
      <c r="VA14" s="35"/>
      <c r="VB14" s="35"/>
      <c r="VC14" s="35"/>
      <c r="VD14" s="35"/>
      <c r="VE14" s="35"/>
      <c r="VF14" s="35"/>
      <c r="VG14" s="35"/>
      <c r="VH14" s="35"/>
      <c r="VI14" s="35"/>
      <c r="VJ14" s="35"/>
      <c r="VK14" s="35"/>
      <c r="VL14" s="35"/>
      <c r="VM14" s="35"/>
      <c r="VN14" s="35"/>
      <c r="VO14" s="35"/>
      <c r="VP14" s="35"/>
      <c r="VQ14" s="35"/>
      <c r="VR14" s="35"/>
      <c r="VS14" s="35"/>
      <c r="VT14" s="35"/>
      <c r="VU14" s="35"/>
      <c r="VV14" s="35"/>
      <c r="VW14" s="35"/>
      <c r="VX14" s="35"/>
      <c r="VY14" s="35"/>
      <c r="VZ14" s="35"/>
      <c r="WA14" s="35"/>
      <c r="WB14" s="35"/>
      <c r="WC14" s="35"/>
      <c r="WD14" s="35"/>
      <c r="WE14" s="35"/>
      <c r="WF14" s="35"/>
      <c r="WG14" s="35"/>
      <c r="WH14" s="35"/>
      <c r="WI14" s="35"/>
      <c r="WJ14" s="35"/>
      <c r="WK14" s="35"/>
      <c r="WL14" s="35"/>
      <c r="WM14" s="35"/>
      <c r="WN14" s="35"/>
      <c r="WO14" s="35"/>
      <c r="WP14" s="35"/>
      <c r="WQ14" s="35"/>
      <c r="WR14" s="35"/>
      <c r="WS14" s="35"/>
      <c r="WT14" s="35"/>
      <c r="WU14" s="35"/>
      <c r="WV14" s="35"/>
      <c r="WW14" s="35"/>
      <c r="WX14" s="35"/>
      <c r="WY14" s="35"/>
      <c r="WZ14" s="35"/>
      <c r="XA14" s="35"/>
      <c r="XB14" s="35"/>
      <c r="XC14" s="35"/>
      <c r="XD14" s="35"/>
      <c r="XE14" s="35"/>
      <c r="XF14" s="35"/>
      <c r="XG14" s="35"/>
      <c r="XH14" s="35"/>
      <c r="XI14" s="35"/>
      <c r="XJ14" s="35"/>
      <c r="XK14" s="35"/>
      <c r="XL14" s="35"/>
      <c r="XM14" s="35"/>
      <c r="XN14" s="35"/>
      <c r="XO14" s="35"/>
      <c r="XP14" s="35"/>
      <c r="XQ14" s="35"/>
      <c r="XR14" s="35"/>
      <c r="XS14" s="35"/>
      <c r="XT14" s="35"/>
      <c r="XU14" s="35"/>
      <c r="XV14" s="35"/>
      <c r="XW14" s="35"/>
      <c r="XX14" s="35"/>
      <c r="XY14" s="35"/>
      <c r="XZ14" s="35"/>
      <c r="YA14" s="35"/>
      <c r="YB14" s="35"/>
      <c r="YC14" s="35"/>
      <c r="YD14" s="35"/>
      <c r="YE14" s="35"/>
      <c r="YF14" s="35"/>
      <c r="YG14" s="35"/>
      <c r="YH14" s="35"/>
      <c r="YI14" s="35"/>
      <c r="YJ14" s="35"/>
      <c r="YK14" s="35"/>
      <c r="YL14" s="35"/>
      <c r="YM14" s="35"/>
      <c r="YN14" s="35"/>
      <c r="YO14" s="35"/>
      <c r="YP14" s="35"/>
      <c r="YQ14" s="35"/>
      <c r="YR14" s="35"/>
      <c r="YS14" s="35"/>
      <c r="YT14" s="35"/>
      <c r="YU14" s="35"/>
      <c r="YV14" s="35"/>
      <c r="YW14" s="35"/>
      <c r="YX14" s="35"/>
      <c r="YY14" s="35"/>
      <c r="YZ14" s="35"/>
      <c r="ZA14" s="35"/>
      <c r="ZB14" s="35"/>
      <c r="ZC14" s="35"/>
      <c r="ZD14" s="35"/>
      <c r="ZE14" s="35"/>
      <c r="ZF14" s="35"/>
      <c r="ZG14" s="35"/>
      <c r="ZH14" s="35"/>
      <c r="ZI14" s="35"/>
      <c r="ZJ14" s="35"/>
      <c r="ZK14" s="35"/>
      <c r="ZL14" s="35"/>
      <c r="ZM14" s="35"/>
      <c r="ZN14" s="35"/>
      <c r="ZO14" s="35"/>
      <c r="ZP14" s="35"/>
      <c r="ZQ14" s="35"/>
      <c r="ZR14" s="35"/>
      <c r="ZS14" s="35"/>
      <c r="ZT14" s="35"/>
      <c r="ZU14" s="35"/>
      <c r="ZV14" s="35"/>
      <c r="ZW14" s="35"/>
      <c r="ZX14" s="35"/>
      <c r="ZY14" s="35"/>
      <c r="ZZ14" s="35"/>
      <c r="AAA14" s="35"/>
      <c r="AAB14" s="35"/>
      <c r="AAC14" s="35"/>
      <c r="AAD14" s="35"/>
      <c r="AAE14" s="35"/>
      <c r="AAF14" s="35"/>
      <c r="AAG14" s="35"/>
      <c r="AAH14" s="35"/>
      <c r="AAI14" s="35"/>
      <c r="AAJ14" s="35"/>
      <c r="AAK14" s="35"/>
      <c r="AAL14" s="35"/>
      <c r="AAM14" s="35"/>
      <c r="AAN14" s="35"/>
      <c r="AAO14" s="35"/>
      <c r="AAP14" s="35"/>
      <c r="AAQ14" s="35"/>
      <c r="AAR14" s="35"/>
      <c r="AAS14" s="35"/>
      <c r="AAT14" s="35"/>
      <c r="AAU14" s="35"/>
      <c r="AAV14" s="35"/>
      <c r="AAW14" s="35"/>
      <c r="AAX14" s="35"/>
      <c r="AAY14" s="35"/>
      <c r="AAZ14" s="35"/>
      <c r="ABA14" s="35"/>
      <c r="ABB14" s="35"/>
      <c r="ABC14" s="35"/>
      <c r="ABD14" s="35"/>
      <c r="ABE14" s="35"/>
      <c r="ABF14" s="35"/>
      <c r="ABG14" s="35"/>
      <c r="ABH14" s="35"/>
      <c r="ABI14" s="35"/>
      <c r="ABJ14" s="35"/>
      <c r="ABK14" s="35"/>
      <c r="ABL14" s="35"/>
      <c r="ABM14" s="35"/>
      <c r="ABN14" s="35"/>
      <c r="ABO14" s="35"/>
      <c r="ABP14" s="35"/>
      <c r="ABQ14" s="35"/>
      <c r="ABR14" s="35"/>
      <c r="ABS14" s="35"/>
      <c r="ABT14" s="35"/>
      <c r="ABU14" s="35"/>
      <c r="ABV14" s="35"/>
      <c r="ABW14" s="35"/>
      <c r="ABX14" s="35"/>
      <c r="ABY14" s="35"/>
      <c r="ABZ14" s="35"/>
      <c r="ACA14" s="35"/>
      <c r="ACB14" s="35"/>
      <c r="ACC14" s="35"/>
      <c r="ACD14" s="35"/>
      <c r="ACE14" s="35"/>
      <c r="ACF14" s="35"/>
      <c r="ACG14" s="35"/>
      <c r="ACH14" s="35"/>
      <c r="ACI14" s="35"/>
      <c r="ACJ14" s="35"/>
      <c r="ACK14" s="35"/>
      <c r="ACL14" s="35"/>
      <c r="ACM14" s="35"/>
      <c r="ACN14" s="35"/>
      <c r="ACO14" s="35"/>
      <c r="ACP14" s="35"/>
      <c r="ACQ14" s="35"/>
      <c r="ACR14" s="35"/>
      <c r="ACS14" s="35"/>
      <c r="ACT14" s="35"/>
      <c r="ACU14" s="35"/>
      <c r="ACV14" s="35"/>
      <c r="ACW14" s="35"/>
      <c r="ACX14" s="35"/>
      <c r="ACY14" s="35"/>
      <c r="ACZ14" s="35"/>
      <c r="ADA14" s="35"/>
      <c r="ADB14" s="35"/>
      <c r="ADC14" s="35"/>
      <c r="ADD14" s="35"/>
      <c r="ADE14" s="35"/>
      <c r="ADF14" s="35"/>
      <c r="ADG14" s="35"/>
      <c r="ADH14" s="35"/>
      <c r="ADI14" s="35"/>
      <c r="ADJ14" s="35"/>
      <c r="ADK14" s="35"/>
      <c r="ADL14" s="35"/>
      <c r="ADM14" s="35"/>
      <c r="ADN14" s="35"/>
      <c r="ADO14" s="35"/>
      <c r="ADP14" s="35"/>
      <c r="ADQ14" s="35"/>
      <c r="ADR14" s="35"/>
      <c r="ADS14" s="35"/>
      <c r="ADT14" s="35"/>
      <c r="ADU14" s="35"/>
      <c r="ADV14" s="35"/>
      <c r="ADW14" s="35"/>
      <c r="ADX14" s="35"/>
      <c r="ADY14" s="35"/>
      <c r="ADZ14" s="35"/>
      <c r="AEA14" s="35"/>
      <c r="AEB14" s="35"/>
      <c r="AEC14" s="35"/>
      <c r="AED14" s="35"/>
      <c r="AEE14" s="35"/>
      <c r="AEF14" s="35"/>
      <c r="AEG14" s="35"/>
      <c r="AEH14" s="35"/>
      <c r="AEI14" s="35"/>
      <c r="AEJ14" s="35"/>
      <c r="AEK14" s="35"/>
      <c r="AEL14" s="35"/>
      <c r="AEM14" s="35"/>
      <c r="AEN14" s="35"/>
      <c r="AEO14" s="35"/>
      <c r="AEP14" s="35"/>
      <c r="AEQ14" s="35"/>
      <c r="AER14" s="35"/>
      <c r="AES14" s="35"/>
      <c r="AET14" s="35"/>
      <c r="AEU14" s="35"/>
      <c r="AEV14" s="35"/>
      <c r="AEW14" s="35"/>
      <c r="AEX14" s="35"/>
      <c r="AEY14" s="35"/>
      <c r="AEZ14" s="35"/>
      <c r="AFA14" s="35"/>
      <c r="AFB14" s="35"/>
      <c r="AFC14" s="35"/>
      <c r="AFD14" s="35"/>
      <c r="AFE14" s="35"/>
      <c r="AFF14" s="35"/>
      <c r="AFG14" s="35"/>
      <c r="AFH14" s="35"/>
      <c r="AFI14" s="35"/>
      <c r="AFJ14" s="35"/>
      <c r="AFK14" s="35"/>
      <c r="AFL14" s="35"/>
      <c r="AFM14" s="35"/>
      <c r="AFN14" s="35"/>
      <c r="AFO14" s="35"/>
      <c r="AFP14" s="35"/>
      <c r="AFQ14" s="35"/>
      <c r="AFR14" s="35"/>
      <c r="AFS14" s="35"/>
      <c r="AFT14" s="35"/>
      <c r="AFU14" s="35"/>
      <c r="AFV14" s="35"/>
      <c r="AFW14" s="35"/>
      <c r="AFX14" s="35"/>
      <c r="AFY14" s="35"/>
      <c r="AFZ14" s="35"/>
      <c r="AGA14" s="35"/>
      <c r="AGB14" s="35"/>
      <c r="AGC14" s="35"/>
      <c r="AGD14" s="35"/>
      <c r="AGE14" s="35"/>
      <c r="AGF14" s="35"/>
      <c r="AGG14" s="35"/>
      <c r="AGH14" s="35"/>
      <c r="AGI14" s="35"/>
      <c r="AGJ14" s="35"/>
      <c r="AGK14" s="35"/>
      <c r="AGL14" s="35"/>
      <c r="AGM14" s="35"/>
      <c r="AGN14" s="35"/>
      <c r="AGO14" s="35"/>
      <c r="AGP14" s="35"/>
      <c r="AGQ14" s="35"/>
      <c r="AGR14" s="35"/>
      <c r="AGS14" s="35"/>
      <c r="AGT14" s="35"/>
      <c r="AGU14" s="35"/>
      <c r="AGV14" s="35"/>
      <c r="AGW14" s="35"/>
      <c r="AGX14" s="35"/>
      <c r="AGY14" s="35"/>
      <c r="AGZ14" s="35"/>
      <c r="AHA14" s="35"/>
      <c r="AHB14" s="35"/>
      <c r="AHC14" s="35"/>
      <c r="AHD14" s="35"/>
      <c r="AHE14" s="35"/>
      <c r="AHF14" s="35"/>
      <c r="AHG14" s="35"/>
      <c r="AHH14" s="35"/>
      <c r="AHI14" s="35"/>
      <c r="AHJ14" s="35"/>
      <c r="AHK14" s="35"/>
      <c r="AHL14" s="35"/>
      <c r="AHM14" s="35"/>
      <c r="AHN14" s="35"/>
      <c r="AHO14" s="35"/>
      <c r="AHP14" s="35"/>
      <c r="AHQ14" s="35"/>
      <c r="AHR14" s="35"/>
      <c r="AHS14" s="35"/>
      <c r="AHT14" s="35"/>
      <c r="AHU14" s="35"/>
      <c r="AHV14" s="35"/>
      <c r="AHW14" s="35"/>
      <c r="AHX14" s="35"/>
      <c r="AHY14" s="35"/>
      <c r="AHZ14" s="35"/>
      <c r="AIA14" s="35"/>
      <c r="AIB14" s="35"/>
      <c r="AIC14" s="35"/>
      <c r="AID14" s="35"/>
      <c r="AIE14" s="35"/>
      <c r="AIF14" s="35"/>
      <c r="AIG14" s="35"/>
      <c r="AIH14" s="35"/>
      <c r="AII14" s="35"/>
      <c r="AIJ14" s="35"/>
      <c r="AIK14" s="35"/>
      <c r="AIL14" s="35"/>
      <c r="AIM14" s="35"/>
      <c r="AIN14" s="35"/>
      <c r="AIO14" s="35"/>
      <c r="AIP14" s="35"/>
      <c r="AIQ14" s="35"/>
      <c r="AIR14" s="35"/>
      <c r="AIS14" s="35"/>
      <c r="AIT14" s="35"/>
      <c r="AIU14" s="35"/>
      <c r="AIV14" s="35"/>
      <c r="AIW14" s="35"/>
      <c r="AIX14" s="35"/>
      <c r="AIY14" s="35"/>
      <c r="AIZ14" s="35"/>
      <c r="AJA14" s="35"/>
      <c r="AJB14" s="35"/>
      <c r="AJC14" s="35"/>
      <c r="AJD14" s="35"/>
      <c r="AJE14" s="35"/>
      <c r="AJF14" s="35"/>
      <c r="AJG14" s="35"/>
      <c r="AJH14" s="35"/>
      <c r="AJI14" s="35"/>
      <c r="AJJ14" s="35"/>
      <c r="AJK14" s="35"/>
      <c r="AJL14" s="35"/>
      <c r="AJM14" s="35"/>
      <c r="AJN14" s="35"/>
      <c r="AJO14" s="35"/>
      <c r="AJP14" s="35"/>
      <c r="AJQ14" s="35"/>
      <c r="AJR14" s="35"/>
      <c r="AJS14" s="35"/>
      <c r="AJT14" s="35"/>
      <c r="AJU14" s="35"/>
      <c r="AJV14" s="35"/>
      <c r="AJW14" s="35"/>
      <c r="AJX14" s="35"/>
      <c r="AJY14" s="35"/>
      <c r="AJZ14" s="35"/>
      <c r="AKA14" s="35"/>
      <c r="AKB14" s="35"/>
      <c r="AKC14" s="35"/>
      <c r="AKD14" s="35"/>
      <c r="AKE14" s="35"/>
      <c r="AKF14" s="35"/>
      <c r="AKG14" s="35"/>
      <c r="AKH14" s="35"/>
      <c r="AKI14" s="35"/>
      <c r="AKJ14" s="35"/>
      <c r="AKK14" s="35"/>
      <c r="AKL14" s="35"/>
      <c r="AKM14" s="35"/>
      <c r="AKN14" s="35"/>
      <c r="AKO14" s="35"/>
      <c r="AKP14" s="35"/>
      <c r="AKQ14" s="35"/>
      <c r="AKR14" s="35"/>
      <c r="AKS14" s="35"/>
    </row>
    <row r="15" customFormat="false" ht="12.8" hidden="true" customHeight="true" outlineLevel="1" collapsed="false">
      <c r="A15" s="40"/>
      <c r="B15" s="40"/>
      <c r="C15" s="40"/>
      <c r="D15" s="40"/>
      <c r="E15" s="40"/>
      <c r="F15" s="40"/>
      <c r="G15" s="40"/>
      <c r="H15" s="40"/>
      <c r="I15" s="40"/>
      <c r="J15" s="40"/>
      <c r="K15" s="40"/>
      <c r="L15" s="40"/>
      <c r="M15" s="40"/>
      <c r="N15" s="40"/>
      <c r="O15" s="40" t="s">
        <v>364</v>
      </c>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5"/>
      <c r="GC15" s="35"/>
      <c r="GD15" s="35"/>
      <c r="GE15" s="35"/>
      <c r="GF15" s="35"/>
      <c r="GG15" s="35"/>
      <c r="GH15" s="35"/>
      <c r="GI15" s="35"/>
      <c r="GJ15" s="35"/>
      <c r="GK15" s="35"/>
      <c r="GL15" s="35"/>
      <c r="GM15" s="35"/>
      <c r="GN15" s="35"/>
      <c r="GO15" s="35"/>
      <c r="GP15" s="35"/>
      <c r="GQ15" s="35"/>
      <c r="GR15" s="35"/>
      <c r="GS15" s="35"/>
      <c r="GT15" s="35"/>
      <c r="GU15" s="35"/>
      <c r="GV15" s="35"/>
      <c r="GW15" s="35"/>
      <c r="GX15" s="35"/>
      <c r="GY15" s="35"/>
      <c r="GZ15" s="35"/>
      <c r="HA15" s="35"/>
      <c r="HB15" s="35"/>
      <c r="HC15" s="35"/>
      <c r="HD15" s="35"/>
      <c r="HE15" s="35"/>
      <c r="HF15" s="35"/>
      <c r="HG15" s="35"/>
      <c r="HH15" s="35"/>
      <c r="HI15" s="35"/>
      <c r="HJ15" s="35"/>
      <c r="HK15" s="35"/>
      <c r="HL15" s="35"/>
      <c r="HM15" s="35"/>
      <c r="HN15" s="35"/>
      <c r="HO15" s="35"/>
      <c r="HP15" s="35"/>
      <c r="HQ15" s="35"/>
      <c r="HR15" s="35"/>
      <c r="HS15" s="35"/>
      <c r="HT15" s="35"/>
      <c r="HU15" s="35"/>
      <c r="HV15" s="35"/>
      <c r="HW15" s="35"/>
      <c r="HX15" s="35"/>
      <c r="HY15" s="35"/>
      <c r="HZ15" s="35"/>
      <c r="IA15" s="35"/>
      <c r="IB15" s="35"/>
      <c r="IC15" s="35"/>
      <c r="ID15" s="35"/>
      <c r="IE15" s="35"/>
      <c r="IF15" s="35"/>
      <c r="IG15" s="35"/>
      <c r="IH15" s="35"/>
      <c r="II15" s="35"/>
      <c r="IJ15" s="35"/>
      <c r="IK15" s="35"/>
      <c r="IL15" s="35"/>
      <c r="IM15" s="35"/>
      <c r="IN15" s="35"/>
      <c r="IO15" s="35"/>
      <c r="IP15" s="35"/>
      <c r="IQ15" s="35"/>
      <c r="IR15" s="35"/>
      <c r="IS15" s="35"/>
      <c r="IT15" s="35"/>
      <c r="IU15" s="35"/>
      <c r="IV15" s="35"/>
      <c r="IW15" s="35"/>
      <c r="IX15" s="35"/>
      <c r="IY15" s="35"/>
      <c r="IZ15" s="35"/>
      <c r="JA15" s="35"/>
      <c r="JB15" s="35"/>
      <c r="JC15" s="35"/>
      <c r="JD15" s="35"/>
      <c r="JE15" s="35"/>
      <c r="JF15" s="35"/>
      <c r="JG15" s="35"/>
      <c r="JH15" s="35"/>
      <c r="JI15" s="35"/>
      <c r="JJ15" s="35"/>
      <c r="JK15" s="35"/>
      <c r="JL15" s="35"/>
      <c r="JM15" s="35"/>
      <c r="JN15" s="35"/>
      <c r="JO15" s="35"/>
      <c r="JP15" s="35"/>
      <c r="JQ15" s="35"/>
      <c r="JR15" s="35"/>
      <c r="JS15" s="35"/>
      <c r="JT15" s="35"/>
      <c r="JU15" s="35"/>
      <c r="JV15" s="35"/>
      <c r="JW15" s="35"/>
      <c r="JX15" s="35"/>
      <c r="JY15" s="35"/>
      <c r="JZ15" s="35"/>
      <c r="KA15" s="35"/>
      <c r="KB15" s="35"/>
      <c r="KC15" s="35"/>
      <c r="KD15" s="35"/>
      <c r="KE15" s="35"/>
      <c r="KF15" s="35"/>
      <c r="KG15" s="35"/>
      <c r="KH15" s="35"/>
      <c r="KI15" s="35"/>
      <c r="KJ15" s="35"/>
      <c r="KK15" s="35"/>
      <c r="KL15" s="35"/>
      <c r="KM15" s="35"/>
      <c r="KN15" s="35"/>
      <c r="KO15" s="35"/>
      <c r="KP15" s="35"/>
      <c r="KQ15" s="35"/>
      <c r="KR15" s="35"/>
      <c r="KS15" s="35"/>
      <c r="KT15" s="35"/>
      <c r="KU15" s="35"/>
      <c r="KV15" s="35"/>
      <c r="KW15" s="35"/>
      <c r="KX15" s="35"/>
      <c r="KY15" s="35"/>
      <c r="KZ15" s="35"/>
      <c r="LA15" s="35"/>
      <c r="LB15" s="35"/>
      <c r="LC15" s="35"/>
      <c r="LD15" s="35"/>
      <c r="LE15" s="35"/>
      <c r="LF15" s="35"/>
      <c r="LG15" s="35"/>
      <c r="LH15" s="35"/>
      <c r="LI15" s="35"/>
      <c r="LJ15" s="35"/>
      <c r="LK15" s="35"/>
      <c r="LL15" s="35"/>
      <c r="LM15" s="35"/>
      <c r="LN15" s="35"/>
      <c r="LO15" s="35"/>
      <c r="LP15" s="35"/>
      <c r="LQ15" s="35"/>
      <c r="LR15" s="35"/>
      <c r="LS15" s="35"/>
      <c r="LT15" s="35"/>
      <c r="LU15" s="35"/>
      <c r="LV15" s="35"/>
      <c r="LW15" s="35"/>
      <c r="LX15" s="35"/>
      <c r="LY15" s="35"/>
      <c r="LZ15" s="35"/>
      <c r="MA15" s="35"/>
      <c r="MB15" s="35"/>
      <c r="MC15" s="35"/>
      <c r="MD15" s="35"/>
      <c r="ME15" s="35"/>
      <c r="MF15" s="35"/>
      <c r="MG15" s="35"/>
      <c r="MH15" s="35"/>
      <c r="MI15" s="35"/>
      <c r="MJ15" s="35"/>
      <c r="MK15" s="35"/>
      <c r="ML15" s="35"/>
      <c r="MM15" s="35"/>
      <c r="MN15" s="35"/>
      <c r="MO15" s="35"/>
      <c r="MP15" s="35"/>
      <c r="MQ15" s="35"/>
      <c r="MR15" s="35"/>
      <c r="MS15" s="35"/>
      <c r="MT15" s="35"/>
      <c r="MU15" s="35"/>
      <c r="MV15" s="35"/>
      <c r="MW15" s="35"/>
      <c r="MX15" s="35"/>
      <c r="MY15" s="35"/>
      <c r="MZ15" s="35"/>
      <c r="NA15" s="35"/>
      <c r="NB15" s="35"/>
      <c r="NC15" s="35"/>
      <c r="ND15" s="35"/>
      <c r="NE15" s="35"/>
      <c r="NF15" s="35"/>
      <c r="NG15" s="35"/>
      <c r="NH15" s="35"/>
      <c r="NI15" s="35"/>
      <c r="NJ15" s="35"/>
      <c r="NK15" s="35"/>
      <c r="NL15" s="35"/>
      <c r="NM15" s="35"/>
      <c r="NN15" s="35"/>
      <c r="NO15" s="35"/>
      <c r="NP15" s="35"/>
      <c r="NQ15" s="35"/>
      <c r="NR15" s="35"/>
      <c r="NS15" s="35"/>
      <c r="NT15" s="35"/>
      <c r="NU15" s="35"/>
      <c r="NV15" s="35"/>
      <c r="NW15" s="35"/>
      <c r="NX15" s="35"/>
      <c r="NY15" s="35"/>
      <c r="NZ15" s="35"/>
      <c r="OA15" s="35"/>
      <c r="OB15" s="35"/>
      <c r="OC15" s="35"/>
      <c r="OD15" s="35"/>
      <c r="OE15" s="35"/>
      <c r="OF15" s="35"/>
      <c r="OG15" s="35"/>
      <c r="OH15" s="35"/>
      <c r="OI15" s="35"/>
      <c r="OJ15" s="35"/>
      <c r="OK15" s="35"/>
      <c r="OL15" s="35"/>
      <c r="OM15" s="35"/>
      <c r="ON15" s="35"/>
      <c r="OO15" s="35"/>
      <c r="OP15" s="35"/>
      <c r="OQ15" s="35"/>
      <c r="OR15" s="35"/>
      <c r="OS15" s="35"/>
      <c r="OT15" s="35"/>
      <c r="OU15" s="35"/>
      <c r="OV15" s="35"/>
      <c r="OW15" s="35"/>
      <c r="OX15" s="35"/>
      <c r="OY15" s="35"/>
      <c r="OZ15" s="35"/>
      <c r="PA15" s="35"/>
      <c r="PB15" s="35"/>
      <c r="PC15" s="35"/>
      <c r="PD15" s="35"/>
      <c r="PE15" s="35"/>
      <c r="PF15" s="35"/>
      <c r="PG15" s="35"/>
      <c r="PH15" s="35"/>
      <c r="PI15" s="35"/>
      <c r="PJ15" s="35"/>
      <c r="PK15" s="35"/>
      <c r="PL15" s="35"/>
      <c r="PM15" s="35"/>
      <c r="PN15" s="35"/>
      <c r="PO15" s="35"/>
      <c r="PP15" s="35"/>
      <c r="PQ15" s="35"/>
      <c r="PR15" s="35"/>
      <c r="PS15" s="35"/>
      <c r="PT15" s="35"/>
      <c r="PU15" s="35"/>
      <c r="PV15" s="35"/>
      <c r="PW15" s="35"/>
      <c r="PX15" s="35"/>
      <c r="PY15" s="35"/>
      <c r="PZ15" s="35"/>
      <c r="QA15" s="35"/>
      <c r="QB15" s="35"/>
      <c r="QC15" s="35"/>
      <c r="QD15" s="35"/>
      <c r="QE15" s="35"/>
      <c r="QF15" s="35"/>
      <c r="QG15" s="35"/>
      <c r="QH15" s="35"/>
      <c r="QI15" s="35"/>
      <c r="QJ15" s="35"/>
      <c r="QK15" s="35"/>
      <c r="QL15" s="35"/>
      <c r="QM15" s="35"/>
      <c r="QN15" s="35"/>
      <c r="QO15" s="35"/>
      <c r="QP15" s="35"/>
      <c r="QQ15" s="35"/>
      <c r="QR15" s="35"/>
      <c r="QS15" s="35"/>
      <c r="QT15" s="35"/>
      <c r="QU15" s="35"/>
      <c r="QV15" s="35"/>
      <c r="QW15" s="35"/>
      <c r="QX15" s="35"/>
      <c r="QY15" s="35"/>
      <c r="QZ15" s="35"/>
      <c r="RA15" s="35"/>
      <c r="RB15" s="35"/>
      <c r="RC15" s="35"/>
      <c r="RD15" s="35"/>
      <c r="RE15" s="35"/>
      <c r="RF15" s="35"/>
      <c r="RG15" s="35"/>
      <c r="RH15" s="35"/>
      <c r="RI15" s="35"/>
      <c r="RJ15" s="35"/>
      <c r="RK15" s="35"/>
      <c r="RL15" s="35"/>
      <c r="RM15" s="35"/>
      <c r="RN15" s="35"/>
      <c r="RO15" s="35"/>
      <c r="RP15" s="35"/>
      <c r="RQ15" s="35"/>
      <c r="RR15" s="35"/>
      <c r="RS15" s="35"/>
      <c r="RT15" s="35"/>
      <c r="RU15" s="35"/>
      <c r="RV15" s="35"/>
      <c r="RW15" s="35"/>
      <c r="RX15" s="35"/>
      <c r="RY15" s="35"/>
      <c r="RZ15" s="35"/>
      <c r="SA15" s="35"/>
      <c r="SB15" s="35"/>
      <c r="SC15" s="35"/>
      <c r="SD15" s="35"/>
      <c r="SE15" s="35"/>
      <c r="SF15" s="35"/>
      <c r="SG15" s="35"/>
      <c r="SH15" s="35"/>
      <c r="SI15" s="35"/>
      <c r="SJ15" s="35"/>
      <c r="SK15" s="35"/>
      <c r="SL15" s="35"/>
      <c r="SM15" s="35"/>
      <c r="SN15" s="35"/>
      <c r="SO15" s="35"/>
      <c r="SP15" s="35"/>
      <c r="SQ15" s="35"/>
      <c r="SR15" s="35"/>
      <c r="SS15" s="35"/>
      <c r="ST15" s="35"/>
      <c r="SU15" s="35"/>
      <c r="SV15" s="35"/>
      <c r="SW15" s="35"/>
      <c r="SX15" s="35"/>
      <c r="SY15" s="35"/>
      <c r="SZ15" s="35"/>
      <c r="TA15" s="35"/>
      <c r="TB15" s="35"/>
      <c r="TC15" s="35"/>
      <c r="TD15" s="35"/>
      <c r="TE15" s="35"/>
      <c r="TF15" s="35"/>
      <c r="TG15" s="35"/>
      <c r="TH15" s="35"/>
      <c r="TI15" s="35"/>
      <c r="TJ15" s="35"/>
      <c r="TK15" s="35"/>
      <c r="TL15" s="35"/>
      <c r="TM15" s="35"/>
      <c r="TN15" s="35"/>
      <c r="TO15" s="35"/>
      <c r="TP15" s="35"/>
      <c r="TQ15" s="35"/>
      <c r="TR15" s="35"/>
      <c r="TS15" s="35"/>
      <c r="TT15" s="35"/>
      <c r="TU15" s="35"/>
      <c r="TV15" s="35"/>
      <c r="TW15" s="35"/>
      <c r="TX15" s="35"/>
      <c r="TY15" s="35"/>
      <c r="TZ15" s="35"/>
      <c r="UA15" s="35"/>
      <c r="UB15" s="35"/>
      <c r="UC15" s="35"/>
      <c r="UD15" s="35"/>
      <c r="UE15" s="35"/>
      <c r="UF15" s="35"/>
      <c r="UG15" s="35"/>
      <c r="UH15" s="35"/>
      <c r="UI15" s="35"/>
      <c r="UJ15" s="35"/>
      <c r="UK15" s="35"/>
      <c r="UL15" s="35"/>
      <c r="UM15" s="35"/>
      <c r="UN15" s="35"/>
      <c r="UO15" s="35"/>
      <c r="UP15" s="35"/>
      <c r="UQ15" s="35"/>
      <c r="UR15" s="35"/>
      <c r="US15" s="35"/>
      <c r="UT15" s="35"/>
      <c r="UU15" s="35"/>
      <c r="UV15" s="35"/>
      <c r="UW15" s="35"/>
      <c r="UX15" s="35"/>
      <c r="UY15" s="35"/>
      <c r="UZ15" s="35"/>
      <c r="VA15" s="35"/>
      <c r="VB15" s="35"/>
      <c r="VC15" s="35"/>
      <c r="VD15" s="35"/>
      <c r="VE15" s="35"/>
      <c r="VF15" s="35"/>
      <c r="VG15" s="35"/>
      <c r="VH15" s="35"/>
      <c r="VI15" s="35"/>
      <c r="VJ15" s="35"/>
      <c r="VK15" s="35"/>
      <c r="VL15" s="35"/>
      <c r="VM15" s="35"/>
      <c r="VN15" s="35"/>
      <c r="VO15" s="35"/>
      <c r="VP15" s="35"/>
      <c r="VQ15" s="35"/>
      <c r="VR15" s="35"/>
      <c r="VS15" s="35"/>
      <c r="VT15" s="35"/>
      <c r="VU15" s="35"/>
      <c r="VV15" s="35"/>
      <c r="VW15" s="35"/>
      <c r="VX15" s="35"/>
      <c r="VY15" s="35"/>
      <c r="VZ15" s="35"/>
      <c r="WA15" s="35"/>
      <c r="WB15" s="35"/>
      <c r="WC15" s="35"/>
      <c r="WD15" s="35"/>
      <c r="WE15" s="35"/>
      <c r="WF15" s="35"/>
      <c r="WG15" s="35"/>
      <c r="WH15" s="35"/>
      <c r="WI15" s="35"/>
      <c r="WJ15" s="35"/>
      <c r="WK15" s="35"/>
      <c r="WL15" s="35"/>
      <c r="WM15" s="35"/>
      <c r="WN15" s="35"/>
      <c r="WO15" s="35"/>
      <c r="WP15" s="35"/>
      <c r="WQ15" s="35"/>
      <c r="WR15" s="35"/>
      <c r="WS15" s="35"/>
      <c r="WT15" s="35"/>
      <c r="WU15" s="35"/>
      <c r="WV15" s="35"/>
      <c r="WW15" s="35"/>
      <c r="WX15" s="35"/>
      <c r="WY15" s="35"/>
      <c r="WZ15" s="35"/>
      <c r="XA15" s="35"/>
      <c r="XB15" s="35"/>
      <c r="XC15" s="35"/>
      <c r="XD15" s="35"/>
      <c r="XE15" s="35"/>
      <c r="XF15" s="35"/>
      <c r="XG15" s="35"/>
      <c r="XH15" s="35"/>
      <c r="XI15" s="35"/>
      <c r="XJ15" s="35"/>
      <c r="XK15" s="35"/>
      <c r="XL15" s="35"/>
      <c r="XM15" s="35"/>
      <c r="XN15" s="35"/>
      <c r="XO15" s="35"/>
      <c r="XP15" s="35"/>
      <c r="XQ15" s="35"/>
      <c r="XR15" s="35"/>
      <c r="XS15" s="35"/>
      <c r="XT15" s="35"/>
      <c r="XU15" s="35"/>
      <c r="XV15" s="35"/>
      <c r="XW15" s="35"/>
      <c r="XX15" s="35"/>
      <c r="XY15" s="35"/>
      <c r="XZ15" s="35"/>
      <c r="YA15" s="35"/>
      <c r="YB15" s="35"/>
      <c r="YC15" s="35"/>
      <c r="YD15" s="35"/>
      <c r="YE15" s="35"/>
      <c r="YF15" s="35"/>
      <c r="YG15" s="35"/>
      <c r="YH15" s="35"/>
      <c r="YI15" s="35"/>
      <c r="YJ15" s="35"/>
      <c r="YK15" s="35"/>
      <c r="YL15" s="35"/>
      <c r="YM15" s="35"/>
      <c r="YN15" s="35"/>
      <c r="YO15" s="35"/>
      <c r="YP15" s="35"/>
      <c r="YQ15" s="35"/>
      <c r="YR15" s="35"/>
      <c r="YS15" s="35"/>
      <c r="YT15" s="35"/>
      <c r="YU15" s="35"/>
      <c r="YV15" s="35"/>
      <c r="YW15" s="35"/>
      <c r="YX15" s="35"/>
      <c r="YY15" s="35"/>
      <c r="YZ15" s="35"/>
      <c r="ZA15" s="35"/>
      <c r="ZB15" s="35"/>
      <c r="ZC15" s="35"/>
      <c r="ZD15" s="35"/>
      <c r="ZE15" s="35"/>
      <c r="ZF15" s="35"/>
      <c r="ZG15" s="35"/>
      <c r="ZH15" s="35"/>
      <c r="ZI15" s="35"/>
      <c r="ZJ15" s="35"/>
      <c r="ZK15" s="35"/>
      <c r="ZL15" s="35"/>
      <c r="ZM15" s="35"/>
      <c r="ZN15" s="35"/>
      <c r="ZO15" s="35"/>
      <c r="ZP15" s="35"/>
      <c r="ZQ15" s="35"/>
      <c r="ZR15" s="35"/>
      <c r="ZS15" s="35"/>
      <c r="ZT15" s="35"/>
      <c r="ZU15" s="35"/>
      <c r="ZV15" s="35"/>
      <c r="ZW15" s="35"/>
      <c r="ZX15" s="35"/>
      <c r="ZY15" s="35"/>
      <c r="ZZ15" s="35"/>
      <c r="AAA15" s="35"/>
      <c r="AAB15" s="35"/>
      <c r="AAC15" s="35"/>
      <c r="AAD15" s="35"/>
      <c r="AAE15" s="35"/>
      <c r="AAF15" s="35"/>
      <c r="AAG15" s="35"/>
      <c r="AAH15" s="35"/>
      <c r="AAI15" s="35"/>
      <c r="AAJ15" s="35"/>
      <c r="AAK15" s="35"/>
      <c r="AAL15" s="35"/>
      <c r="AAM15" s="35"/>
      <c r="AAN15" s="35"/>
      <c r="AAO15" s="35"/>
      <c r="AAP15" s="35"/>
      <c r="AAQ15" s="35"/>
      <c r="AAR15" s="35"/>
      <c r="AAS15" s="35"/>
      <c r="AAT15" s="35"/>
      <c r="AAU15" s="35"/>
      <c r="AAV15" s="35"/>
      <c r="AAW15" s="35"/>
      <c r="AAX15" s="35"/>
      <c r="AAY15" s="35"/>
      <c r="AAZ15" s="35"/>
      <c r="ABA15" s="35"/>
      <c r="ABB15" s="35"/>
      <c r="ABC15" s="35"/>
      <c r="ABD15" s="35"/>
      <c r="ABE15" s="35"/>
      <c r="ABF15" s="35"/>
      <c r="ABG15" s="35"/>
      <c r="ABH15" s="35"/>
      <c r="ABI15" s="35"/>
      <c r="ABJ15" s="35"/>
      <c r="ABK15" s="35"/>
      <c r="ABL15" s="35"/>
      <c r="ABM15" s="35"/>
      <c r="ABN15" s="35"/>
      <c r="ABO15" s="35"/>
      <c r="ABP15" s="35"/>
      <c r="ABQ15" s="35"/>
      <c r="ABR15" s="35"/>
      <c r="ABS15" s="35"/>
      <c r="ABT15" s="35"/>
      <c r="ABU15" s="35"/>
      <c r="ABV15" s="35"/>
      <c r="ABW15" s="35"/>
      <c r="ABX15" s="35"/>
      <c r="ABY15" s="35"/>
      <c r="ABZ15" s="35"/>
      <c r="ACA15" s="35"/>
      <c r="ACB15" s="35"/>
      <c r="ACC15" s="35"/>
      <c r="ACD15" s="35"/>
      <c r="ACE15" s="35"/>
      <c r="ACF15" s="35"/>
      <c r="ACG15" s="35"/>
      <c r="ACH15" s="35"/>
      <c r="ACI15" s="35"/>
      <c r="ACJ15" s="35"/>
      <c r="ACK15" s="35"/>
      <c r="ACL15" s="35"/>
      <c r="ACM15" s="35"/>
      <c r="ACN15" s="35"/>
      <c r="ACO15" s="35"/>
      <c r="ACP15" s="35"/>
      <c r="ACQ15" s="35"/>
      <c r="ACR15" s="35"/>
      <c r="ACS15" s="35"/>
      <c r="ACT15" s="35"/>
      <c r="ACU15" s="35"/>
      <c r="ACV15" s="35"/>
      <c r="ACW15" s="35"/>
      <c r="ACX15" s="35"/>
      <c r="ACY15" s="35"/>
      <c r="ACZ15" s="35"/>
      <c r="ADA15" s="35"/>
      <c r="ADB15" s="35"/>
      <c r="ADC15" s="35"/>
      <c r="ADD15" s="35"/>
      <c r="ADE15" s="35"/>
      <c r="ADF15" s="35"/>
      <c r="ADG15" s="35"/>
      <c r="ADH15" s="35"/>
      <c r="ADI15" s="35"/>
      <c r="ADJ15" s="35"/>
      <c r="ADK15" s="35"/>
      <c r="ADL15" s="35"/>
      <c r="ADM15" s="35"/>
      <c r="ADN15" s="35"/>
      <c r="ADO15" s="35"/>
      <c r="ADP15" s="35"/>
      <c r="ADQ15" s="35"/>
      <c r="ADR15" s="35"/>
      <c r="ADS15" s="35"/>
      <c r="ADT15" s="35"/>
      <c r="ADU15" s="35"/>
      <c r="ADV15" s="35"/>
      <c r="ADW15" s="35"/>
      <c r="ADX15" s="35"/>
      <c r="ADY15" s="35"/>
      <c r="ADZ15" s="35"/>
      <c r="AEA15" s="35"/>
      <c r="AEB15" s="35"/>
      <c r="AEC15" s="35"/>
      <c r="AED15" s="35"/>
      <c r="AEE15" s="35"/>
      <c r="AEF15" s="35"/>
      <c r="AEG15" s="35"/>
      <c r="AEH15" s="35"/>
      <c r="AEI15" s="35"/>
      <c r="AEJ15" s="35"/>
      <c r="AEK15" s="35"/>
      <c r="AEL15" s="35"/>
      <c r="AEM15" s="35"/>
      <c r="AEN15" s="35"/>
      <c r="AEO15" s="35"/>
      <c r="AEP15" s="35"/>
      <c r="AEQ15" s="35"/>
      <c r="AER15" s="35"/>
      <c r="AES15" s="35"/>
      <c r="AET15" s="35"/>
      <c r="AEU15" s="35"/>
      <c r="AEV15" s="35"/>
      <c r="AEW15" s="35"/>
      <c r="AEX15" s="35"/>
      <c r="AEY15" s="35"/>
      <c r="AEZ15" s="35"/>
      <c r="AFA15" s="35"/>
      <c r="AFB15" s="35"/>
      <c r="AFC15" s="35"/>
      <c r="AFD15" s="35"/>
      <c r="AFE15" s="35"/>
      <c r="AFF15" s="35"/>
      <c r="AFG15" s="35"/>
      <c r="AFH15" s="35"/>
      <c r="AFI15" s="35"/>
      <c r="AFJ15" s="35"/>
      <c r="AFK15" s="35"/>
      <c r="AFL15" s="35"/>
      <c r="AFM15" s="35"/>
      <c r="AFN15" s="35"/>
      <c r="AFO15" s="35"/>
      <c r="AFP15" s="35"/>
      <c r="AFQ15" s="35"/>
      <c r="AFR15" s="35"/>
      <c r="AFS15" s="35"/>
      <c r="AFT15" s="35"/>
      <c r="AFU15" s="35"/>
      <c r="AFV15" s="35"/>
      <c r="AFW15" s="35"/>
      <c r="AFX15" s="35"/>
      <c r="AFY15" s="35"/>
      <c r="AFZ15" s="35"/>
      <c r="AGA15" s="35"/>
      <c r="AGB15" s="35"/>
      <c r="AGC15" s="35"/>
      <c r="AGD15" s="35"/>
      <c r="AGE15" s="35"/>
      <c r="AGF15" s="35"/>
      <c r="AGG15" s="35"/>
      <c r="AGH15" s="35"/>
      <c r="AGI15" s="35"/>
      <c r="AGJ15" s="35"/>
      <c r="AGK15" s="35"/>
      <c r="AGL15" s="35"/>
      <c r="AGM15" s="35"/>
      <c r="AGN15" s="35"/>
      <c r="AGO15" s="35"/>
      <c r="AGP15" s="35"/>
      <c r="AGQ15" s="35"/>
      <c r="AGR15" s="35"/>
      <c r="AGS15" s="35"/>
      <c r="AGT15" s="35"/>
      <c r="AGU15" s="35"/>
      <c r="AGV15" s="35"/>
      <c r="AGW15" s="35"/>
      <c r="AGX15" s="35"/>
      <c r="AGY15" s="35"/>
      <c r="AGZ15" s="35"/>
      <c r="AHA15" s="35"/>
      <c r="AHB15" s="35"/>
      <c r="AHC15" s="35"/>
      <c r="AHD15" s="35"/>
      <c r="AHE15" s="35"/>
      <c r="AHF15" s="35"/>
      <c r="AHG15" s="35"/>
      <c r="AHH15" s="35"/>
      <c r="AHI15" s="35"/>
      <c r="AHJ15" s="35"/>
      <c r="AHK15" s="35"/>
      <c r="AHL15" s="35"/>
      <c r="AHM15" s="35"/>
      <c r="AHN15" s="35"/>
      <c r="AHO15" s="35"/>
      <c r="AHP15" s="35"/>
      <c r="AHQ15" s="35"/>
      <c r="AHR15" s="35"/>
      <c r="AHS15" s="35"/>
      <c r="AHT15" s="35"/>
      <c r="AHU15" s="35"/>
      <c r="AHV15" s="35"/>
      <c r="AHW15" s="35"/>
      <c r="AHX15" s="35"/>
      <c r="AHY15" s="35"/>
      <c r="AHZ15" s="35"/>
      <c r="AIA15" s="35"/>
      <c r="AIB15" s="35"/>
      <c r="AIC15" s="35"/>
      <c r="AID15" s="35"/>
      <c r="AIE15" s="35"/>
      <c r="AIF15" s="35"/>
      <c r="AIG15" s="35"/>
      <c r="AIH15" s="35"/>
      <c r="AII15" s="35"/>
      <c r="AIJ15" s="35"/>
      <c r="AIK15" s="35"/>
      <c r="AIL15" s="35"/>
      <c r="AIM15" s="35"/>
      <c r="AIN15" s="35"/>
      <c r="AIO15" s="35"/>
      <c r="AIP15" s="35"/>
      <c r="AIQ15" s="35"/>
      <c r="AIR15" s="35"/>
      <c r="AIS15" s="35"/>
      <c r="AIT15" s="35"/>
      <c r="AIU15" s="35"/>
      <c r="AIV15" s="35"/>
      <c r="AIW15" s="35"/>
      <c r="AIX15" s="35"/>
      <c r="AIY15" s="35"/>
      <c r="AIZ15" s="35"/>
      <c r="AJA15" s="35"/>
      <c r="AJB15" s="35"/>
      <c r="AJC15" s="35"/>
      <c r="AJD15" s="35"/>
      <c r="AJE15" s="35"/>
      <c r="AJF15" s="35"/>
      <c r="AJG15" s="35"/>
      <c r="AJH15" s="35"/>
      <c r="AJI15" s="35"/>
      <c r="AJJ15" s="35"/>
      <c r="AJK15" s="35"/>
      <c r="AJL15" s="35"/>
      <c r="AJM15" s="35"/>
      <c r="AJN15" s="35"/>
      <c r="AJO15" s="35"/>
      <c r="AJP15" s="35"/>
      <c r="AJQ15" s="35"/>
      <c r="AJR15" s="35"/>
      <c r="AJS15" s="35"/>
      <c r="AJT15" s="35"/>
      <c r="AJU15" s="35"/>
      <c r="AJV15" s="35"/>
      <c r="AJW15" s="35"/>
      <c r="AJX15" s="35"/>
      <c r="AJY15" s="35"/>
      <c r="AJZ15" s="35"/>
      <c r="AKA15" s="35"/>
      <c r="AKB15" s="35"/>
      <c r="AKC15" s="35"/>
      <c r="AKD15" s="35"/>
      <c r="AKE15" s="35"/>
      <c r="AKF15" s="35"/>
      <c r="AKG15" s="35"/>
      <c r="AKH15" s="35"/>
      <c r="AKI15" s="35"/>
      <c r="AKJ15" s="35"/>
      <c r="AKK15" s="35"/>
      <c r="AKL15" s="35"/>
      <c r="AKM15" s="35"/>
      <c r="AKN15" s="35"/>
      <c r="AKO15" s="35"/>
      <c r="AKP15" s="35"/>
      <c r="AKQ15" s="35"/>
      <c r="AKR15" s="35"/>
      <c r="AKS15" s="35"/>
    </row>
    <row r="16" customFormat="false" ht="12.8" hidden="true" customHeight="true" outlineLevel="1" collapsed="false">
      <c r="A16" s="40"/>
      <c r="B16" s="40"/>
      <c r="C16" s="40"/>
      <c r="D16" s="40"/>
      <c r="E16" s="40"/>
      <c r="F16" s="40"/>
      <c r="G16" s="40"/>
      <c r="H16" s="40"/>
      <c r="I16" s="40"/>
      <c r="J16" s="40"/>
      <c r="K16" s="40"/>
      <c r="L16" s="40"/>
      <c r="M16" s="40"/>
      <c r="N16" s="40"/>
      <c r="O16" s="40" t="s">
        <v>364</v>
      </c>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c r="BI16" s="35"/>
      <c r="BJ16" s="35"/>
      <c r="BK16" s="35"/>
      <c r="BL16" s="35"/>
      <c r="BM16" s="35"/>
      <c r="BN16" s="35"/>
      <c r="BO16" s="35"/>
      <c r="BP16" s="35"/>
      <c r="BQ16" s="35"/>
      <c r="BR16" s="35"/>
      <c r="BS16" s="35"/>
      <c r="BT16" s="35"/>
      <c r="BU16" s="35"/>
      <c r="BV16" s="35"/>
      <c r="BW16" s="35"/>
      <c r="BX16" s="35"/>
      <c r="BY16" s="35"/>
      <c r="BZ16" s="35"/>
      <c r="CA16" s="35"/>
      <c r="CB16" s="35"/>
      <c r="CC16" s="35"/>
      <c r="CD16" s="35"/>
      <c r="CE16" s="35"/>
      <c r="CF16" s="35"/>
      <c r="CG16" s="35"/>
      <c r="CH16" s="35"/>
      <c r="CI16" s="35"/>
      <c r="CJ16" s="35"/>
      <c r="CK16" s="35"/>
      <c r="CL16" s="35"/>
      <c r="CM16" s="35"/>
      <c r="CN16" s="35"/>
      <c r="CO16" s="35"/>
      <c r="CP16" s="35"/>
      <c r="CQ16" s="35"/>
      <c r="CR16" s="35"/>
      <c r="CS16" s="35"/>
      <c r="CT16" s="35"/>
      <c r="CU16" s="35"/>
      <c r="CV16" s="35"/>
      <c r="CW16" s="35"/>
      <c r="CX16" s="35"/>
      <c r="CY16" s="35"/>
      <c r="CZ16" s="35"/>
      <c r="DA16" s="35"/>
      <c r="DB16" s="35"/>
      <c r="DC16" s="35"/>
      <c r="DD16" s="35"/>
      <c r="DE16" s="35"/>
      <c r="DF16" s="35"/>
      <c r="DG16" s="35"/>
      <c r="DH16" s="35"/>
      <c r="DI16" s="35"/>
      <c r="DJ16" s="35"/>
      <c r="DK16" s="35"/>
      <c r="DL16" s="35"/>
      <c r="DM16" s="35"/>
      <c r="DN16" s="35"/>
      <c r="DO16" s="35"/>
      <c r="DP16" s="35"/>
      <c r="DQ16" s="35"/>
      <c r="DR16" s="35"/>
      <c r="DS16" s="35"/>
      <c r="DT16" s="35"/>
      <c r="DU16" s="35"/>
      <c r="DV16" s="35"/>
      <c r="DW16" s="35"/>
      <c r="DX16" s="35"/>
      <c r="DY16" s="35"/>
      <c r="DZ16" s="35"/>
      <c r="EA16" s="35"/>
      <c r="EB16" s="35"/>
      <c r="EC16" s="35"/>
      <c r="ED16" s="35"/>
      <c r="EE16" s="35"/>
      <c r="EF16" s="35"/>
      <c r="EG16" s="35"/>
      <c r="EH16" s="35"/>
      <c r="EI16" s="35"/>
      <c r="EJ16" s="35"/>
      <c r="EK16" s="35"/>
      <c r="EL16" s="35"/>
      <c r="EM16" s="35"/>
      <c r="EN16" s="35"/>
      <c r="EO16" s="35"/>
      <c r="EP16" s="35"/>
      <c r="EQ16" s="35"/>
      <c r="ER16" s="35"/>
      <c r="ES16" s="35"/>
      <c r="ET16" s="35"/>
      <c r="EU16" s="35"/>
      <c r="EV16" s="35"/>
      <c r="EW16" s="35"/>
      <c r="EX16" s="35"/>
      <c r="EY16" s="35"/>
      <c r="EZ16" s="35"/>
      <c r="FA16" s="35"/>
      <c r="FB16" s="35"/>
      <c r="FC16" s="35"/>
      <c r="FD16" s="35"/>
      <c r="FE16" s="35"/>
      <c r="FF16" s="35"/>
      <c r="FG16" s="35"/>
      <c r="FH16" s="35"/>
      <c r="FI16" s="35"/>
      <c r="FJ16" s="35"/>
      <c r="FK16" s="35"/>
      <c r="FL16" s="35"/>
      <c r="FM16" s="35"/>
      <c r="FN16" s="35"/>
      <c r="FO16" s="35"/>
      <c r="FP16" s="35"/>
      <c r="FQ16" s="35"/>
      <c r="FR16" s="35"/>
      <c r="FS16" s="35"/>
      <c r="FT16" s="35"/>
      <c r="FU16" s="35"/>
      <c r="FV16" s="35"/>
      <c r="FW16" s="35"/>
      <c r="FX16" s="35"/>
      <c r="FY16" s="35"/>
      <c r="FZ16" s="35"/>
      <c r="GA16" s="35"/>
      <c r="GB16" s="35"/>
      <c r="GC16" s="35"/>
      <c r="GD16" s="35"/>
      <c r="GE16" s="35"/>
      <c r="GF16" s="35"/>
      <c r="GG16" s="35"/>
      <c r="GH16" s="35"/>
      <c r="GI16" s="35"/>
      <c r="GJ16" s="35"/>
      <c r="GK16" s="35"/>
      <c r="GL16" s="35"/>
      <c r="GM16" s="35"/>
      <c r="GN16" s="35"/>
      <c r="GO16" s="35"/>
      <c r="GP16" s="35"/>
      <c r="GQ16" s="35"/>
      <c r="GR16" s="35"/>
      <c r="GS16" s="35"/>
      <c r="GT16" s="35"/>
      <c r="GU16" s="35"/>
      <c r="GV16" s="35"/>
      <c r="GW16" s="35"/>
      <c r="GX16" s="35"/>
      <c r="GY16" s="35"/>
      <c r="GZ16" s="35"/>
      <c r="HA16" s="35"/>
      <c r="HB16" s="35"/>
      <c r="HC16" s="35"/>
      <c r="HD16" s="35"/>
      <c r="HE16" s="35"/>
      <c r="HF16" s="35"/>
      <c r="HG16" s="35"/>
      <c r="HH16" s="35"/>
      <c r="HI16" s="35"/>
      <c r="HJ16" s="35"/>
      <c r="HK16" s="35"/>
      <c r="HL16" s="35"/>
      <c r="HM16" s="35"/>
      <c r="HN16" s="35"/>
      <c r="HO16" s="35"/>
      <c r="HP16" s="35"/>
      <c r="HQ16" s="35"/>
      <c r="HR16" s="35"/>
      <c r="HS16" s="35"/>
      <c r="HT16" s="35"/>
      <c r="HU16" s="35"/>
      <c r="HV16" s="35"/>
      <c r="HW16" s="35"/>
      <c r="HX16" s="35"/>
      <c r="HY16" s="35"/>
      <c r="HZ16" s="35"/>
      <c r="IA16" s="35"/>
      <c r="IB16" s="35"/>
      <c r="IC16" s="35"/>
      <c r="ID16" s="35"/>
      <c r="IE16" s="35"/>
      <c r="IF16" s="35"/>
      <c r="IG16" s="35"/>
      <c r="IH16" s="35"/>
      <c r="II16" s="35"/>
      <c r="IJ16" s="35"/>
      <c r="IK16" s="35"/>
      <c r="IL16" s="35"/>
      <c r="IM16" s="35"/>
      <c r="IN16" s="35"/>
      <c r="IO16" s="35"/>
      <c r="IP16" s="35"/>
      <c r="IQ16" s="35"/>
      <c r="IR16" s="35"/>
      <c r="IS16" s="35"/>
      <c r="IT16" s="35"/>
      <c r="IU16" s="35"/>
      <c r="IV16" s="35"/>
      <c r="IW16" s="35"/>
      <c r="IX16" s="35"/>
      <c r="IY16" s="35"/>
      <c r="IZ16" s="35"/>
      <c r="JA16" s="35"/>
      <c r="JB16" s="35"/>
      <c r="JC16" s="35"/>
      <c r="JD16" s="35"/>
      <c r="JE16" s="35"/>
      <c r="JF16" s="35"/>
      <c r="JG16" s="35"/>
      <c r="JH16" s="35"/>
      <c r="JI16" s="35"/>
      <c r="JJ16" s="35"/>
      <c r="JK16" s="35"/>
      <c r="JL16" s="35"/>
      <c r="JM16" s="35"/>
      <c r="JN16" s="35"/>
      <c r="JO16" s="35"/>
      <c r="JP16" s="35"/>
      <c r="JQ16" s="35"/>
      <c r="JR16" s="35"/>
      <c r="JS16" s="35"/>
      <c r="JT16" s="35"/>
      <c r="JU16" s="35"/>
      <c r="JV16" s="35"/>
      <c r="JW16" s="35"/>
      <c r="JX16" s="35"/>
      <c r="JY16" s="35"/>
      <c r="JZ16" s="35"/>
      <c r="KA16" s="35"/>
      <c r="KB16" s="35"/>
      <c r="KC16" s="35"/>
      <c r="KD16" s="35"/>
      <c r="KE16" s="35"/>
      <c r="KF16" s="35"/>
      <c r="KG16" s="35"/>
      <c r="KH16" s="35"/>
      <c r="KI16" s="35"/>
      <c r="KJ16" s="35"/>
      <c r="KK16" s="35"/>
      <c r="KL16" s="35"/>
      <c r="KM16" s="35"/>
      <c r="KN16" s="35"/>
      <c r="KO16" s="35"/>
      <c r="KP16" s="35"/>
      <c r="KQ16" s="35"/>
      <c r="KR16" s="35"/>
      <c r="KS16" s="35"/>
      <c r="KT16" s="35"/>
      <c r="KU16" s="35"/>
      <c r="KV16" s="35"/>
      <c r="KW16" s="35"/>
      <c r="KX16" s="35"/>
      <c r="KY16" s="35"/>
      <c r="KZ16" s="35"/>
      <c r="LA16" s="35"/>
      <c r="LB16" s="35"/>
      <c r="LC16" s="35"/>
      <c r="LD16" s="35"/>
      <c r="LE16" s="35"/>
      <c r="LF16" s="35"/>
      <c r="LG16" s="35"/>
      <c r="LH16" s="35"/>
      <c r="LI16" s="35"/>
      <c r="LJ16" s="35"/>
      <c r="LK16" s="35"/>
      <c r="LL16" s="35"/>
      <c r="LM16" s="35"/>
      <c r="LN16" s="35"/>
      <c r="LO16" s="35"/>
      <c r="LP16" s="35"/>
      <c r="LQ16" s="35"/>
      <c r="LR16" s="35"/>
      <c r="LS16" s="35"/>
      <c r="LT16" s="35"/>
      <c r="LU16" s="35"/>
      <c r="LV16" s="35"/>
      <c r="LW16" s="35"/>
      <c r="LX16" s="35"/>
      <c r="LY16" s="35"/>
      <c r="LZ16" s="35"/>
      <c r="MA16" s="35"/>
      <c r="MB16" s="35"/>
      <c r="MC16" s="35"/>
      <c r="MD16" s="35"/>
      <c r="ME16" s="35"/>
      <c r="MF16" s="35"/>
      <c r="MG16" s="35"/>
      <c r="MH16" s="35"/>
      <c r="MI16" s="35"/>
      <c r="MJ16" s="35"/>
      <c r="MK16" s="35"/>
      <c r="ML16" s="35"/>
      <c r="MM16" s="35"/>
      <c r="MN16" s="35"/>
      <c r="MO16" s="35"/>
      <c r="MP16" s="35"/>
      <c r="MQ16" s="35"/>
      <c r="MR16" s="35"/>
      <c r="MS16" s="35"/>
      <c r="MT16" s="35"/>
      <c r="MU16" s="35"/>
      <c r="MV16" s="35"/>
      <c r="MW16" s="35"/>
      <c r="MX16" s="35"/>
      <c r="MY16" s="35"/>
      <c r="MZ16" s="35"/>
      <c r="NA16" s="35"/>
      <c r="NB16" s="35"/>
      <c r="NC16" s="35"/>
      <c r="ND16" s="35"/>
      <c r="NE16" s="35"/>
      <c r="NF16" s="35"/>
      <c r="NG16" s="35"/>
      <c r="NH16" s="35"/>
      <c r="NI16" s="35"/>
      <c r="NJ16" s="35"/>
      <c r="NK16" s="35"/>
      <c r="NL16" s="35"/>
      <c r="NM16" s="35"/>
      <c r="NN16" s="35"/>
      <c r="NO16" s="35"/>
      <c r="NP16" s="35"/>
      <c r="NQ16" s="35"/>
      <c r="NR16" s="35"/>
      <c r="NS16" s="35"/>
      <c r="NT16" s="35"/>
      <c r="NU16" s="35"/>
      <c r="NV16" s="35"/>
      <c r="NW16" s="35"/>
      <c r="NX16" s="35"/>
      <c r="NY16" s="35"/>
      <c r="NZ16" s="35"/>
      <c r="OA16" s="35"/>
      <c r="OB16" s="35"/>
      <c r="OC16" s="35"/>
      <c r="OD16" s="35"/>
      <c r="OE16" s="35"/>
      <c r="OF16" s="35"/>
      <c r="OG16" s="35"/>
      <c r="OH16" s="35"/>
      <c r="OI16" s="35"/>
      <c r="OJ16" s="35"/>
      <c r="OK16" s="35"/>
      <c r="OL16" s="35"/>
      <c r="OM16" s="35"/>
      <c r="ON16" s="35"/>
      <c r="OO16" s="35"/>
      <c r="OP16" s="35"/>
      <c r="OQ16" s="35"/>
      <c r="OR16" s="35"/>
      <c r="OS16" s="35"/>
      <c r="OT16" s="35"/>
      <c r="OU16" s="35"/>
      <c r="OV16" s="35"/>
      <c r="OW16" s="35"/>
      <c r="OX16" s="35"/>
      <c r="OY16" s="35"/>
      <c r="OZ16" s="35"/>
      <c r="PA16" s="35"/>
      <c r="PB16" s="35"/>
      <c r="PC16" s="35"/>
      <c r="PD16" s="35"/>
      <c r="PE16" s="35"/>
      <c r="PF16" s="35"/>
      <c r="PG16" s="35"/>
      <c r="PH16" s="35"/>
      <c r="PI16" s="35"/>
      <c r="PJ16" s="35"/>
      <c r="PK16" s="35"/>
      <c r="PL16" s="35"/>
      <c r="PM16" s="35"/>
      <c r="PN16" s="35"/>
      <c r="PO16" s="35"/>
      <c r="PP16" s="35"/>
      <c r="PQ16" s="35"/>
      <c r="PR16" s="35"/>
      <c r="PS16" s="35"/>
      <c r="PT16" s="35"/>
      <c r="PU16" s="35"/>
      <c r="PV16" s="35"/>
      <c r="PW16" s="35"/>
      <c r="PX16" s="35"/>
      <c r="PY16" s="35"/>
      <c r="PZ16" s="35"/>
      <c r="QA16" s="35"/>
      <c r="QB16" s="35"/>
      <c r="QC16" s="35"/>
      <c r="QD16" s="35"/>
      <c r="QE16" s="35"/>
      <c r="QF16" s="35"/>
      <c r="QG16" s="35"/>
      <c r="QH16" s="35"/>
      <c r="QI16" s="35"/>
      <c r="QJ16" s="35"/>
      <c r="QK16" s="35"/>
      <c r="QL16" s="35"/>
      <c r="QM16" s="35"/>
      <c r="QN16" s="35"/>
      <c r="QO16" s="35"/>
      <c r="QP16" s="35"/>
      <c r="QQ16" s="35"/>
      <c r="QR16" s="35"/>
      <c r="QS16" s="35"/>
      <c r="QT16" s="35"/>
      <c r="QU16" s="35"/>
      <c r="QV16" s="35"/>
      <c r="QW16" s="35"/>
      <c r="QX16" s="35"/>
      <c r="QY16" s="35"/>
      <c r="QZ16" s="35"/>
      <c r="RA16" s="35"/>
      <c r="RB16" s="35"/>
      <c r="RC16" s="35"/>
      <c r="RD16" s="35"/>
      <c r="RE16" s="35"/>
      <c r="RF16" s="35"/>
      <c r="RG16" s="35"/>
      <c r="RH16" s="35"/>
      <c r="RI16" s="35"/>
      <c r="RJ16" s="35"/>
      <c r="RK16" s="35"/>
      <c r="RL16" s="35"/>
      <c r="RM16" s="35"/>
      <c r="RN16" s="35"/>
      <c r="RO16" s="35"/>
      <c r="RP16" s="35"/>
      <c r="RQ16" s="35"/>
      <c r="RR16" s="35"/>
      <c r="RS16" s="35"/>
      <c r="RT16" s="35"/>
      <c r="RU16" s="35"/>
      <c r="RV16" s="35"/>
      <c r="RW16" s="35"/>
      <c r="RX16" s="35"/>
      <c r="RY16" s="35"/>
      <c r="RZ16" s="35"/>
      <c r="SA16" s="35"/>
      <c r="SB16" s="35"/>
      <c r="SC16" s="35"/>
      <c r="SD16" s="35"/>
      <c r="SE16" s="35"/>
      <c r="SF16" s="35"/>
      <c r="SG16" s="35"/>
      <c r="SH16" s="35"/>
      <c r="SI16" s="35"/>
      <c r="SJ16" s="35"/>
      <c r="SK16" s="35"/>
      <c r="SL16" s="35"/>
      <c r="SM16" s="35"/>
      <c r="SN16" s="35"/>
      <c r="SO16" s="35"/>
      <c r="SP16" s="35"/>
      <c r="SQ16" s="35"/>
      <c r="SR16" s="35"/>
      <c r="SS16" s="35"/>
      <c r="ST16" s="35"/>
      <c r="SU16" s="35"/>
      <c r="SV16" s="35"/>
      <c r="SW16" s="35"/>
      <c r="SX16" s="35"/>
      <c r="SY16" s="35"/>
      <c r="SZ16" s="35"/>
      <c r="TA16" s="35"/>
      <c r="TB16" s="35"/>
      <c r="TC16" s="35"/>
      <c r="TD16" s="35"/>
      <c r="TE16" s="35"/>
      <c r="TF16" s="35"/>
      <c r="TG16" s="35"/>
      <c r="TH16" s="35"/>
      <c r="TI16" s="35"/>
      <c r="TJ16" s="35"/>
      <c r="TK16" s="35"/>
      <c r="TL16" s="35"/>
      <c r="TM16" s="35"/>
      <c r="TN16" s="35"/>
      <c r="TO16" s="35"/>
      <c r="TP16" s="35"/>
      <c r="TQ16" s="35"/>
      <c r="TR16" s="35"/>
      <c r="TS16" s="35"/>
      <c r="TT16" s="35"/>
      <c r="TU16" s="35"/>
      <c r="TV16" s="35"/>
      <c r="TW16" s="35"/>
      <c r="TX16" s="35"/>
      <c r="TY16" s="35"/>
      <c r="TZ16" s="35"/>
      <c r="UA16" s="35"/>
      <c r="UB16" s="35"/>
      <c r="UC16" s="35"/>
      <c r="UD16" s="35"/>
      <c r="UE16" s="35"/>
      <c r="UF16" s="35"/>
      <c r="UG16" s="35"/>
      <c r="UH16" s="35"/>
      <c r="UI16" s="35"/>
      <c r="UJ16" s="35"/>
      <c r="UK16" s="35"/>
      <c r="UL16" s="35"/>
      <c r="UM16" s="35"/>
      <c r="UN16" s="35"/>
      <c r="UO16" s="35"/>
      <c r="UP16" s="35"/>
      <c r="UQ16" s="35"/>
      <c r="UR16" s="35"/>
      <c r="US16" s="35"/>
      <c r="UT16" s="35"/>
      <c r="UU16" s="35"/>
      <c r="UV16" s="35"/>
      <c r="UW16" s="35"/>
      <c r="UX16" s="35"/>
      <c r="UY16" s="35"/>
      <c r="UZ16" s="35"/>
      <c r="VA16" s="35"/>
      <c r="VB16" s="35"/>
      <c r="VC16" s="35"/>
      <c r="VD16" s="35"/>
      <c r="VE16" s="35"/>
      <c r="VF16" s="35"/>
      <c r="VG16" s="35"/>
      <c r="VH16" s="35"/>
      <c r="VI16" s="35"/>
      <c r="VJ16" s="35"/>
      <c r="VK16" s="35"/>
      <c r="VL16" s="35"/>
      <c r="VM16" s="35"/>
      <c r="VN16" s="35"/>
      <c r="VO16" s="35"/>
      <c r="VP16" s="35"/>
      <c r="VQ16" s="35"/>
      <c r="VR16" s="35"/>
      <c r="VS16" s="35"/>
      <c r="VT16" s="35"/>
      <c r="VU16" s="35"/>
      <c r="VV16" s="35"/>
      <c r="VW16" s="35"/>
      <c r="VX16" s="35"/>
      <c r="VY16" s="35"/>
      <c r="VZ16" s="35"/>
      <c r="WA16" s="35"/>
      <c r="WB16" s="35"/>
      <c r="WC16" s="35"/>
      <c r="WD16" s="35"/>
      <c r="WE16" s="35"/>
      <c r="WF16" s="35"/>
      <c r="WG16" s="35"/>
      <c r="WH16" s="35"/>
      <c r="WI16" s="35"/>
      <c r="WJ16" s="35"/>
      <c r="WK16" s="35"/>
      <c r="WL16" s="35"/>
      <c r="WM16" s="35"/>
      <c r="WN16" s="35"/>
      <c r="WO16" s="35"/>
      <c r="WP16" s="35"/>
      <c r="WQ16" s="35"/>
      <c r="WR16" s="35"/>
      <c r="WS16" s="35"/>
      <c r="WT16" s="35"/>
      <c r="WU16" s="35"/>
      <c r="WV16" s="35"/>
      <c r="WW16" s="35"/>
      <c r="WX16" s="35"/>
      <c r="WY16" s="35"/>
      <c r="WZ16" s="35"/>
      <c r="XA16" s="35"/>
      <c r="XB16" s="35"/>
      <c r="XC16" s="35"/>
      <c r="XD16" s="35"/>
      <c r="XE16" s="35"/>
      <c r="XF16" s="35"/>
      <c r="XG16" s="35"/>
      <c r="XH16" s="35"/>
      <c r="XI16" s="35"/>
      <c r="XJ16" s="35"/>
      <c r="XK16" s="35"/>
      <c r="XL16" s="35"/>
      <c r="XM16" s="35"/>
      <c r="XN16" s="35"/>
      <c r="XO16" s="35"/>
      <c r="XP16" s="35"/>
      <c r="XQ16" s="35"/>
      <c r="XR16" s="35"/>
      <c r="XS16" s="35"/>
      <c r="XT16" s="35"/>
      <c r="XU16" s="35"/>
      <c r="XV16" s="35"/>
      <c r="XW16" s="35"/>
      <c r="XX16" s="35"/>
      <c r="XY16" s="35"/>
      <c r="XZ16" s="35"/>
      <c r="YA16" s="35"/>
      <c r="YB16" s="35"/>
      <c r="YC16" s="35"/>
      <c r="YD16" s="35"/>
      <c r="YE16" s="35"/>
      <c r="YF16" s="35"/>
      <c r="YG16" s="35"/>
      <c r="YH16" s="35"/>
      <c r="YI16" s="35"/>
      <c r="YJ16" s="35"/>
      <c r="YK16" s="35"/>
      <c r="YL16" s="35"/>
      <c r="YM16" s="35"/>
      <c r="YN16" s="35"/>
      <c r="YO16" s="35"/>
      <c r="YP16" s="35"/>
      <c r="YQ16" s="35"/>
      <c r="YR16" s="35"/>
      <c r="YS16" s="35"/>
      <c r="YT16" s="35"/>
      <c r="YU16" s="35"/>
      <c r="YV16" s="35"/>
      <c r="YW16" s="35"/>
      <c r="YX16" s="35"/>
      <c r="YY16" s="35"/>
      <c r="YZ16" s="35"/>
      <c r="ZA16" s="35"/>
      <c r="ZB16" s="35"/>
      <c r="ZC16" s="35"/>
      <c r="ZD16" s="35"/>
      <c r="ZE16" s="35"/>
      <c r="ZF16" s="35"/>
      <c r="ZG16" s="35"/>
      <c r="ZH16" s="35"/>
      <c r="ZI16" s="35"/>
      <c r="ZJ16" s="35"/>
      <c r="ZK16" s="35"/>
      <c r="ZL16" s="35"/>
      <c r="ZM16" s="35"/>
      <c r="ZN16" s="35"/>
      <c r="ZO16" s="35"/>
      <c r="ZP16" s="35"/>
      <c r="ZQ16" s="35"/>
      <c r="ZR16" s="35"/>
      <c r="ZS16" s="35"/>
      <c r="ZT16" s="35"/>
      <c r="ZU16" s="35"/>
      <c r="ZV16" s="35"/>
      <c r="ZW16" s="35"/>
      <c r="ZX16" s="35"/>
      <c r="ZY16" s="35"/>
      <c r="ZZ16" s="35"/>
      <c r="AAA16" s="35"/>
      <c r="AAB16" s="35"/>
      <c r="AAC16" s="35"/>
      <c r="AAD16" s="35"/>
      <c r="AAE16" s="35"/>
      <c r="AAF16" s="35"/>
      <c r="AAG16" s="35"/>
      <c r="AAH16" s="35"/>
      <c r="AAI16" s="35"/>
      <c r="AAJ16" s="35"/>
      <c r="AAK16" s="35"/>
      <c r="AAL16" s="35"/>
      <c r="AAM16" s="35"/>
      <c r="AAN16" s="35"/>
      <c r="AAO16" s="35"/>
      <c r="AAP16" s="35"/>
      <c r="AAQ16" s="35"/>
      <c r="AAR16" s="35"/>
      <c r="AAS16" s="35"/>
      <c r="AAT16" s="35"/>
      <c r="AAU16" s="35"/>
      <c r="AAV16" s="35"/>
      <c r="AAW16" s="35"/>
      <c r="AAX16" s="35"/>
      <c r="AAY16" s="35"/>
      <c r="AAZ16" s="35"/>
      <c r="ABA16" s="35"/>
      <c r="ABB16" s="35"/>
      <c r="ABC16" s="35"/>
      <c r="ABD16" s="35"/>
      <c r="ABE16" s="35"/>
      <c r="ABF16" s="35"/>
      <c r="ABG16" s="35"/>
      <c r="ABH16" s="35"/>
      <c r="ABI16" s="35"/>
      <c r="ABJ16" s="35"/>
      <c r="ABK16" s="35"/>
      <c r="ABL16" s="35"/>
      <c r="ABM16" s="35"/>
      <c r="ABN16" s="35"/>
      <c r="ABO16" s="35"/>
      <c r="ABP16" s="35"/>
      <c r="ABQ16" s="35"/>
      <c r="ABR16" s="35"/>
      <c r="ABS16" s="35"/>
      <c r="ABT16" s="35"/>
      <c r="ABU16" s="35"/>
      <c r="ABV16" s="35"/>
      <c r="ABW16" s="35"/>
      <c r="ABX16" s="35"/>
      <c r="ABY16" s="35"/>
      <c r="ABZ16" s="35"/>
      <c r="ACA16" s="35"/>
      <c r="ACB16" s="35"/>
      <c r="ACC16" s="35"/>
      <c r="ACD16" s="35"/>
      <c r="ACE16" s="35"/>
      <c r="ACF16" s="35"/>
      <c r="ACG16" s="35"/>
      <c r="ACH16" s="35"/>
      <c r="ACI16" s="35"/>
      <c r="ACJ16" s="35"/>
      <c r="ACK16" s="35"/>
      <c r="ACL16" s="35"/>
      <c r="ACM16" s="35"/>
      <c r="ACN16" s="35"/>
      <c r="ACO16" s="35"/>
      <c r="ACP16" s="35"/>
      <c r="ACQ16" s="35"/>
      <c r="ACR16" s="35"/>
      <c r="ACS16" s="35"/>
      <c r="ACT16" s="35"/>
      <c r="ACU16" s="35"/>
      <c r="ACV16" s="35"/>
      <c r="ACW16" s="35"/>
      <c r="ACX16" s="35"/>
      <c r="ACY16" s="35"/>
      <c r="ACZ16" s="35"/>
      <c r="ADA16" s="35"/>
      <c r="ADB16" s="35"/>
      <c r="ADC16" s="35"/>
      <c r="ADD16" s="35"/>
      <c r="ADE16" s="35"/>
      <c r="ADF16" s="35"/>
      <c r="ADG16" s="35"/>
      <c r="ADH16" s="35"/>
      <c r="ADI16" s="35"/>
      <c r="ADJ16" s="35"/>
      <c r="ADK16" s="35"/>
      <c r="ADL16" s="35"/>
      <c r="ADM16" s="35"/>
      <c r="ADN16" s="35"/>
      <c r="ADO16" s="35"/>
      <c r="ADP16" s="35"/>
      <c r="ADQ16" s="35"/>
      <c r="ADR16" s="35"/>
      <c r="ADS16" s="35"/>
      <c r="ADT16" s="35"/>
      <c r="ADU16" s="35"/>
      <c r="ADV16" s="35"/>
      <c r="ADW16" s="35"/>
      <c r="ADX16" s="35"/>
      <c r="ADY16" s="35"/>
      <c r="ADZ16" s="35"/>
      <c r="AEA16" s="35"/>
      <c r="AEB16" s="35"/>
      <c r="AEC16" s="35"/>
      <c r="AED16" s="35"/>
      <c r="AEE16" s="35"/>
      <c r="AEF16" s="35"/>
      <c r="AEG16" s="35"/>
      <c r="AEH16" s="35"/>
      <c r="AEI16" s="35"/>
      <c r="AEJ16" s="35"/>
      <c r="AEK16" s="35"/>
      <c r="AEL16" s="35"/>
      <c r="AEM16" s="35"/>
      <c r="AEN16" s="35"/>
      <c r="AEO16" s="35"/>
      <c r="AEP16" s="35"/>
      <c r="AEQ16" s="35"/>
      <c r="AER16" s="35"/>
      <c r="AES16" s="35"/>
      <c r="AET16" s="35"/>
      <c r="AEU16" s="35"/>
      <c r="AEV16" s="35"/>
      <c r="AEW16" s="35"/>
      <c r="AEX16" s="35"/>
      <c r="AEY16" s="35"/>
      <c r="AEZ16" s="35"/>
      <c r="AFA16" s="35"/>
      <c r="AFB16" s="35"/>
      <c r="AFC16" s="35"/>
      <c r="AFD16" s="35"/>
      <c r="AFE16" s="35"/>
      <c r="AFF16" s="35"/>
      <c r="AFG16" s="35"/>
      <c r="AFH16" s="35"/>
      <c r="AFI16" s="35"/>
      <c r="AFJ16" s="35"/>
      <c r="AFK16" s="35"/>
      <c r="AFL16" s="35"/>
      <c r="AFM16" s="35"/>
      <c r="AFN16" s="35"/>
      <c r="AFO16" s="35"/>
      <c r="AFP16" s="35"/>
      <c r="AFQ16" s="35"/>
      <c r="AFR16" s="35"/>
      <c r="AFS16" s="35"/>
      <c r="AFT16" s="35"/>
      <c r="AFU16" s="35"/>
      <c r="AFV16" s="35"/>
      <c r="AFW16" s="35"/>
      <c r="AFX16" s="35"/>
      <c r="AFY16" s="35"/>
      <c r="AFZ16" s="35"/>
      <c r="AGA16" s="35"/>
      <c r="AGB16" s="35"/>
      <c r="AGC16" s="35"/>
      <c r="AGD16" s="35"/>
      <c r="AGE16" s="35"/>
      <c r="AGF16" s="35"/>
      <c r="AGG16" s="35"/>
      <c r="AGH16" s="35"/>
      <c r="AGI16" s="35"/>
      <c r="AGJ16" s="35"/>
      <c r="AGK16" s="35"/>
      <c r="AGL16" s="35"/>
      <c r="AGM16" s="35"/>
      <c r="AGN16" s="35"/>
      <c r="AGO16" s="35"/>
      <c r="AGP16" s="35"/>
      <c r="AGQ16" s="35"/>
      <c r="AGR16" s="35"/>
      <c r="AGS16" s="35"/>
      <c r="AGT16" s="35"/>
      <c r="AGU16" s="35"/>
      <c r="AGV16" s="35"/>
      <c r="AGW16" s="35"/>
      <c r="AGX16" s="35"/>
      <c r="AGY16" s="35"/>
      <c r="AGZ16" s="35"/>
      <c r="AHA16" s="35"/>
      <c r="AHB16" s="35"/>
      <c r="AHC16" s="35"/>
      <c r="AHD16" s="35"/>
      <c r="AHE16" s="35"/>
      <c r="AHF16" s="35"/>
      <c r="AHG16" s="35"/>
      <c r="AHH16" s="35"/>
      <c r="AHI16" s="35"/>
      <c r="AHJ16" s="35"/>
      <c r="AHK16" s="35"/>
      <c r="AHL16" s="35"/>
      <c r="AHM16" s="35"/>
      <c r="AHN16" s="35"/>
      <c r="AHO16" s="35"/>
      <c r="AHP16" s="35"/>
      <c r="AHQ16" s="35"/>
      <c r="AHR16" s="35"/>
      <c r="AHS16" s="35"/>
      <c r="AHT16" s="35"/>
      <c r="AHU16" s="35"/>
      <c r="AHV16" s="35"/>
      <c r="AHW16" s="35"/>
      <c r="AHX16" s="35"/>
      <c r="AHY16" s="35"/>
      <c r="AHZ16" s="35"/>
      <c r="AIA16" s="35"/>
      <c r="AIB16" s="35"/>
      <c r="AIC16" s="35"/>
      <c r="AID16" s="35"/>
      <c r="AIE16" s="35"/>
      <c r="AIF16" s="35"/>
      <c r="AIG16" s="35"/>
      <c r="AIH16" s="35"/>
      <c r="AII16" s="35"/>
      <c r="AIJ16" s="35"/>
      <c r="AIK16" s="35"/>
      <c r="AIL16" s="35"/>
      <c r="AIM16" s="35"/>
      <c r="AIN16" s="35"/>
      <c r="AIO16" s="35"/>
      <c r="AIP16" s="35"/>
      <c r="AIQ16" s="35"/>
      <c r="AIR16" s="35"/>
      <c r="AIS16" s="35"/>
      <c r="AIT16" s="35"/>
      <c r="AIU16" s="35"/>
      <c r="AIV16" s="35"/>
      <c r="AIW16" s="35"/>
      <c r="AIX16" s="35"/>
      <c r="AIY16" s="35"/>
      <c r="AIZ16" s="35"/>
      <c r="AJA16" s="35"/>
      <c r="AJB16" s="35"/>
      <c r="AJC16" s="35"/>
      <c r="AJD16" s="35"/>
      <c r="AJE16" s="35"/>
      <c r="AJF16" s="35"/>
      <c r="AJG16" s="35"/>
      <c r="AJH16" s="35"/>
      <c r="AJI16" s="35"/>
      <c r="AJJ16" s="35"/>
      <c r="AJK16" s="35"/>
      <c r="AJL16" s="35"/>
      <c r="AJM16" s="35"/>
      <c r="AJN16" s="35"/>
      <c r="AJO16" s="35"/>
      <c r="AJP16" s="35"/>
      <c r="AJQ16" s="35"/>
      <c r="AJR16" s="35"/>
      <c r="AJS16" s="35"/>
      <c r="AJT16" s="35"/>
      <c r="AJU16" s="35"/>
      <c r="AJV16" s="35"/>
      <c r="AJW16" s="35"/>
      <c r="AJX16" s="35"/>
      <c r="AJY16" s="35"/>
      <c r="AJZ16" s="35"/>
      <c r="AKA16" s="35"/>
      <c r="AKB16" s="35"/>
      <c r="AKC16" s="35"/>
      <c r="AKD16" s="35"/>
      <c r="AKE16" s="35"/>
      <c r="AKF16" s="35"/>
      <c r="AKG16" s="35"/>
      <c r="AKH16" s="35"/>
      <c r="AKI16" s="35"/>
      <c r="AKJ16" s="35"/>
      <c r="AKK16" s="35"/>
      <c r="AKL16" s="35"/>
      <c r="AKM16" s="35"/>
      <c r="AKN16" s="35"/>
      <c r="AKO16" s="35"/>
      <c r="AKP16" s="35"/>
      <c r="AKQ16" s="35"/>
      <c r="AKR16" s="35"/>
      <c r="AKS16" s="35"/>
    </row>
    <row r="17" customFormat="false" ht="12.8" hidden="true" customHeight="true" outlineLevel="1" collapsed="false">
      <c r="A17" s="40"/>
      <c r="B17" s="40"/>
      <c r="C17" s="40"/>
      <c r="D17" s="40"/>
      <c r="E17" s="40"/>
      <c r="F17" s="40"/>
      <c r="G17" s="40"/>
      <c r="H17" s="40"/>
      <c r="I17" s="40"/>
      <c r="J17" s="40"/>
      <c r="K17" s="40"/>
      <c r="L17" s="40"/>
      <c r="M17" s="40"/>
      <c r="N17" s="40"/>
      <c r="O17" s="40" t="s">
        <v>364</v>
      </c>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5"/>
      <c r="GC17" s="35"/>
      <c r="GD17" s="35"/>
      <c r="GE17" s="35"/>
      <c r="GF17" s="35"/>
      <c r="GG17" s="35"/>
      <c r="GH17" s="35"/>
      <c r="GI17" s="35"/>
      <c r="GJ17" s="35"/>
      <c r="GK17" s="35"/>
      <c r="GL17" s="35"/>
      <c r="GM17" s="35"/>
      <c r="GN17" s="35"/>
      <c r="GO17" s="35"/>
      <c r="GP17" s="35"/>
      <c r="GQ17" s="35"/>
      <c r="GR17" s="35"/>
      <c r="GS17" s="35"/>
      <c r="GT17" s="35"/>
      <c r="GU17" s="35"/>
      <c r="GV17" s="35"/>
      <c r="GW17" s="35"/>
      <c r="GX17" s="35"/>
      <c r="GY17" s="35"/>
      <c r="GZ17" s="35"/>
      <c r="HA17" s="35"/>
      <c r="HB17" s="35"/>
      <c r="HC17" s="35"/>
      <c r="HD17" s="35"/>
      <c r="HE17" s="35"/>
      <c r="HF17" s="35"/>
      <c r="HG17" s="35"/>
      <c r="HH17" s="35"/>
      <c r="HI17" s="35"/>
      <c r="HJ17" s="35"/>
      <c r="HK17" s="35"/>
      <c r="HL17" s="35"/>
      <c r="HM17" s="35"/>
      <c r="HN17" s="35"/>
      <c r="HO17" s="35"/>
      <c r="HP17" s="35"/>
      <c r="HQ17" s="35"/>
      <c r="HR17" s="35"/>
      <c r="HS17" s="35"/>
      <c r="HT17" s="35"/>
      <c r="HU17" s="35"/>
      <c r="HV17" s="35"/>
      <c r="HW17" s="35"/>
      <c r="HX17" s="35"/>
      <c r="HY17" s="35"/>
      <c r="HZ17" s="35"/>
      <c r="IA17" s="35"/>
      <c r="IB17" s="35"/>
      <c r="IC17" s="35"/>
      <c r="ID17" s="35"/>
      <c r="IE17" s="35"/>
      <c r="IF17" s="35"/>
      <c r="IG17" s="35"/>
      <c r="IH17" s="35"/>
      <c r="II17" s="35"/>
      <c r="IJ17" s="35"/>
      <c r="IK17" s="35"/>
      <c r="IL17" s="35"/>
      <c r="IM17" s="35"/>
      <c r="IN17" s="35"/>
      <c r="IO17" s="35"/>
      <c r="IP17" s="35"/>
      <c r="IQ17" s="35"/>
      <c r="IR17" s="35"/>
      <c r="IS17" s="35"/>
      <c r="IT17" s="35"/>
      <c r="IU17" s="35"/>
      <c r="IV17" s="35"/>
      <c r="IW17" s="35"/>
      <c r="IX17" s="35"/>
      <c r="IY17" s="35"/>
      <c r="IZ17" s="35"/>
      <c r="JA17" s="35"/>
      <c r="JB17" s="35"/>
      <c r="JC17" s="35"/>
      <c r="JD17" s="35"/>
      <c r="JE17" s="35"/>
      <c r="JF17" s="35"/>
      <c r="JG17" s="35"/>
      <c r="JH17" s="35"/>
      <c r="JI17" s="35"/>
      <c r="JJ17" s="35"/>
      <c r="JK17" s="35"/>
      <c r="JL17" s="35"/>
      <c r="JM17" s="35"/>
      <c r="JN17" s="35"/>
      <c r="JO17" s="35"/>
      <c r="JP17" s="35"/>
      <c r="JQ17" s="35"/>
      <c r="JR17" s="35"/>
      <c r="JS17" s="35"/>
      <c r="JT17" s="35"/>
      <c r="JU17" s="35"/>
      <c r="JV17" s="35"/>
      <c r="JW17" s="35"/>
      <c r="JX17" s="35"/>
      <c r="JY17" s="35"/>
      <c r="JZ17" s="35"/>
      <c r="KA17" s="35"/>
      <c r="KB17" s="35"/>
      <c r="KC17" s="35"/>
      <c r="KD17" s="35"/>
      <c r="KE17" s="35"/>
      <c r="KF17" s="35"/>
      <c r="KG17" s="35"/>
      <c r="KH17" s="35"/>
      <c r="KI17" s="35"/>
      <c r="KJ17" s="35"/>
      <c r="KK17" s="35"/>
      <c r="KL17" s="35"/>
      <c r="KM17" s="35"/>
      <c r="KN17" s="35"/>
      <c r="KO17" s="35"/>
      <c r="KP17" s="35"/>
      <c r="KQ17" s="35"/>
      <c r="KR17" s="35"/>
      <c r="KS17" s="35"/>
      <c r="KT17" s="35"/>
      <c r="KU17" s="35"/>
      <c r="KV17" s="35"/>
      <c r="KW17" s="35"/>
      <c r="KX17" s="35"/>
      <c r="KY17" s="35"/>
      <c r="KZ17" s="35"/>
      <c r="LA17" s="35"/>
      <c r="LB17" s="35"/>
      <c r="LC17" s="35"/>
      <c r="LD17" s="35"/>
      <c r="LE17" s="35"/>
      <c r="LF17" s="35"/>
      <c r="LG17" s="35"/>
      <c r="LH17" s="35"/>
      <c r="LI17" s="35"/>
      <c r="LJ17" s="35"/>
      <c r="LK17" s="35"/>
      <c r="LL17" s="35"/>
      <c r="LM17" s="35"/>
      <c r="LN17" s="35"/>
      <c r="LO17" s="35"/>
      <c r="LP17" s="35"/>
      <c r="LQ17" s="35"/>
      <c r="LR17" s="35"/>
      <c r="LS17" s="35"/>
      <c r="LT17" s="35"/>
      <c r="LU17" s="35"/>
      <c r="LV17" s="35"/>
      <c r="LW17" s="35"/>
      <c r="LX17" s="35"/>
      <c r="LY17" s="35"/>
      <c r="LZ17" s="35"/>
      <c r="MA17" s="35"/>
      <c r="MB17" s="35"/>
      <c r="MC17" s="35"/>
      <c r="MD17" s="35"/>
      <c r="ME17" s="35"/>
      <c r="MF17" s="35"/>
      <c r="MG17" s="35"/>
      <c r="MH17" s="35"/>
      <c r="MI17" s="35"/>
      <c r="MJ17" s="35"/>
      <c r="MK17" s="35"/>
      <c r="ML17" s="35"/>
      <c r="MM17" s="35"/>
      <c r="MN17" s="35"/>
      <c r="MO17" s="35"/>
      <c r="MP17" s="35"/>
      <c r="MQ17" s="35"/>
      <c r="MR17" s="35"/>
      <c r="MS17" s="35"/>
      <c r="MT17" s="35"/>
      <c r="MU17" s="35"/>
      <c r="MV17" s="35"/>
      <c r="MW17" s="35"/>
      <c r="MX17" s="35"/>
      <c r="MY17" s="35"/>
      <c r="MZ17" s="35"/>
      <c r="NA17" s="35"/>
      <c r="NB17" s="35"/>
      <c r="NC17" s="35"/>
      <c r="ND17" s="35"/>
      <c r="NE17" s="35"/>
      <c r="NF17" s="35"/>
      <c r="NG17" s="35"/>
      <c r="NH17" s="35"/>
      <c r="NI17" s="35"/>
      <c r="NJ17" s="35"/>
      <c r="NK17" s="35"/>
      <c r="NL17" s="35"/>
      <c r="NM17" s="35"/>
      <c r="NN17" s="35"/>
      <c r="NO17" s="35"/>
      <c r="NP17" s="35"/>
      <c r="NQ17" s="35"/>
      <c r="NR17" s="35"/>
      <c r="NS17" s="35"/>
      <c r="NT17" s="35"/>
      <c r="NU17" s="35"/>
      <c r="NV17" s="35"/>
      <c r="NW17" s="35"/>
      <c r="NX17" s="35"/>
      <c r="NY17" s="35"/>
      <c r="NZ17" s="35"/>
      <c r="OA17" s="35"/>
      <c r="OB17" s="35"/>
      <c r="OC17" s="35"/>
      <c r="OD17" s="35"/>
      <c r="OE17" s="35"/>
      <c r="OF17" s="35"/>
      <c r="OG17" s="35"/>
      <c r="OH17" s="35"/>
      <c r="OI17" s="35"/>
      <c r="OJ17" s="35"/>
      <c r="OK17" s="35"/>
      <c r="OL17" s="35"/>
      <c r="OM17" s="35"/>
      <c r="ON17" s="35"/>
      <c r="OO17" s="35"/>
      <c r="OP17" s="35"/>
      <c r="OQ17" s="35"/>
      <c r="OR17" s="35"/>
      <c r="OS17" s="35"/>
      <c r="OT17" s="35"/>
      <c r="OU17" s="35"/>
      <c r="OV17" s="35"/>
      <c r="OW17" s="35"/>
      <c r="OX17" s="35"/>
      <c r="OY17" s="35"/>
      <c r="OZ17" s="35"/>
      <c r="PA17" s="35"/>
      <c r="PB17" s="35"/>
      <c r="PC17" s="35"/>
      <c r="PD17" s="35"/>
      <c r="PE17" s="35"/>
      <c r="PF17" s="35"/>
      <c r="PG17" s="35"/>
      <c r="PH17" s="35"/>
      <c r="PI17" s="35"/>
      <c r="PJ17" s="35"/>
      <c r="PK17" s="35"/>
      <c r="PL17" s="35"/>
      <c r="PM17" s="35"/>
      <c r="PN17" s="35"/>
      <c r="PO17" s="35"/>
      <c r="PP17" s="35"/>
      <c r="PQ17" s="35"/>
      <c r="PR17" s="35"/>
      <c r="PS17" s="35"/>
      <c r="PT17" s="35"/>
      <c r="PU17" s="35"/>
      <c r="PV17" s="35"/>
      <c r="PW17" s="35"/>
      <c r="PX17" s="35"/>
      <c r="PY17" s="35"/>
      <c r="PZ17" s="35"/>
      <c r="QA17" s="35"/>
      <c r="QB17" s="35"/>
      <c r="QC17" s="35"/>
      <c r="QD17" s="35"/>
      <c r="QE17" s="35"/>
      <c r="QF17" s="35"/>
      <c r="QG17" s="35"/>
      <c r="QH17" s="35"/>
      <c r="QI17" s="35"/>
      <c r="QJ17" s="35"/>
      <c r="QK17" s="35"/>
      <c r="QL17" s="35"/>
      <c r="QM17" s="35"/>
      <c r="QN17" s="35"/>
      <c r="QO17" s="35"/>
      <c r="QP17" s="35"/>
      <c r="QQ17" s="35"/>
      <c r="QR17" s="35"/>
      <c r="QS17" s="35"/>
      <c r="QT17" s="35"/>
      <c r="QU17" s="35"/>
      <c r="QV17" s="35"/>
      <c r="QW17" s="35"/>
      <c r="QX17" s="35"/>
      <c r="QY17" s="35"/>
      <c r="QZ17" s="35"/>
      <c r="RA17" s="35"/>
      <c r="RB17" s="35"/>
      <c r="RC17" s="35"/>
      <c r="RD17" s="35"/>
      <c r="RE17" s="35"/>
      <c r="RF17" s="35"/>
      <c r="RG17" s="35"/>
      <c r="RH17" s="35"/>
      <c r="RI17" s="35"/>
      <c r="RJ17" s="35"/>
      <c r="RK17" s="35"/>
      <c r="RL17" s="35"/>
      <c r="RM17" s="35"/>
      <c r="RN17" s="35"/>
      <c r="RO17" s="35"/>
      <c r="RP17" s="35"/>
      <c r="RQ17" s="35"/>
      <c r="RR17" s="35"/>
      <c r="RS17" s="35"/>
      <c r="RT17" s="35"/>
      <c r="RU17" s="35"/>
      <c r="RV17" s="35"/>
      <c r="RW17" s="35"/>
      <c r="RX17" s="35"/>
      <c r="RY17" s="35"/>
      <c r="RZ17" s="35"/>
      <c r="SA17" s="35"/>
      <c r="SB17" s="35"/>
      <c r="SC17" s="35"/>
      <c r="SD17" s="35"/>
      <c r="SE17" s="35"/>
      <c r="SF17" s="35"/>
      <c r="SG17" s="35"/>
      <c r="SH17" s="35"/>
      <c r="SI17" s="35"/>
      <c r="SJ17" s="35"/>
      <c r="SK17" s="35"/>
      <c r="SL17" s="35"/>
      <c r="SM17" s="35"/>
      <c r="SN17" s="35"/>
      <c r="SO17" s="35"/>
      <c r="SP17" s="35"/>
      <c r="SQ17" s="35"/>
      <c r="SR17" s="35"/>
      <c r="SS17" s="35"/>
      <c r="ST17" s="35"/>
      <c r="SU17" s="35"/>
      <c r="SV17" s="35"/>
      <c r="SW17" s="35"/>
      <c r="SX17" s="35"/>
      <c r="SY17" s="35"/>
      <c r="SZ17" s="35"/>
      <c r="TA17" s="35"/>
      <c r="TB17" s="35"/>
      <c r="TC17" s="35"/>
      <c r="TD17" s="35"/>
      <c r="TE17" s="35"/>
      <c r="TF17" s="35"/>
      <c r="TG17" s="35"/>
      <c r="TH17" s="35"/>
      <c r="TI17" s="35"/>
      <c r="TJ17" s="35"/>
      <c r="TK17" s="35"/>
      <c r="TL17" s="35"/>
      <c r="TM17" s="35"/>
      <c r="TN17" s="35"/>
      <c r="TO17" s="35"/>
      <c r="TP17" s="35"/>
      <c r="TQ17" s="35"/>
      <c r="TR17" s="35"/>
      <c r="TS17" s="35"/>
      <c r="TT17" s="35"/>
      <c r="TU17" s="35"/>
      <c r="TV17" s="35"/>
      <c r="TW17" s="35"/>
      <c r="TX17" s="35"/>
      <c r="TY17" s="35"/>
      <c r="TZ17" s="35"/>
      <c r="UA17" s="35"/>
      <c r="UB17" s="35"/>
      <c r="UC17" s="35"/>
      <c r="UD17" s="35"/>
      <c r="UE17" s="35"/>
      <c r="UF17" s="35"/>
      <c r="UG17" s="35"/>
      <c r="UH17" s="35"/>
      <c r="UI17" s="35"/>
      <c r="UJ17" s="35"/>
      <c r="UK17" s="35"/>
      <c r="UL17" s="35"/>
      <c r="UM17" s="35"/>
      <c r="UN17" s="35"/>
      <c r="UO17" s="35"/>
      <c r="UP17" s="35"/>
      <c r="UQ17" s="35"/>
      <c r="UR17" s="35"/>
      <c r="US17" s="35"/>
      <c r="UT17" s="35"/>
      <c r="UU17" s="35"/>
      <c r="UV17" s="35"/>
      <c r="UW17" s="35"/>
      <c r="UX17" s="35"/>
      <c r="UY17" s="35"/>
      <c r="UZ17" s="35"/>
      <c r="VA17" s="35"/>
      <c r="VB17" s="35"/>
      <c r="VC17" s="35"/>
      <c r="VD17" s="35"/>
      <c r="VE17" s="35"/>
      <c r="VF17" s="35"/>
      <c r="VG17" s="35"/>
      <c r="VH17" s="35"/>
      <c r="VI17" s="35"/>
      <c r="VJ17" s="35"/>
      <c r="VK17" s="35"/>
      <c r="VL17" s="35"/>
      <c r="VM17" s="35"/>
      <c r="VN17" s="35"/>
      <c r="VO17" s="35"/>
      <c r="VP17" s="35"/>
      <c r="VQ17" s="35"/>
      <c r="VR17" s="35"/>
      <c r="VS17" s="35"/>
      <c r="VT17" s="35"/>
      <c r="VU17" s="35"/>
      <c r="VV17" s="35"/>
      <c r="VW17" s="35"/>
      <c r="VX17" s="35"/>
      <c r="VY17" s="35"/>
      <c r="VZ17" s="35"/>
      <c r="WA17" s="35"/>
      <c r="WB17" s="35"/>
      <c r="WC17" s="35"/>
      <c r="WD17" s="35"/>
      <c r="WE17" s="35"/>
      <c r="WF17" s="35"/>
      <c r="WG17" s="35"/>
      <c r="WH17" s="35"/>
      <c r="WI17" s="35"/>
      <c r="WJ17" s="35"/>
      <c r="WK17" s="35"/>
      <c r="WL17" s="35"/>
      <c r="WM17" s="35"/>
      <c r="WN17" s="35"/>
      <c r="WO17" s="35"/>
      <c r="WP17" s="35"/>
      <c r="WQ17" s="35"/>
      <c r="WR17" s="35"/>
      <c r="WS17" s="35"/>
      <c r="WT17" s="35"/>
      <c r="WU17" s="35"/>
      <c r="WV17" s="35"/>
      <c r="WW17" s="35"/>
      <c r="WX17" s="35"/>
      <c r="WY17" s="35"/>
      <c r="WZ17" s="35"/>
      <c r="XA17" s="35"/>
      <c r="XB17" s="35"/>
      <c r="XC17" s="35"/>
      <c r="XD17" s="35"/>
      <c r="XE17" s="35"/>
      <c r="XF17" s="35"/>
      <c r="XG17" s="35"/>
      <c r="XH17" s="35"/>
      <c r="XI17" s="35"/>
      <c r="XJ17" s="35"/>
      <c r="XK17" s="35"/>
      <c r="XL17" s="35"/>
      <c r="XM17" s="35"/>
      <c r="XN17" s="35"/>
      <c r="XO17" s="35"/>
      <c r="XP17" s="35"/>
      <c r="XQ17" s="35"/>
      <c r="XR17" s="35"/>
      <c r="XS17" s="35"/>
      <c r="XT17" s="35"/>
      <c r="XU17" s="35"/>
      <c r="XV17" s="35"/>
      <c r="XW17" s="35"/>
      <c r="XX17" s="35"/>
      <c r="XY17" s="35"/>
      <c r="XZ17" s="35"/>
      <c r="YA17" s="35"/>
      <c r="YB17" s="35"/>
      <c r="YC17" s="35"/>
      <c r="YD17" s="35"/>
      <c r="YE17" s="35"/>
      <c r="YF17" s="35"/>
      <c r="YG17" s="35"/>
      <c r="YH17" s="35"/>
      <c r="YI17" s="35"/>
      <c r="YJ17" s="35"/>
      <c r="YK17" s="35"/>
      <c r="YL17" s="35"/>
      <c r="YM17" s="35"/>
      <c r="YN17" s="35"/>
      <c r="YO17" s="35"/>
      <c r="YP17" s="35"/>
      <c r="YQ17" s="35"/>
      <c r="YR17" s="35"/>
      <c r="YS17" s="35"/>
      <c r="YT17" s="35"/>
      <c r="YU17" s="35"/>
      <c r="YV17" s="35"/>
      <c r="YW17" s="35"/>
      <c r="YX17" s="35"/>
      <c r="YY17" s="35"/>
      <c r="YZ17" s="35"/>
      <c r="ZA17" s="35"/>
      <c r="ZB17" s="35"/>
      <c r="ZC17" s="35"/>
      <c r="ZD17" s="35"/>
      <c r="ZE17" s="35"/>
      <c r="ZF17" s="35"/>
      <c r="ZG17" s="35"/>
      <c r="ZH17" s="35"/>
      <c r="ZI17" s="35"/>
      <c r="ZJ17" s="35"/>
      <c r="ZK17" s="35"/>
      <c r="ZL17" s="35"/>
      <c r="ZM17" s="35"/>
      <c r="ZN17" s="35"/>
      <c r="ZO17" s="35"/>
      <c r="ZP17" s="35"/>
      <c r="ZQ17" s="35"/>
      <c r="ZR17" s="35"/>
      <c r="ZS17" s="35"/>
      <c r="ZT17" s="35"/>
      <c r="ZU17" s="35"/>
      <c r="ZV17" s="35"/>
      <c r="ZW17" s="35"/>
      <c r="ZX17" s="35"/>
      <c r="ZY17" s="35"/>
      <c r="ZZ17" s="35"/>
      <c r="AAA17" s="35"/>
      <c r="AAB17" s="35"/>
      <c r="AAC17" s="35"/>
      <c r="AAD17" s="35"/>
      <c r="AAE17" s="35"/>
      <c r="AAF17" s="35"/>
      <c r="AAG17" s="35"/>
      <c r="AAH17" s="35"/>
      <c r="AAI17" s="35"/>
      <c r="AAJ17" s="35"/>
      <c r="AAK17" s="35"/>
      <c r="AAL17" s="35"/>
      <c r="AAM17" s="35"/>
      <c r="AAN17" s="35"/>
      <c r="AAO17" s="35"/>
      <c r="AAP17" s="35"/>
      <c r="AAQ17" s="35"/>
      <c r="AAR17" s="35"/>
      <c r="AAS17" s="35"/>
      <c r="AAT17" s="35"/>
      <c r="AAU17" s="35"/>
      <c r="AAV17" s="35"/>
      <c r="AAW17" s="35"/>
      <c r="AAX17" s="35"/>
      <c r="AAY17" s="35"/>
      <c r="AAZ17" s="35"/>
      <c r="ABA17" s="35"/>
      <c r="ABB17" s="35"/>
      <c r="ABC17" s="35"/>
      <c r="ABD17" s="35"/>
      <c r="ABE17" s="35"/>
      <c r="ABF17" s="35"/>
      <c r="ABG17" s="35"/>
      <c r="ABH17" s="35"/>
      <c r="ABI17" s="35"/>
      <c r="ABJ17" s="35"/>
      <c r="ABK17" s="35"/>
      <c r="ABL17" s="35"/>
      <c r="ABM17" s="35"/>
      <c r="ABN17" s="35"/>
      <c r="ABO17" s="35"/>
      <c r="ABP17" s="35"/>
      <c r="ABQ17" s="35"/>
      <c r="ABR17" s="35"/>
      <c r="ABS17" s="35"/>
      <c r="ABT17" s="35"/>
      <c r="ABU17" s="35"/>
      <c r="ABV17" s="35"/>
      <c r="ABW17" s="35"/>
      <c r="ABX17" s="35"/>
      <c r="ABY17" s="35"/>
      <c r="ABZ17" s="35"/>
      <c r="ACA17" s="35"/>
      <c r="ACB17" s="35"/>
      <c r="ACC17" s="35"/>
      <c r="ACD17" s="35"/>
      <c r="ACE17" s="35"/>
      <c r="ACF17" s="35"/>
      <c r="ACG17" s="35"/>
      <c r="ACH17" s="35"/>
      <c r="ACI17" s="35"/>
      <c r="ACJ17" s="35"/>
      <c r="ACK17" s="35"/>
      <c r="ACL17" s="35"/>
      <c r="ACM17" s="35"/>
      <c r="ACN17" s="35"/>
      <c r="ACO17" s="35"/>
      <c r="ACP17" s="35"/>
      <c r="ACQ17" s="35"/>
      <c r="ACR17" s="35"/>
      <c r="ACS17" s="35"/>
      <c r="ACT17" s="35"/>
      <c r="ACU17" s="35"/>
      <c r="ACV17" s="35"/>
      <c r="ACW17" s="35"/>
      <c r="ACX17" s="35"/>
      <c r="ACY17" s="35"/>
      <c r="ACZ17" s="35"/>
      <c r="ADA17" s="35"/>
      <c r="ADB17" s="35"/>
      <c r="ADC17" s="35"/>
      <c r="ADD17" s="35"/>
      <c r="ADE17" s="35"/>
      <c r="ADF17" s="35"/>
      <c r="ADG17" s="35"/>
      <c r="ADH17" s="35"/>
      <c r="ADI17" s="35"/>
      <c r="ADJ17" s="35"/>
      <c r="ADK17" s="35"/>
      <c r="ADL17" s="35"/>
      <c r="ADM17" s="35"/>
      <c r="ADN17" s="35"/>
      <c r="ADO17" s="35"/>
      <c r="ADP17" s="35"/>
      <c r="ADQ17" s="35"/>
      <c r="ADR17" s="35"/>
      <c r="ADS17" s="35"/>
      <c r="ADT17" s="35"/>
      <c r="ADU17" s="35"/>
      <c r="ADV17" s="35"/>
      <c r="ADW17" s="35"/>
      <c r="ADX17" s="35"/>
      <c r="ADY17" s="35"/>
      <c r="ADZ17" s="35"/>
      <c r="AEA17" s="35"/>
      <c r="AEB17" s="35"/>
      <c r="AEC17" s="35"/>
      <c r="AED17" s="35"/>
      <c r="AEE17" s="35"/>
      <c r="AEF17" s="35"/>
      <c r="AEG17" s="35"/>
      <c r="AEH17" s="35"/>
      <c r="AEI17" s="35"/>
      <c r="AEJ17" s="35"/>
      <c r="AEK17" s="35"/>
      <c r="AEL17" s="35"/>
      <c r="AEM17" s="35"/>
      <c r="AEN17" s="35"/>
      <c r="AEO17" s="35"/>
      <c r="AEP17" s="35"/>
      <c r="AEQ17" s="35"/>
      <c r="AER17" s="35"/>
      <c r="AES17" s="35"/>
      <c r="AET17" s="35"/>
      <c r="AEU17" s="35"/>
      <c r="AEV17" s="35"/>
      <c r="AEW17" s="35"/>
      <c r="AEX17" s="35"/>
      <c r="AEY17" s="35"/>
      <c r="AEZ17" s="35"/>
      <c r="AFA17" s="35"/>
      <c r="AFB17" s="35"/>
      <c r="AFC17" s="35"/>
      <c r="AFD17" s="35"/>
      <c r="AFE17" s="35"/>
      <c r="AFF17" s="35"/>
      <c r="AFG17" s="35"/>
      <c r="AFH17" s="35"/>
      <c r="AFI17" s="35"/>
      <c r="AFJ17" s="35"/>
      <c r="AFK17" s="35"/>
      <c r="AFL17" s="35"/>
      <c r="AFM17" s="35"/>
      <c r="AFN17" s="35"/>
      <c r="AFO17" s="35"/>
      <c r="AFP17" s="35"/>
      <c r="AFQ17" s="35"/>
      <c r="AFR17" s="35"/>
      <c r="AFS17" s="35"/>
      <c r="AFT17" s="35"/>
      <c r="AFU17" s="35"/>
      <c r="AFV17" s="35"/>
      <c r="AFW17" s="35"/>
      <c r="AFX17" s="35"/>
      <c r="AFY17" s="35"/>
      <c r="AFZ17" s="35"/>
      <c r="AGA17" s="35"/>
      <c r="AGB17" s="35"/>
      <c r="AGC17" s="35"/>
      <c r="AGD17" s="35"/>
      <c r="AGE17" s="35"/>
      <c r="AGF17" s="35"/>
      <c r="AGG17" s="35"/>
      <c r="AGH17" s="35"/>
      <c r="AGI17" s="35"/>
      <c r="AGJ17" s="35"/>
      <c r="AGK17" s="35"/>
      <c r="AGL17" s="35"/>
      <c r="AGM17" s="35"/>
      <c r="AGN17" s="35"/>
      <c r="AGO17" s="35"/>
      <c r="AGP17" s="35"/>
      <c r="AGQ17" s="35"/>
      <c r="AGR17" s="35"/>
      <c r="AGS17" s="35"/>
      <c r="AGT17" s="35"/>
      <c r="AGU17" s="35"/>
      <c r="AGV17" s="35"/>
      <c r="AGW17" s="35"/>
      <c r="AGX17" s="35"/>
      <c r="AGY17" s="35"/>
      <c r="AGZ17" s="35"/>
      <c r="AHA17" s="35"/>
      <c r="AHB17" s="35"/>
      <c r="AHC17" s="35"/>
      <c r="AHD17" s="35"/>
      <c r="AHE17" s="35"/>
      <c r="AHF17" s="35"/>
      <c r="AHG17" s="35"/>
      <c r="AHH17" s="35"/>
      <c r="AHI17" s="35"/>
      <c r="AHJ17" s="35"/>
      <c r="AHK17" s="35"/>
      <c r="AHL17" s="35"/>
      <c r="AHM17" s="35"/>
      <c r="AHN17" s="35"/>
      <c r="AHO17" s="35"/>
      <c r="AHP17" s="35"/>
      <c r="AHQ17" s="35"/>
      <c r="AHR17" s="35"/>
      <c r="AHS17" s="35"/>
      <c r="AHT17" s="35"/>
      <c r="AHU17" s="35"/>
      <c r="AHV17" s="35"/>
      <c r="AHW17" s="35"/>
      <c r="AHX17" s="35"/>
      <c r="AHY17" s="35"/>
      <c r="AHZ17" s="35"/>
      <c r="AIA17" s="35"/>
      <c r="AIB17" s="35"/>
      <c r="AIC17" s="35"/>
      <c r="AID17" s="35"/>
      <c r="AIE17" s="35"/>
      <c r="AIF17" s="35"/>
      <c r="AIG17" s="35"/>
      <c r="AIH17" s="35"/>
      <c r="AII17" s="35"/>
      <c r="AIJ17" s="35"/>
      <c r="AIK17" s="35"/>
      <c r="AIL17" s="35"/>
      <c r="AIM17" s="35"/>
      <c r="AIN17" s="35"/>
      <c r="AIO17" s="35"/>
      <c r="AIP17" s="35"/>
      <c r="AIQ17" s="35"/>
      <c r="AIR17" s="35"/>
      <c r="AIS17" s="35"/>
      <c r="AIT17" s="35"/>
      <c r="AIU17" s="35"/>
      <c r="AIV17" s="35"/>
      <c r="AIW17" s="35"/>
      <c r="AIX17" s="35"/>
      <c r="AIY17" s="35"/>
      <c r="AIZ17" s="35"/>
      <c r="AJA17" s="35"/>
      <c r="AJB17" s="35"/>
      <c r="AJC17" s="35"/>
      <c r="AJD17" s="35"/>
      <c r="AJE17" s="35"/>
      <c r="AJF17" s="35"/>
      <c r="AJG17" s="35"/>
      <c r="AJH17" s="35"/>
      <c r="AJI17" s="35"/>
      <c r="AJJ17" s="35"/>
      <c r="AJK17" s="35"/>
      <c r="AJL17" s="35"/>
      <c r="AJM17" s="35"/>
      <c r="AJN17" s="35"/>
      <c r="AJO17" s="35"/>
      <c r="AJP17" s="35"/>
      <c r="AJQ17" s="35"/>
      <c r="AJR17" s="35"/>
      <c r="AJS17" s="35"/>
      <c r="AJT17" s="35"/>
      <c r="AJU17" s="35"/>
      <c r="AJV17" s="35"/>
      <c r="AJW17" s="35"/>
      <c r="AJX17" s="35"/>
      <c r="AJY17" s="35"/>
      <c r="AJZ17" s="35"/>
      <c r="AKA17" s="35"/>
      <c r="AKB17" s="35"/>
      <c r="AKC17" s="35"/>
      <c r="AKD17" s="35"/>
      <c r="AKE17" s="35"/>
      <c r="AKF17" s="35"/>
      <c r="AKG17" s="35"/>
      <c r="AKH17" s="35"/>
      <c r="AKI17" s="35"/>
      <c r="AKJ17" s="35"/>
      <c r="AKK17" s="35"/>
      <c r="AKL17" s="35"/>
      <c r="AKM17" s="35"/>
      <c r="AKN17" s="35"/>
      <c r="AKO17" s="35"/>
      <c r="AKP17" s="35"/>
      <c r="AKQ17" s="35"/>
      <c r="AKR17" s="35"/>
      <c r="AKS17" s="35"/>
    </row>
    <row r="18" customFormat="false" ht="12.8" hidden="true" customHeight="true" outlineLevel="1" collapsed="false">
      <c r="A18" s="40"/>
      <c r="B18" s="40"/>
      <c r="C18" s="40"/>
      <c r="D18" s="40"/>
      <c r="E18" s="40"/>
      <c r="F18" s="40"/>
      <c r="G18" s="40"/>
      <c r="H18" s="40"/>
      <c r="I18" s="40"/>
      <c r="J18" s="40"/>
      <c r="K18" s="40"/>
      <c r="L18" s="40"/>
      <c r="M18" s="40"/>
      <c r="N18" s="40"/>
      <c r="O18" s="40" t="s">
        <v>364</v>
      </c>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c r="JE18" s="35"/>
      <c r="JF18" s="35"/>
      <c r="JG18" s="35"/>
      <c r="JH18" s="35"/>
      <c r="JI18" s="35"/>
      <c r="JJ18" s="35"/>
      <c r="JK18" s="35"/>
      <c r="JL18" s="35"/>
      <c r="JM18" s="35"/>
      <c r="JN18" s="35"/>
      <c r="JO18" s="35"/>
      <c r="JP18" s="35"/>
      <c r="JQ18" s="35"/>
      <c r="JR18" s="35"/>
      <c r="JS18" s="35"/>
      <c r="JT18" s="35"/>
      <c r="JU18" s="35"/>
      <c r="JV18" s="35"/>
      <c r="JW18" s="35"/>
      <c r="JX18" s="35"/>
      <c r="JY18" s="35"/>
      <c r="JZ18" s="35"/>
      <c r="KA18" s="35"/>
      <c r="KB18" s="35"/>
      <c r="KC18" s="35"/>
      <c r="KD18" s="35"/>
      <c r="KE18" s="35"/>
      <c r="KF18" s="35"/>
      <c r="KG18" s="35"/>
      <c r="KH18" s="35"/>
      <c r="KI18" s="35"/>
      <c r="KJ18" s="35"/>
      <c r="KK18" s="35"/>
      <c r="KL18" s="35"/>
      <c r="KM18" s="35"/>
      <c r="KN18" s="35"/>
      <c r="KO18" s="35"/>
      <c r="KP18" s="35"/>
      <c r="KQ18" s="35"/>
      <c r="KR18" s="35"/>
      <c r="KS18" s="35"/>
      <c r="KT18" s="35"/>
      <c r="KU18" s="35"/>
      <c r="KV18" s="35"/>
      <c r="KW18" s="35"/>
      <c r="KX18" s="35"/>
      <c r="KY18" s="35"/>
      <c r="KZ18" s="35"/>
      <c r="LA18" s="35"/>
      <c r="LB18" s="35"/>
      <c r="LC18" s="35"/>
      <c r="LD18" s="35"/>
      <c r="LE18" s="35"/>
      <c r="LF18" s="35"/>
      <c r="LG18" s="35"/>
      <c r="LH18" s="35"/>
      <c r="LI18" s="35"/>
      <c r="LJ18" s="35"/>
      <c r="LK18" s="35"/>
      <c r="LL18" s="35"/>
      <c r="LM18" s="35"/>
      <c r="LN18" s="35"/>
      <c r="LO18" s="35"/>
      <c r="LP18" s="35"/>
      <c r="LQ18" s="35"/>
      <c r="LR18" s="35"/>
      <c r="LS18" s="35"/>
      <c r="LT18" s="35"/>
      <c r="LU18" s="35"/>
      <c r="LV18" s="35"/>
      <c r="LW18" s="35"/>
      <c r="LX18" s="35"/>
      <c r="LY18" s="35"/>
      <c r="LZ18" s="35"/>
      <c r="MA18" s="35"/>
      <c r="MB18" s="35"/>
      <c r="MC18" s="35"/>
      <c r="MD18" s="35"/>
      <c r="ME18" s="35"/>
      <c r="MF18" s="35"/>
      <c r="MG18" s="35"/>
      <c r="MH18" s="35"/>
      <c r="MI18" s="35"/>
      <c r="MJ18" s="35"/>
      <c r="MK18" s="35"/>
      <c r="ML18" s="35"/>
      <c r="MM18" s="35"/>
      <c r="MN18" s="35"/>
      <c r="MO18" s="35"/>
      <c r="MP18" s="35"/>
      <c r="MQ18" s="35"/>
      <c r="MR18" s="35"/>
      <c r="MS18" s="35"/>
      <c r="MT18" s="35"/>
      <c r="MU18" s="35"/>
      <c r="MV18" s="35"/>
      <c r="MW18" s="35"/>
      <c r="MX18" s="35"/>
      <c r="MY18" s="35"/>
      <c r="MZ18" s="35"/>
      <c r="NA18" s="35"/>
      <c r="NB18" s="35"/>
      <c r="NC18" s="35"/>
      <c r="ND18" s="35"/>
      <c r="NE18" s="35"/>
      <c r="NF18" s="35"/>
      <c r="NG18" s="35"/>
      <c r="NH18" s="35"/>
      <c r="NI18" s="35"/>
      <c r="NJ18" s="35"/>
      <c r="NK18" s="35"/>
      <c r="NL18" s="35"/>
      <c r="NM18" s="35"/>
      <c r="NN18" s="35"/>
      <c r="NO18" s="35"/>
      <c r="NP18" s="35"/>
      <c r="NQ18" s="35"/>
      <c r="NR18" s="35"/>
      <c r="NS18" s="35"/>
      <c r="NT18" s="35"/>
      <c r="NU18" s="35"/>
      <c r="NV18" s="35"/>
      <c r="NW18" s="35"/>
      <c r="NX18" s="35"/>
      <c r="NY18" s="35"/>
      <c r="NZ18" s="35"/>
      <c r="OA18" s="35"/>
      <c r="OB18" s="35"/>
      <c r="OC18" s="35"/>
      <c r="OD18" s="35"/>
      <c r="OE18" s="35"/>
      <c r="OF18" s="35"/>
      <c r="OG18" s="35"/>
      <c r="OH18" s="35"/>
      <c r="OI18" s="35"/>
      <c r="OJ18" s="35"/>
      <c r="OK18" s="35"/>
      <c r="OL18" s="35"/>
      <c r="OM18" s="35"/>
      <c r="ON18" s="35"/>
      <c r="OO18" s="35"/>
      <c r="OP18" s="35"/>
      <c r="OQ18" s="35"/>
      <c r="OR18" s="35"/>
      <c r="OS18" s="35"/>
      <c r="OT18" s="35"/>
      <c r="OU18" s="35"/>
      <c r="OV18" s="35"/>
      <c r="OW18" s="35"/>
      <c r="OX18" s="35"/>
      <c r="OY18" s="35"/>
      <c r="OZ18" s="35"/>
      <c r="PA18" s="35"/>
      <c r="PB18" s="35"/>
      <c r="PC18" s="35"/>
      <c r="PD18" s="35"/>
      <c r="PE18" s="35"/>
      <c r="PF18" s="35"/>
      <c r="PG18" s="35"/>
      <c r="PH18" s="35"/>
      <c r="PI18" s="35"/>
      <c r="PJ18" s="35"/>
      <c r="PK18" s="35"/>
      <c r="PL18" s="35"/>
      <c r="PM18" s="35"/>
      <c r="PN18" s="35"/>
      <c r="PO18" s="35"/>
      <c r="PP18" s="35"/>
      <c r="PQ18" s="35"/>
      <c r="PR18" s="35"/>
      <c r="PS18" s="35"/>
      <c r="PT18" s="35"/>
      <c r="PU18" s="35"/>
      <c r="PV18" s="35"/>
      <c r="PW18" s="35"/>
      <c r="PX18" s="35"/>
      <c r="PY18" s="35"/>
      <c r="PZ18" s="35"/>
      <c r="QA18" s="35"/>
      <c r="QB18" s="35"/>
      <c r="QC18" s="35"/>
      <c r="QD18" s="35"/>
      <c r="QE18" s="35"/>
      <c r="QF18" s="35"/>
      <c r="QG18" s="35"/>
      <c r="QH18" s="35"/>
      <c r="QI18" s="35"/>
      <c r="QJ18" s="35"/>
      <c r="QK18" s="35"/>
      <c r="QL18" s="35"/>
      <c r="QM18" s="35"/>
      <c r="QN18" s="35"/>
      <c r="QO18" s="35"/>
      <c r="QP18" s="35"/>
      <c r="QQ18" s="35"/>
      <c r="QR18" s="35"/>
      <c r="QS18" s="35"/>
      <c r="QT18" s="35"/>
      <c r="QU18" s="35"/>
      <c r="QV18" s="35"/>
      <c r="QW18" s="35"/>
      <c r="QX18" s="35"/>
      <c r="QY18" s="35"/>
      <c r="QZ18" s="35"/>
      <c r="RA18" s="35"/>
      <c r="RB18" s="35"/>
      <c r="RC18" s="35"/>
      <c r="RD18" s="35"/>
      <c r="RE18" s="35"/>
      <c r="RF18" s="35"/>
      <c r="RG18" s="35"/>
      <c r="RH18" s="35"/>
      <c r="RI18" s="35"/>
      <c r="RJ18" s="35"/>
      <c r="RK18" s="35"/>
      <c r="RL18" s="35"/>
      <c r="RM18" s="35"/>
      <c r="RN18" s="35"/>
      <c r="RO18" s="35"/>
      <c r="RP18" s="35"/>
      <c r="RQ18" s="35"/>
      <c r="RR18" s="35"/>
      <c r="RS18" s="35"/>
      <c r="RT18" s="35"/>
      <c r="RU18" s="35"/>
      <c r="RV18" s="35"/>
      <c r="RW18" s="35"/>
      <c r="RX18" s="35"/>
      <c r="RY18" s="35"/>
      <c r="RZ18" s="35"/>
      <c r="SA18" s="35"/>
      <c r="SB18" s="35"/>
      <c r="SC18" s="35"/>
      <c r="SD18" s="35"/>
      <c r="SE18" s="35"/>
      <c r="SF18" s="35"/>
      <c r="SG18" s="35"/>
      <c r="SH18" s="35"/>
      <c r="SI18" s="35"/>
      <c r="SJ18" s="35"/>
      <c r="SK18" s="35"/>
      <c r="SL18" s="35"/>
      <c r="SM18" s="35"/>
      <c r="SN18" s="35"/>
      <c r="SO18" s="35"/>
      <c r="SP18" s="35"/>
      <c r="SQ18" s="35"/>
      <c r="SR18" s="35"/>
      <c r="SS18" s="35"/>
      <c r="ST18" s="35"/>
      <c r="SU18" s="35"/>
      <c r="SV18" s="35"/>
      <c r="SW18" s="35"/>
      <c r="SX18" s="35"/>
      <c r="SY18" s="35"/>
      <c r="SZ18" s="35"/>
      <c r="TA18" s="35"/>
      <c r="TB18" s="35"/>
      <c r="TC18" s="35"/>
      <c r="TD18" s="35"/>
      <c r="TE18" s="35"/>
      <c r="TF18" s="35"/>
      <c r="TG18" s="35"/>
      <c r="TH18" s="35"/>
      <c r="TI18" s="35"/>
      <c r="TJ18" s="35"/>
      <c r="TK18" s="35"/>
      <c r="TL18" s="35"/>
      <c r="TM18" s="35"/>
      <c r="TN18" s="35"/>
      <c r="TO18" s="35"/>
      <c r="TP18" s="35"/>
      <c r="TQ18" s="35"/>
      <c r="TR18" s="35"/>
      <c r="TS18" s="35"/>
      <c r="TT18" s="35"/>
      <c r="TU18" s="35"/>
      <c r="TV18" s="35"/>
      <c r="TW18" s="35"/>
      <c r="TX18" s="35"/>
      <c r="TY18" s="35"/>
      <c r="TZ18" s="35"/>
      <c r="UA18" s="35"/>
      <c r="UB18" s="35"/>
      <c r="UC18" s="35"/>
      <c r="UD18" s="35"/>
      <c r="UE18" s="35"/>
      <c r="UF18" s="35"/>
      <c r="UG18" s="35"/>
      <c r="UH18" s="35"/>
      <c r="UI18" s="35"/>
      <c r="UJ18" s="35"/>
      <c r="UK18" s="35"/>
      <c r="UL18" s="35"/>
      <c r="UM18" s="35"/>
      <c r="UN18" s="35"/>
      <c r="UO18" s="35"/>
      <c r="UP18" s="35"/>
      <c r="UQ18" s="35"/>
      <c r="UR18" s="35"/>
      <c r="US18" s="35"/>
      <c r="UT18" s="35"/>
      <c r="UU18" s="35"/>
      <c r="UV18" s="35"/>
      <c r="UW18" s="35"/>
      <c r="UX18" s="35"/>
      <c r="UY18" s="35"/>
      <c r="UZ18" s="35"/>
      <c r="VA18" s="35"/>
      <c r="VB18" s="35"/>
      <c r="VC18" s="35"/>
      <c r="VD18" s="35"/>
      <c r="VE18" s="35"/>
      <c r="VF18" s="35"/>
      <c r="VG18" s="35"/>
      <c r="VH18" s="35"/>
      <c r="VI18" s="35"/>
      <c r="VJ18" s="35"/>
      <c r="VK18" s="35"/>
      <c r="VL18" s="35"/>
      <c r="VM18" s="35"/>
      <c r="VN18" s="35"/>
      <c r="VO18" s="35"/>
      <c r="VP18" s="35"/>
      <c r="VQ18" s="35"/>
      <c r="VR18" s="35"/>
      <c r="VS18" s="35"/>
      <c r="VT18" s="35"/>
      <c r="VU18" s="35"/>
      <c r="VV18" s="35"/>
      <c r="VW18" s="35"/>
      <c r="VX18" s="35"/>
      <c r="VY18" s="35"/>
      <c r="VZ18" s="35"/>
      <c r="WA18" s="35"/>
      <c r="WB18" s="35"/>
      <c r="WC18" s="35"/>
      <c r="WD18" s="35"/>
      <c r="WE18" s="35"/>
      <c r="WF18" s="35"/>
      <c r="WG18" s="35"/>
      <c r="WH18" s="35"/>
      <c r="WI18" s="35"/>
      <c r="WJ18" s="35"/>
      <c r="WK18" s="35"/>
      <c r="WL18" s="35"/>
      <c r="WM18" s="35"/>
      <c r="WN18" s="35"/>
      <c r="WO18" s="35"/>
      <c r="WP18" s="35"/>
      <c r="WQ18" s="35"/>
      <c r="WR18" s="35"/>
      <c r="WS18" s="35"/>
      <c r="WT18" s="35"/>
      <c r="WU18" s="35"/>
      <c r="WV18" s="35"/>
      <c r="WW18" s="35"/>
      <c r="WX18" s="35"/>
      <c r="WY18" s="35"/>
      <c r="WZ18" s="35"/>
      <c r="XA18" s="35"/>
      <c r="XB18" s="35"/>
      <c r="XC18" s="35"/>
      <c r="XD18" s="35"/>
      <c r="XE18" s="35"/>
      <c r="XF18" s="35"/>
      <c r="XG18" s="35"/>
      <c r="XH18" s="35"/>
      <c r="XI18" s="35"/>
      <c r="XJ18" s="35"/>
      <c r="XK18" s="35"/>
      <c r="XL18" s="35"/>
      <c r="XM18" s="35"/>
      <c r="XN18" s="35"/>
      <c r="XO18" s="35"/>
      <c r="XP18" s="35"/>
      <c r="XQ18" s="35"/>
      <c r="XR18" s="35"/>
      <c r="XS18" s="35"/>
      <c r="XT18" s="35"/>
      <c r="XU18" s="35"/>
      <c r="XV18" s="35"/>
      <c r="XW18" s="35"/>
      <c r="XX18" s="35"/>
      <c r="XY18" s="35"/>
      <c r="XZ18" s="35"/>
      <c r="YA18" s="35"/>
      <c r="YB18" s="35"/>
      <c r="YC18" s="35"/>
      <c r="YD18" s="35"/>
      <c r="YE18" s="35"/>
      <c r="YF18" s="35"/>
      <c r="YG18" s="35"/>
      <c r="YH18" s="35"/>
      <c r="YI18" s="35"/>
      <c r="YJ18" s="35"/>
      <c r="YK18" s="35"/>
      <c r="YL18" s="35"/>
      <c r="YM18" s="35"/>
      <c r="YN18" s="35"/>
      <c r="YO18" s="35"/>
      <c r="YP18" s="35"/>
      <c r="YQ18" s="35"/>
      <c r="YR18" s="35"/>
      <c r="YS18" s="35"/>
      <c r="YT18" s="35"/>
      <c r="YU18" s="35"/>
      <c r="YV18" s="35"/>
      <c r="YW18" s="35"/>
      <c r="YX18" s="35"/>
      <c r="YY18" s="35"/>
      <c r="YZ18" s="35"/>
      <c r="ZA18" s="35"/>
      <c r="ZB18" s="35"/>
      <c r="ZC18" s="35"/>
      <c r="ZD18" s="35"/>
      <c r="ZE18" s="35"/>
      <c r="ZF18" s="35"/>
      <c r="ZG18" s="35"/>
      <c r="ZH18" s="35"/>
      <c r="ZI18" s="35"/>
      <c r="ZJ18" s="35"/>
      <c r="ZK18" s="35"/>
      <c r="ZL18" s="35"/>
      <c r="ZM18" s="35"/>
      <c r="ZN18" s="35"/>
      <c r="ZO18" s="35"/>
      <c r="ZP18" s="35"/>
      <c r="ZQ18" s="35"/>
      <c r="ZR18" s="35"/>
      <c r="ZS18" s="35"/>
      <c r="ZT18" s="35"/>
      <c r="ZU18" s="35"/>
      <c r="ZV18" s="35"/>
      <c r="ZW18" s="35"/>
      <c r="ZX18" s="35"/>
      <c r="ZY18" s="35"/>
      <c r="ZZ18" s="35"/>
      <c r="AAA18" s="35"/>
      <c r="AAB18" s="35"/>
      <c r="AAC18" s="35"/>
      <c r="AAD18" s="35"/>
      <c r="AAE18" s="35"/>
      <c r="AAF18" s="35"/>
      <c r="AAG18" s="35"/>
      <c r="AAH18" s="35"/>
      <c r="AAI18" s="35"/>
      <c r="AAJ18" s="35"/>
      <c r="AAK18" s="35"/>
      <c r="AAL18" s="35"/>
      <c r="AAM18" s="35"/>
      <c r="AAN18" s="35"/>
      <c r="AAO18" s="35"/>
      <c r="AAP18" s="35"/>
      <c r="AAQ18" s="35"/>
      <c r="AAR18" s="35"/>
      <c r="AAS18" s="35"/>
      <c r="AAT18" s="35"/>
      <c r="AAU18" s="35"/>
      <c r="AAV18" s="35"/>
      <c r="AAW18" s="35"/>
      <c r="AAX18" s="35"/>
      <c r="AAY18" s="35"/>
      <c r="AAZ18" s="35"/>
      <c r="ABA18" s="35"/>
      <c r="ABB18" s="35"/>
      <c r="ABC18" s="35"/>
      <c r="ABD18" s="35"/>
      <c r="ABE18" s="35"/>
      <c r="ABF18" s="35"/>
      <c r="ABG18" s="35"/>
      <c r="ABH18" s="35"/>
      <c r="ABI18" s="35"/>
      <c r="ABJ18" s="35"/>
      <c r="ABK18" s="35"/>
      <c r="ABL18" s="35"/>
      <c r="ABM18" s="35"/>
      <c r="ABN18" s="35"/>
      <c r="ABO18" s="35"/>
      <c r="ABP18" s="35"/>
      <c r="ABQ18" s="35"/>
      <c r="ABR18" s="35"/>
      <c r="ABS18" s="35"/>
      <c r="ABT18" s="35"/>
      <c r="ABU18" s="35"/>
      <c r="ABV18" s="35"/>
      <c r="ABW18" s="35"/>
      <c r="ABX18" s="35"/>
      <c r="ABY18" s="35"/>
      <c r="ABZ18" s="35"/>
      <c r="ACA18" s="35"/>
      <c r="ACB18" s="35"/>
      <c r="ACC18" s="35"/>
      <c r="ACD18" s="35"/>
      <c r="ACE18" s="35"/>
      <c r="ACF18" s="35"/>
      <c r="ACG18" s="35"/>
      <c r="ACH18" s="35"/>
      <c r="ACI18" s="35"/>
      <c r="ACJ18" s="35"/>
      <c r="ACK18" s="35"/>
      <c r="ACL18" s="35"/>
      <c r="ACM18" s="35"/>
      <c r="ACN18" s="35"/>
      <c r="ACO18" s="35"/>
      <c r="ACP18" s="35"/>
      <c r="ACQ18" s="35"/>
      <c r="ACR18" s="35"/>
      <c r="ACS18" s="35"/>
      <c r="ACT18" s="35"/>
      <c r="ACU18" s="35"/>
      <c r="ACV18" s="35"/>
      <c r="ACW18" s="35"/>
      <c r="ACX18" s="35"/>
      <c r="ACY18" s="35"/>
      <c r="ACZ18" s="35"/>
      <c r="ADA18" s="35"/>
      <c r="ADB18" s="35"/>
      <c r="ADC18" s="35"/>
      <c r="ADD18" s="35"/>
      <c r="ADE18" s="35"/>
      <c r="ADF18" s="35"/>
      <c r="ADG18" s="35"/>
      <c r="ADH18" s="35"/>
      <c r="ADI18" s="35"/>
      <c r="ADJ18" s="35"/>
      <c r="ADK18" s="35"/>
      <c r="ADL18" s="35"/>
      <c r="ADM18" s="35"/>
      <c r="ADN18" s="35"/>
      <c r="ADO18" s="35"/>
      <c r="ADP18" s="35"/>
      <c r="ADQ18" s="35"/>
      <c r="ADR18" s="35"/>
      <c r="ADS18" s="35"/>
      <c r="ADT18" s="35"/>
      <c r="ADU18" s="35"/>
      <c r="ADV18" s="35"/>
      <c r="ADW18" s="35"/>
      <c r="ADX18" s="35"/>
      <c r="ADY18" s="35"/>
      <c r="ADZ18" s="35"/>
      <c r="AEA18" s="35"/>
      <c r="AEB18" s="35"/>
      <c r="AEC18" s="35"/>
      <c r="AED18" s="35"/>
      <c r="AEE18" s="35"/>
      <c r="AEF18" s="35"/>
      <c r="AEG18" s="35"/>
      <c r="AEH18" s="35"/>
      <c r="AEI18" s="35"/>
      <c r="AEJ18" s="35"/>
      <c r="AEK18" s="35"/>
      <c r="AEL18" s="35"/>
      <c r="AEM18" s="35"/>
      <c r="AEN18" s="35"/>
      <c r="AEO18" s="35"/>
      <c r="AEP18" s="35"/>
      <c r="AEQ18" s="35"/>
      <c r="AER18" s="35"/>
      <c r="AES18" s="35"/>
      <c r="AET18" s="35"/>
      <c r="AEU18" s="35"/>
      <c r="AEV18" s="35"/>
      <c r="AEW18" s="35"/>
      <c r="AEX18" s="35"/>
      <c r="AEY18" s="35"/>
      <c r="AEZ18" s="35"/>
      <c r="AFA18" s="35"/>
      <c r="AFB18" s="35"/>
      <c r="AFC18" s="35"/>
      <c r="AFD18" s="35"/>
      <c r="AFE18" s="35"/>
      <c r="AFF18" s="35"/>
      <c r="AFG18" s="35"/>
      <c r="AFH18" s="35"/>
      <c r="AFI18" s="35"/>
      <c r="AFJ18" s="35"/>
      <c r="AFK18" s="35"/>
      <c r="AFL18" s="35"/>
      <c r="AFM18" s="35"/>
      <c r="AFN18" s="35"/>
      <c r="AFO18" s="35"/>
      <c r="AFP18" s="35"/>
      <c r="AFQ18" s="35"/>
      <c r="AFR18" s="35"/>
      <c r="AFS18" s="35"/>
      <c r="AFT18" s="35"/>
      <c r="AFU18" s="35"/>
      <c r="AFV18" s="35"/>
      <c r="AFW18" s="35"/>
      <c r="AFX18" s="35"/>
      <c r="AFY18" s="35"/>
      <c r="AFZ18" s="35"/>
      <c r="AGA18" s="35"/>
      <c r="AGB18" s="35"/>
      <c r="AGC18" s="35"/>
      <c r="AGD18" s="35"/>
      <c r="AGE18" s="35"/>
      <c r="AGF18" s="35"/>
      <c r="AGG18" s="35"/>
      <c r="AGH18" s="35"/>
      <c r="AGI18" s="35"/>
      <c r="AGJ18" s="35"/>
      <c r="AGK18" s="35"/>
      <c r="AGL18" s="35"/>
      <c r="AGM18" s="35"/>
      <c r="AGN18" s="35"/>
      <c r="AGO18" s="35"/>
      <c r="AGP18" s="35"/>
      <c r="AGQ18" s="35"/>
      <c r="AGR18" s="35"/>
      <c r="AGS18" s="35"/>
      <c r="AGT18" s="35"/>
      <c r="AGU18" s="35"/>
      <c r="AGV18" s="35"/>
      <c r="AGW18" s="35"/>
      <c r="AGX18" s="35"/>
      <c r="AGY18" s="35"/>
      <c r="AGZ18" s="35"/>
      <c r="AHA18" s="35"/>
      <c r="AHB18" s="35"/>
      <c r="AHC18" s="35"/>
      <c r="AHD18" s="35"/>
      <c r="AHE18" s="35"/>
      <c r="AHF18" s="35"/>
      <c r="AHG18" s="35"/>
      <c r="AHH18" s="35"/>
      <c r="AHI18" s="35"/>
      <c r="AHJ18" s="35"/>
      <c r="AHK18" s="35"/>
      <c r="AHL18" s="35"/>
      <c r="AHM18" s="35"/>
      <c r="AHN18" s="35"/>
      <c r="AHO18" s="35"/>
      <c r="AHP18" s="35"/>
      <c r="AHQ18" s="35"/>
      <c r="AHR18" s="35"/>
      <c r="AHS18" s="35"/>
      <c r="AHT18" s="35"/>
      <c r="AHU18" s="35"/>
      <c r="AHV18" s="35"/>
      <c r="AHW18" s="35"/>
      <c r="AHX18" s="35"/>
      <c r="AHY18" s="35"/>
      <c r="AHZ18" s="35"/>
      <c r="AIA18" s="35"/>
      <c r="AIB18" s="35"/>
      <c r="AIC18" s="35"/>
      <c r="AID18" s="35"/>
      <c r="AIE18" s="35"/>
      <c r="AIF18" s="35"/>
      <c r="AIG18" s="35"/>
      <c r="AIH18" s="35"/>
      <c r="AII18" s="35"/>
      <c r="AIJ18" s="35"/>
      <c r="AIK18" s="35"/>
      <c r="AIL18" s="35"/>
      <c r="AIM18" s="35"/>
      <c r="AIN18" s="35"/>
      <c r="AIO18" s="35"/>
      <c r="AIP18" s="35"/>
      <c r="AIQ18" s="35"/>
      <c r="AIR18" s="35"/>
      <c r="AIS18" s="35"/>
      <c r="AIT18" s="35"/>
      <c r="AIU18" s="35"/>
      <c r="AIV18" s="35"/>
      <c r="AIW18" s="35"/>
      <c r="AIX18" s="35"/>
      <c r="AIY18" s="35"/>
      <c r="AIZ18" s="35"/>
      <c r="AJA18" s="35"/>
      <c r="AJB18" s="35"/>
      <c r="AJC18" s="35"/>
      <c r="AJD18" s="35"/>
      <c r="AJE18" s="35"/>
      <c r="AJF18" s="35"/>
      <c r="AJG18" s="35"/>
      <c r="AJH18" s="35"/>
      <c r="AJI18" s="35"/>
      <c r="AJJ18" s="35"/>
      <c r="AJK18" s="35"/>
      <c r="AJL18" s="35"/>
      <c r="AJM18" s="35"/>
      <c r="AJN18" s="35"/>
      <c r="AJO18" s="35"/>
      <c r="AJP18" s="35"/>
      <c r="AJQ18" s="35"/>
      <c r="AJR18" s="35"/>
      <c r="AJS18" s="35"/>
      <c r="AJT18" s="35"/>
      <c r="AJU18" s="35"/>
      <c r="AJV18" s="35"/>
      <c r="AJW18" s="35"/>
      <c r="AJX18" s="35"/>
      <c r="AJY18" s="35"/>
      <c r="AJZ18" s="35"/>
      <c r="AKA18" s="35"/>
      <c r="AKB18" s="35"/>
      <c r="AKC18" s="35"/>
      <c r="AKD18" s="35"/>
      <c r="AKE18" s="35"/>
      <c r="AKF18" s="35"/>
      <c r="AKG18" s="35"/>
      <c r="AKH18" s="35"/>
      <c r="AKI18" s="35"/>
      <c r="AKJ18" s="35"/>
      <c r="AKK18" s="35"/>
      <c r="AKL18" s="35"/>
      <c r="AKM18" s="35"/>
      <c r="AKN18" s="35"/>
      <c r="AKO18" s="35"/>
      <c r="AKP18" s="35"/>
      <c r="AKQ18" s="35"/>
      <c r="AKR18" s="35"/>
      <c r="AKS18" s="35"/>
    </row>
    <row r="19" customFormat="false" ht="12.8" hidden="true" customHeight="true" outlineLevel="1" collapsed="false">
      <c r="A19" s="40"/>
      <c r="B19" s="40"/>
      <c r="C19" s="40"/>
      <c r="D19" s="40"/>
      <c r="E19" s="40"/>
      <c r="F19" s="40"/>
      <c r="G19" s="40"/>
      <c r="H19" s="40"/>
      <c r="I19" s="40"/>
      <c r="J19" s="40"/>
      <c r="K19" s="40"/>
      <c r="L19" s="40"/>
      <c r="M19" s="40"/>
      <c r="N19" s="40"/>
      <c r="O19" s="40" t="s">
        <v>364</v>
      </c>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5"/>
      <c r="GC19" s="35"/>
      <c r="GD19" s="35"/>
      <c r="GE19" s="35"/>
      <c r="GF19" s="35"/>
      <c r="GG19" s="35"/>
      <c r="GH19" s="35"/>
      <c r="GI19" s="35"/>
      <c r="GJ19" s="35"/>
      <c r="GK19" s="35"/>
      <c r="GL19" s="35"/>
      <c r="GM19" s="35"/>
      <c r="GN19" s="35"/>
      <c r="GO19" s="35"/>
      <c r="GP19" s="35"/>
      <c r="GQ19" s="35"/>
      <c r="GR19" s="35"/>
      <c r="GS19" s="35"/>
      <c r="GT19" s="35"/>
      <c r="GU19" s="35"/>
      <c r="GV19" s="35"/>
      <c r="GW19" s="35"/>
      <c r="GX19" s="35"/>
      <c r="GY19" s="35"/>
      <c r="GZ19" s="35"/>
      <c r="HA19" s="35"/>
      <c r="HB19" s="35"/>
      <c r="HC19" s="35"/>
      <c r="HD19" s="35"/>
      <c r="HE19" s="35"/>
      <c r="HF19" s="35"/>
      <c r="HG19" s="35"/>
      <c r="HH19" s="35"/>
      <c r="HI19" s="35"/>
      <c r="HJ19" s="35"/>
      <c r="HK19" s="35"/>
      <c r="HL19" s="35"/>
      <c r="HM19" s="35"/>
      <c r="HN19" s="35"/>
      <c r="HO19" s="35"/>
      <c r="HP19" s="35"/>
      <c r="HQ19" s="35"/>
      <c r="HR19" s="35"/>
      <c r="HS19" s="35"/>
      <c r="HT19" s="35"/>
      <c r="HU19" s="35"/>
      <c r="HV19" s="35"/>
      <c r="HW19" s="35"/>
      <c r="HX19" s="35"/>
      <c r="HY19" s="35"/>
      <c r="HZ19" s="35"/>
      <c r="IA19" s="35"/>
      <c r="IB19" s="35"/>
      <c r="IC19" s="35"/>
      <c r="ID19" s="35"/>
      <c r="IE19" s="35"/>
      <c r="IF19" s="35"/>
      <c r="IG19" s="35"/>
      <c r="IH19" s="35"/>
      <c r="II19" s="35"/>
      <c r="IJ19" s="35"/>
      <c r="IK19" s="35"/>
      <c r="IL19" s="35"/>
      <c r="IM19" s="35"/>
      <c r="IN19" s="35"/>
      <c r="IO19" s="35"/>
      <c r="IP19" s="35"/>
      <c r="IQ19" s="35"/>
      <c r="IR19" s="35"/>
      <c r="IS19" s="35"/>
      <c r="IT19" s="35"/>
      <c r="IU19" s="35"/>
      <c r="IV19" s="35"/>
      <c r="IW19" s="35"/>
      <c r="IX19" s="35"/>
      <c r="IY19" s="35"/>
      <c r="IZ19" s="35"/>
      <c r="JA19" s="35"/>
      <c r="JB19" s="35"/>
      <c r="JC19" s="35"/>
      <c r="JD19" s="35"/>
      <c r="JE19" s="35"/>
      <c r="JF19" s="35"/>
      <c r="JG19" s="35"/>
      <c r="JH19" s="35"/>
      <c r="JI19" s="35"/>
      <c r="JJ19" s="35"/>
      <c r="JK19" s="35"/>
      <c r="JL19" s="35"/>
      <c r="JM19" s="35"/>
      <c r="JN19" s="35"/>
      <c r="JO19" s="35"/>
      <c r="JP19" s="35"/>
      <c r="JQ19" s="35"/>
      <c r="JR19" s="35"/>
      <c r="JS19" s="35"/>
      <c r="JT19" s="35"/>
      <c r="JU19" s="35"/>
      <c r="JV19" s="35"/>
      <c r="JW19" s="35"/>
      <c r="JX19" s="35"/>
      <c r="JY19" s="35"/>
      <c r="JZ19" s="35"/>
      <c r="KA19" s="35"/>
      <c r="KB19" s="35"/>
      <c r="KC19" s="35"/>
      <c r="KD19" s="35"/>
      <c r="KE19" s="35"/>
      <c r="KF19" s="35"/>
      <c r="KG19" s="35"/>
      <c r="KH19" s="35"/>
      <c r="KI19" s="35"/>
      <c r="KJ19" s="35"/>
      <c r="KK19" s="35"/>
      <c r="KL19" s="35"/>
      <c r="KM19" s="35"/>
      <c r="KN19" s="35"/>
      <c r="KO19" s="35"/>
      <c r="KP19" s="35"/>
      <c r="KQ19" s="35"/>
      <c r="KR19" s="35"/>
      <c r="KS19" s="35"/>
      <c r="KT19" s="35"/>
      <c r="KU19" s="35"/>
      <c r="KV19" s="35"/>
      <c r="KW19" s="35"/>
      <c r="KX19" s="35"/>
      <c r="KY19" s="35"/>
      <c r="KZ19" s="35"/>
      <c r="LA19" s="35"/>
      <c r="LB19" s="35"/>
      <c r="LC19" s="35"/>
      <c r="LD19" s="35"/>
      <c r="LE19" s="35"/>
      <c r="LF19" s="35"/>
      <c r="LG19" s="35"/>
      <c r="LH19" s="35"/>
      <c r="LI19" s="35"/>
      <c r="LJ19" s="35"/>
      <c r="LK19" s="35"/>
      <c r="LL19" s="35"/>
      <c r="LM19" s="35"/>
      <c r="LN19" s="35"/>
      <c r="LO19" s="35"/>
      <c r="LP19" s="35"/>
      <c r="LQ19" s="35"/>
      <c r="LR19" s="35"/>
      <c r="LS19" s="35"/>
      <c r="LT19" s="35"/>
      <c r="LU19" s="35"/>
      <c r="LV19" s="35"/>
      <c r="LW19" s="35"/>
      <c r="LX19" s="35"/>
      <c r="LY19" s="35"/>
      <c r="LZ19" s="35"/>
      <c r="MA19" s="35"/>
      <c r="MB19" s="35"/>
      <c r="MC19" s="35"/>
      <c r="MD19" s="35"/>
      <c r="ME19" s="35"/>
      <c r="MF19" s="35"/>
      <c r="MG19" s="35"/>
      <c r="MH19" s="35"/>
      <c r="MI19" s="35"/>
      <c r="MJ19" s="35"/>
      <c r="MK19" s="35"/>
      <c r="ML19" s="35"/>
      <c r="MM19" s="35"/>
      <c r="MN19" s="35"/>
      <c r="MO19" s="35"/>
      <c r="MP19" s="35"/>
      <c r="MQ19" s="35"/>
      <c r="MR19" s="35"/>
      <c r="MS19" s="35"/>
      <c r="MT19" s="35"/>
      <c r="MU19" s="35"/>
      <c r="MV19" s="35"/>
      <c r="MW19" s="35"/>
      <c r="MX19" s="35"/>
      <c r="MY19" s="35"/>
      <c r="MZ19" s="35"/>
      <c r="NA19" s="35"/>
      <c r="NB19" s="35"/>
      <c r="NC19" s="35"/>
      <c r="ND19" s="35"/>
      <c r="NE19" s="35"/>
      <c r="NF19" s="35"/>
      <c r="NG19" s="35"/>
      <c r="NH19" s="35"/>
      <c r="NI19" s="35"/>
      <c r="NJ19" s="35"/>
      <c r="NK19" s="35"/>
      <c r="NL19" s="35"/>
      <c r="NM19" s="35"/>
      <c r="NN19" s="35"/>
      <c r="NO19" s="35"/>
      <c r="NP19" s="35"/>
      <c r="NQ19" s="35"/>
      <c r="NR19" s="35"/>
      <c r="NS19" s="35"/>
      <c r="NT19" s="35"/>
      <c r="NU19" s="35"/>
      <c r="NV19" s="35"/>
      <c r="NW19" s="35"/>
      <c r="NX19" s="35"/>
      <c r="NY19" s="35"/>
      <c r="NZ19" s="35"/>
      <c r="OA19" s="35"/>
      <c r="OB19" s="35"/>
      <c r="OC19" s="35"/>
      <c r="OD19" s="35"/>
      <c r="OE19" s="35"/>
      <c r="OF19" s="35"/>
      <c r="OG19" s="35"/>
      <c r="OH19" s="35"/>
      <c r="OI19" s="35"/>
      <c r="OJ19" s="35"/>
      <c r="OK19" s="35"/>
      <c r="OL19" s="35"/>
      <c r="OM19" s="35"/>
      <c r="ON19" s="35"/>
      <c r="OO19" s="35"/>
      <c r="OP19" s="35"/>
      <c r="OQ19" s="35"/>
      <c r="OR19" s="35"/>
      <c r="OS19" s="35"/>
      <c r="OT19" s="35"/>
      <c r="OU19" s="35"/>
      <c r="OV19" s="35"/>
      <c r="OW19" s="35"/>
      <c r="OX19" s="35"/>
      <c r="OY19" s="35"/>
      <c r="OZ19" s="35"/>
      <c r="PA19" s="35"/>
      <c r="PB19" s="35"/>
      <c r="PC19" s="35"/>
      <c r="PD19" s="35"/>
      <c r="PE19" s="35"/>
      <c r="PF19" s="35"/>
      <c r="PG19" s="35"/>
      <c r="PH19" s="35"/>
      <c r="PI19" s="35"/>
      <c r="PJ19" s="35"/>
      <c r="PK19" s="35"/>
      <c r="PL19" s="35"/>
      <c r="PM19" s="35"/>
      <c r="PN19" s="35"/>
      <c r="PO19" s="35"/>
      <c r="PP19" s="35"/>
      <c r="PQ19" s="35"/>
      <c r="PR19" s="35"/>
      <c r="PS19" s="35"/>
      <c r="PT19" s="35"/>
      <c r="PU19" s="35"/>
      <c r="PV19" s="35"/>
      <c r="PW19" s="35"/>
      <c r="PX19" s="35"/>
      <c r="PY19" s="35"/>
      <c r="PZ19" s="35"/>
      <c r="QA19" s="35"/>
      <c r="QB19" s="35"/>
      <c r="QC19" s="35"/>
      <c r="QD19" s="35"/>
      <c r="QE19" s="35"/>
      <c r="QF19" s="35"/>
      <c r="QG19" s="35"/>
      <c r="QH19" s="35"/>
      <c r="QI19" s="35"/>
      <c r="QJ19" s="35"/>
      <c r="QK19" s="35"/>
      <c r="QL19" s="35"/>
      <c r="QM19" s="35"/>
      <c r="QN19" s="35"/>
      <c r="QO19" s="35"/>
      <c r="QP19" s="35"/>
      <c r="QQ19" s="35"/>
      <c r="QR19" s="35"/>
      <c r="QS19" s="35"/>
      <c r="QT19" s="35"/>
      <c r="QU19" s="35"/>
      <c r="QV19" s="35"/>
      <c r="QW19" s="35"/>
      <c r="QX19" s="35"/>
      <c r="QY19" s="35"/>
      <c r="QZ19" s="35"/>
      <c r="RA19" s="35"/>
      <c r="RB19" s="35"/>
      <c r="RC19" s="35"/>
      <c r="RD19" s="35"/>
      <c r="RE19" s="35"/>
      <c r="RF19" s="35"/>
      <c r="RG19" s="35"/>
      <c r="RH19" s="35"/>
      <c r="RI19" s="35"/>
      <c r="RJ19" s="35"/>
      <c r="RK19" s="35"/>
      <c r="RL19" s="35"/>
      <c r="RM19" s="35"/>
      <c r="RN19" s="35"/>
      <c r="RO19" s="35"/>
      <c r="RP19" s="35"/>
      <c r="RQ19" s="35"/>
      <c r="RR19" s="35"/>
      <c r="RS19" s="35"/>
      <c r="RT19" s="35"/>
      <c r="RU19" s="35"/>
      <c r="RV19" s="35"/>
      <c r="RW19" s="35"/>
      <c r="RX19" s="35"/>
      <c r="RY19" s="35"/>
      <c r="RZ19" s="35"/>
      <c r="SA19" s="35"/>
      <c r="SB19" s="35"/>
      <c r="SC19" s="35"/>
      <c r="SD19" s="35"/>
      <c r="SE19" s="35"/>
      <c r="SF19" s="35"/>
      <c r="SG19" s="35"/>
      <c r="SH19" s="35"/>
      <c r="SI19" s="35"/>
      <c r="SJ19" s="35"/>
      <c r="SK19" s="35"/>
      <c r="SL19" s="35"/>
      <c r="SM19" s="35"/>
      <c r="SN19" s="35"/>
      <c r="SO19" s="35"/>
      <c r="SP19" s="35"/>
      <c r="SQ19" s="35"/>
      <c r="SR19" s="35"/>
      <c r="SS19" s="35"/>
      <c r="ST19" s="35"/>
      <c r="SU19" s="35"/>
      <c r="SV19" s="35"/>
      <c r="SW19" s="35"/>
      <c r="SX19" s="35"/>
      <c r="SY19" s="35"/>
      <c r="SZ19" s="35"/>
      <c r="TA19" s="35"/>
      <c r="TB19" s="35"/>
      <c r="TC19" s="35"/>
      <c r="TD19" s="35"/>
      <c r="TE19" s="35"/>
      <c r="TF19" s="35"/>
      <c r="TG19" s="35"/>
      <c r="TH19" s="35"/>
      <c r="TI19" s="35"/>
      <c r="TJ19" s="35"/>
      <c r="TK19" s="35"/>
      <c r="TL19" s="35"/>
      <c r="TM19" s="35"/>
      <c r="TN19" s="35"/>
      <c r="TO19" s="35"/>
      <c r="TP19" s="35"/>
      <c r="TQ19" s="35"/>
      <c r="TR19" s="35"/>
      <c r="TS19" s="35"/>
      <c r="TT19" s="35"/>
      <c r="TU19" s="35"/>
      <c r="TV19" s="35"/>
      <c r="TW19" s="35"/>
      <c r="TX19" s="35"/>
      <c r="TY19" s="35"/>
      <c r="TZ19" s="35"/>
      <c r="UA19" s="35"/>
      <c r="UB19" s="35"/>
      <c r="UC19" s="35"/>
      <c r="UD19" s="35"/>
      <c r="UE19" s="35"/>
      <c r="UF19" s="35"/>
      <c r="UG19" s="35"/>
      <c r="UH19" s="35"/>
      <c r="UI19" s="35"/>
      <c r="UJ19" s="35"/>
      <c r="UK19" s="35"/>
      <c r="UL19" s="35"/>
      <c r="UM19" s="35"/>
      <c r="UN19" s="35"/>
      <c r="UO19" s="35"/>
      <c r="UP19" s="35"/>
      <c r="UQ19" s="35"/>
      <c r="UR19" s="35"/>
      <c r="US19" s="35"/>
      <c r="UT19" s="35"/>
      <c r="UU19" s="35"/>
      <c r="UV19" s="35"/>
      <c r="UW19" s="35"/>
      <c r="UX19" s="35"/>
      <c r="UY19" s="35"/>
      <c r="UZ19" s="35"/>
      <c r="VA19" s="35"/>
      <c r="VB19" s="35"/>
      <c r="VC19" s="35"/>
      <c r="VD19" s="35"/>
      <c r="VE19" s="35"/>
      <c r="VF19" s="35"/>
      <c r="VG19" s="35"/>
      <c r="VH19" s="35"/>
      <c r="VI19" s="35"/>
      <c r="VJ19" s="35"/>
      <c r="VK19" s="35"/>
      <c r="VL19" s="35"/>
      <c r="VM19" s="35"/>
      <c r="VN19" s="35"/>
      <c r="VO19" s="35"/>
      <c r="VP19" s="35"/>
      <c r="VQ19" s="35"/>
      <c r="VR19" s="35"/>
      <c r="VS19" s="35"/>
      <c r="VT19" s="35"/>
      <c r="VU19" s="35"/>
      <c r="VV19" s="35"/>
      <c r="VW19" s="35"/>
      <c r="VX19" s="35"/>
      <c r="VY19" s="35"/>
      <c r="VZ19" s="35"/>
      <c r="WA19" s="35"/>
      <c r="WB19" s="35"/>
      <c r="WC19" s="35"/>
      <c r="WD19" s="35"/>
      <c r="WE19" s="35"/>
      <c r="WF19" s="35"/>
      <c r="WG19" s="35"/>
      <c r="WH19" s="35"/>
      <c r="WI19" s="35"/>
      <c r="WJ19" s="35"/>
      <c r="WK19" s="35"/>
      <c r="WL19" s="35"/>
      <c r="WM19" s="35"/>
      <c r="WN19" s="35"/>
      <c r="WO19" s="35"/>
      <c r="WP19" s="35"/>
      <c r="WQ19" s="35"/>
      <c r="WR19" s="35"/>
      <c r="WS19" s="35"/>
      <c r="WT19" s="35"/>
      <c r="WU19" s="35"/>
      <c r="WV19" s="35"/>
      <c r="WW19" s="35"/>
      <c r="WX19" s="35"/>
      <c r="WY19" s="35"/>
      <c r="WZ19" s="35"/>
      <c r="XA19" s="35"/>
      <c r="XB19" s="35"/>
      <c r="XC19" s="35"/>
      <c r="XD19" s="35"/>
      <c r="XE19" s="35"/>
      <c r="XF19" s="35"/>
      <c r="XG19" s="35"/>
      <c r="XH19" s="35"/>
      <c r="XI19" s="35"/>
      <c r="XJ19" s="35"/>
      <c r="XK19" s="35"/>
      <c r="XL19" s="35"/>
      <c r="XM19" s="35"/>
      <c r="XN19" s="35"/>
      <c r="XO19" s="35"/>
      <c r="XP19" s="35"/>
      <c r="XQ19" s="35"/>
      <c r="XR19" s="35"/>
      <c r="XS19" s="35"/>
      <c r="XT19" s="35"/>
      <c r="XU19" s="35"/>
      <c r="XV19" s="35"/>
      <c r="XW19" s="35"/>
      <c r="XX19" s="35"/>
      <c r="XY19" s="35"/>
      <c r="XZ19" s="35"/>
      <c r="YA19" s="35"/>
      <c r="YB19" s="35"/>
      <c r="YC19" s="35"/>
      <c r="YD19" s="35"/>
      <c r="YE19" s="35"/>
      <c r="YF19" s="35"/>
      <c r="YG19" s="35"/>
      <c r="YH19" s="35"/>
      <c r="YI19" s="35"/>
      <c r="YJ19" s="35"/>
      <c r="YK19" s="35"/>
      <c r="YL19" s="35"/>
      <c r="YM19" s="35"/>
      <c r="YN19" s="35"/>
      <c r="YO19" s="35"/>
      <c r="YP19" s="35"/>
      <c r="YQ19" s="35"/>
      <c r="YR19" s="35"/>
      <c r="YS19" s="35"/>
      <c r="YT19" s="35"/>
      <c r="YU19" s="35"/>
      <c r="YV19" s="35"/>
      <c r="YW19" s="35"/>
      <c r="YX19" s="35"/>
      <c r="YY19" s="35"/>
      <c r="YZ19" s="35"/>
      <c r="ZA19" s="35"/>
      <c r="ZB19" s="35"/>
      <c r="ZC19" s="35"/>
      <c r="ZD19" s="35"/>
      <c r="ZE19" s="35"/>
      <c r="ZF19" s="35"/>
      <c r="ZG19" s="35"/>
      <c r="ZH19" s="35"/>
      <c r="ZI19" s="35"/>
      <c r="ZJ19" s="35"/>
      <c r="ZK19" s="35"/>
      <c r="ZL19" s="35"/>
      <c r="ZM19" s="35"/>
      <c r="ZN19" s="35"/>
      <c r="ZO19" s="35"/>
      <c r="ZP19" s="35"/>
      <c r="ZQ19" s="35"/>
      <c r="ZR19" s="35"/>
      <c r="ZS19" s="35"/>
      <c r="ZT19" s="35"/>
      <c r="ZU19" s="35"/>
      <c r="ZV19" s="35"/>
      <c r="ZW19" s="35"/>
      <c r="ZX19" s="35"/>
      <c r="ZY19" s="35"/>
      <c r="ZZ19" s="35"/>
      <c r="AAA19" s="35"/>
      <c r="AAB19" s="35"/>
      <c r="AAC19" s="35"/>
      <c r="AAD19" s="35"/>
      <c r="AAE19" s="35"/>
      <c r="AAF19" s="35"/>
      <c r="AAG19" s="35"/>
      <c r="AAH19" s="35"/>
      <c r="AAI19" s="35"/>
      <c r="AAJ19" s="35"/>
      <c r="AAK19" s="35"/>
      <c r="AAL19" s="35"/>
      <c r="AAM19" s="35"/>
      <c r="AAN19" s="35"/>
      <c r="AAO19" s="35"/>
      <c r="AAP19" s="35"/>
      <c r="AAQ19" s="35"/>
      <c r="AAR19" s="35"/>
      <c r="AAS19" s="35"/>
      <c r="AAT19" s="35"/>
      <c r="AAU19" s="35"/>
      <c r="AAV19" s="35"/>
      <c r="AAW19" s="35"/>
      <c r="AAX19" s="35"/>
      <c r="AAY19" s="35"/>
      <c r="AAZ19" s="35"/>
      <c r="ABA19" s="35"/>
      <c r="ABB19" s="35"/>
      <c r="ABC19" s="35"/>
      <c r="ABD19" s="35"/>
      <c r="ABE19" s="35"/>
      <c r="ABF19" s="35"/>
      <c r="ABG19" s="35"/>
      <c r="ABH19" s="35"/>
      <c r="ABI19" s="35"/>
      <c r="ABJ19" s="35"/>
      <c r="ABK19" s="35"/>
      <c r="ABL19" s="35"/>
      <c r="ABM19" s="35"/>
      <c r="ABN19" s="35"/>
      <c r="ABO19" s="35"/>
      <c r="ABP19" s="35"/>
      <c r="ABQ19" s="35"/>
      <c r="ABR19" s="35"/>
      <c r="ABS19" s="35"/>
      <c r="ABT19" s="35"/>
      <c r="ABU19" s="35"/>
      <c r="ABV19" s="35"/>
      <c r="ABW19" s="35"/>
      <c r="ABX19" s="35"/>
      <c r="ABY19" s="35"/>
      <c r="ABZ19" s="35"/>
      <c r="ACA19" s="35"/>
      <c r="ACB19" s="35"/>
      <c r="ACC19" s="35"/>
      <c r="ACD19" s="35"/>
      <c r="ACE19" s="35"/>
      <c r="ACF19" s="35"/>
      <c r="ACG19" s="35"/>
      <c r="ACH19" s="35"/>
      <c r="ACI19" s="35"/>
      <c r="ACJ19" s="35"/>
      <c r="ACK19" s="35"/>
      <c r="ACL19" s="35"/>
      <c r="ACM19" s="35"/>
      <c r="ACN19" s="35"/>
      <c r="ACO19" s="35"/>
      <c r="ACP19" s="35"/>
      <c r="ACQ19" s="35"/>
      <c r="ACR19" s="35"/>
      <c r="ACS19" s="35"/>
      <c r="ACT19" s="35"/>
      <c r="ACU19" s="35"/>
      <c r="ACV19" s="35"/>
      <c r="ACW19" s="35"/>
      <c r="ACX19" s="35"/>
      <c r="ACY19" s="35"/>
      <c r="ACZ19" s="35"/>
      <c r="ADA19" s="35"/>
      <c r="ADB19" s="35"/>
      <c r="ADC19" s="35"/>
      <c r="ADD19" s="35"/>
      <c r="ADE19" s="35"/>
      <c r="ADF19" s="35"/>
      <c r="ADG19" s="35"/>
      <c r="ADH19" s="35"/>
      <c r="ADI19" s="35"/>
      <c r="ADJ19" s="35"/>
      <c r="ADK19" s="35"/>
      <c r="ADL19" s="35"/>
      <c r="ADM19" s="35"/>
      <c r="ADN19" s="35"/>
      <c r="ADO19" s="35"/>
      <c r="ADP19" s="35"/>
      <c r="ADQ19" s="35"/>
      <c r="ADR19" s="35"/>
      <c r="ADS19" s="35"/>
      <c r="ADT19" s="35"/>
      <c r="ADU19" s="35"/>
      <c r="ADV19" s="35"/>
      <c r="ADW19" s="35"/>
      <c r="ADX19" s="35"/>
      <c r="ADY19" s="35"/>
      <c r="ADZ19" s="35"/>
      <c r="AEA19" s="35"/>
      <c r="AEB19" s="35"/>
      <c r="AEC19" s="35"/>
      <c r="AED19" s="35"/>
      <c r="AEE19" s="35"/>
      <c r="AEF19" s="35"/>
      <c r="AEG19" s="35"/>
      <c r="AEH19" s="35"/>
      <c r="AEI19" s="35"/>
      <c r="AEJ19" s="35"/>
      <c r="AEK19" s="35"/>
      <c r="AEL19" s="35"/>
      <c r="AEM19" s="35"/>
      <c r="AEN19" s="35"/>
      <c r="AEO19" s="35"/>
      <c r="AEP19" s="35"/>
      <c r="AEQ19" s="35"/>
      <c r="AER19" s="35"/>
      <c r="AES19" s="35"/>
      <c r="AET19" s="35"/>
      <c r="AEU19" s="35"/>
      <c r="AEV19" s="35"/>
      <c r="AEW19" s="35"/>
      <c r="AEX19" s="35"/>
      <c r="AEY19" s="35"/>
      <c r="AEZ19" s="35"/>
      <c r="AFA19" s="35"/>
      <c r="AFB19" s="35"/>
      <c r="AFC19" s="35"/>
      <c r="AFD19" s="35"/>
      <c r="AFE19" s="35"/>
      <c r="AFF19" s="35"/>
      <c r="AFG19" s="35"/>
      <c r="AFH19" s="35"/>
      <c r="AFI19" s="35"/>
      <c r="AFJ19" s="35"/>
      <c r="AFK19" s="35"/>
      <c r="AFL19" s="35"/>
      <c r="AFM19" s="35"/>
      <c r="AFN19" s="35"/>
      <c r="AFO19" s="35"/>
      <c r="AFP19" s="35"/>
      <c r="AFQ19" s="35"/>
      <c r="AFR19" s="35"/>
      <c r="AFS19" s="35"/>
      <c r="AFT19" s="35"/>
      <c r="AFU19" s="35"/>
      <c r="AFV19" s="35"/>
      <c r="AFW19" s="35"/>
      <c r="AFX19" s="35"/>
      <c r="AFY19" s="35"/>
      <c r="AFZ19" s="35"/>
      <c r="AGA19" s="35"/>
      <c r="AGB19" s="35"/>
      <c r="AGC19" s="35"/>
      <c r="AGD19" s="35"/>
      <c r="AGE19" s="35"/>
      <c r="AGF19" s="35"/>
      <c r="AGG19" s="35"/>
      <c r="AGH19" s="35"/>
      <c r="AGI19" s="35"/>
      <c r="AGJ19" s="35"/>
      <c r="AGK19" s="35"/>
      <c r="AGL19" s="35"/>
      <c r="AGM19" s="35"/>
      <c r="AGN19" s="35"/>
      <c r="AGO19" s="35"/>
      <c r="AGP19" s="35"/>
      <c r="AGQ19" s="35"/>
      <c r="AGR19" s="35"/>
      <c r="AGS19" s="35"/>
      <c r="AGT19" s="35"/>
      <c r="AGU19" s="35"/>
      <c r="AGV19" s="35"/>
      <c r="AGW19" s="35"/>
      <c r="AGX19" s="35"/>
      <c r="AGY19" s="35"/>
      <c r="AGZ19" s="35"/>
      <c r="AHA19" s="35"/>
      <c r="AHB19" s="35"/>
      <c r="AHC19" s="35"/>
      <c r="AHD19" s="35"/>
      <c r="AHE19" s="35"/>
      <c r="AHF19" s="35"/>
      <c r="AHG19" s="35"/>
      <c r="AHH19" s="35"/>
      <c r="AHI19" s="35"/>
      <c r="AHJ19" s="35"/>
      <c r="AHK19" s="35"/>
      <c r="AHL19" s="35"/>
      <c r="AHM19" s="35"/>
      <c r="AHN19" s="35"/>
      <c r="AHO19" s="35"/>
      <c r="AHP19" s="35"/>
      <c r="AHQ19" s="35"/>
      <c r="AHR19" s="35"/>
      <c r="AHS19" s="35"/>
      <c r="AHT19" s="35"/>
      <c r="AHU19" s="35"/>
      <c r="AHV19" s="35"/>
      <c r="AHW19" s="35"/>
      <c r="AHX19" s="35"/>
      <c r="AHY19" s="35"/>
      <c r="AHZ19" s="35"/>
      <c r="AIA19" s="35"/>
      <c r="AIB19" s="35"/>
      <c r="AIC19" s="35"/>
      <c r="AID19" s="35"/>
      <c r="AIE19" s="35"/>
      <c r="AIF19" s="35"/>
      <c r="AIG19" s="35"/>
      <c r="AIH19" s="35"/>
      <c r="AII19" s="35"/>
      <c r="AIJ19" s="35"/>
      <c r="AIK19" s="35"/>
      <c r="AIL19" s="35"/>
      <c r="AIM19" s="35"/>
      <c r="AIN19" s="35"/>
      <c r="AIO19" s="35"/>
      <c r="AIP19" s="35"/>
      <c r="AIQ19" s="35"/>
      <c r="AIR19" s="35"/>
      <c r="AIS19" s="35"/>
      <c r="AIT19" s="35"/>
      <c r="AIU19" s="35"/>
      <c r="AIV19" s="35"/>
      <c r="AIW19" s="35"/>
      <c r="AIX19" s="35"/>
      <c r="AIY19" s="35"/>
      <c r="AIZ19" s="35"/>
      <c r="AJA19" s="35"/>
      <c r="AJB19" s="35"/>
      <c r="AJC19" s="35"/>
      <c r="AJD19" s="35"/>
      <c r="AJE19" s="35"/>
      <c r="AJF19" s="35"/>
      <c r="AJG19" s="35"/>
      <c r="AJH19" s="35"/>
      <c r="AJI19" s="35"/>
      <c r="AJJ19" s="35"/>
      <c r="AJK19" s="35"/>
      <c r="AJL19" s="35"/>
      <c r="AJM19" s="35"/>
      <c r="AJN19" s="35"/>
      <c r="AJO19" s="35"/>
      <c r="AJP19" s="35"/>
      <c r="AJQ19" s="35"/>
      <c r="AJR19" s="35"/>
      <c r="AJS19" s="35"/>
      <c r="AJT19" s="35"/>
      <c r="AJU19" s="35"/>
      <c r="AJV19" s="35"/>
      <c r="AJW19" s="35"/>
      <c r="AJX19" s="35"/>
      <c r="AJY19" s="35"/>
      <c r="AJZ19" s="35"/>
      <c r="AKA19" s="35"/>
      <c r="AKB19" s="35"/>
      <c r="AKC19" s="35"/>
      <c r="AKD19" s="35"/>
      <c r="AKE19" s="35"/>
      <c r="AKF19" s="35"/>
      <c r="AKG19" s="35"/>
      <c r="AKH19" s="35"/>
      <c r="AKI19" s="35"/>
      <c r="AKJ19" s="35"/>
      <c r="AKK19" s="35"/>
      <c r="AKL19" s="35"/>
      <c r="AKM19" s="35"/>
      <c r="AKN19" s="35"/>
      <c r="AKO19" s="35"/>
      <c r="AKP19" s="35"/>
      <c r="AKQ19" s="35"/>
      <c r="AKR19" s="35"/>
      <c r="AKS19" s="35"/>
    </row>
    <row r="20" customFormat="false" ht="12.8" hidden="true" customHeight="true" outlineLevel="1" collapsed="false">
      <c r="A20" s="40"/>
      <c r="B20" s="40"/>
      <c r="C20" s="40"/>
      <c r="D20" s="40"/>
      <c r="E20" s="40"/>
      <c r="F20" s="40"/>
      <c r="G20" s="40"/>
      <c r="H20" s="40"/>
      <c r="I20" s="40"/>
      <c r="J20" s="40"/>
      <c r="K20" s="40"/>
      <c r="L20" s="40"/>
      <c r="M20" s="40"/>
      <c r="N20" s="40"/>
      <c r="O20" s="40" t="s">
        <v>364</v>
      </c>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35"/>
      <c r="BN20" s="35"/>
      <c r="BO20" s="35"/>
      <c r="BP20" s="35"/>
      <c r="BQ20" s="35"/>
      <c r="BR20" s="35"/>
      <c r="BS20" s="35"/>
      <c r="BT20" s="35"/>
      <c r="BU20" s="35"/>
      <c r="BV20" s="35"/>
      <c r="BW20" s="35"/>
      <c r="BX20" s="35"/>
      <c r="BY20" s="35"/>
      <c r="BZ20" s="35"/>
      <c r="CA20" s="35"/>
      <c r="CB20" s="35"/>
      <c r="CC20" s="35"/>
      <c r="CD20" s="35"/>
      <c r="CE20" s="35"/>
      <c r="CF20" s="35"/>
      <c r="CG20" s="35"/>
      <c r="CH20" s="35"/>
      <c r="CI20" s="35"/>
      <c r="CJ20" s="35"/>
      <c r="CK20" s="35"/>
      <c r="CL20" s="35"/>
      <c r="CM20" s="35"/>
      <c r="CN20" s="35"/>
      <c r="CO20" s="35"/>
      <c r="CP20" s="35"/>
      <c r="CQ20" s="35"/>
      <c r="CR20" s="35"/>
      <c r="CS20" s="35"/>
      <c r="CT20" s="35"/>
      <c r="CU20" s="35"/>
      <c r="CV20" s="35"/>
      <c r="CW20" s="35"/>
      <c r="CX20" s="35"/>
      <c r="CY20" s="35"/>
      <c r="CZ20" s="35"/>
      <c r="DA20" s="35"/>
      <c r="DB20" s="35"/>
      <c r="DC20" s="35"/>
      <c r="DD20" s="35"/>
      <c r="DE20" s="35"/>
      <c r="DF20" s="35"/>
      <c r="DG20" s="35"/>
      <c r="DH20" s="35"/>
      <c r="DI20" s="35"/>
      <c r="DJ20" s="35"/>
      <c r="DK20" s="35"/>
      <c r="DL20" s="35"/>
      <c r="DM20" s="35"/>
      <c r="DN20" s="35"/>
      <c r="DO20" s="35"/>
      <c r="DP20" s="35"/>
      <c r="DQ20" s="35"/>
      <c r="DR20" s="35"/>
      <c r="DS20" s="35"/>
      <c r="DT20" s="35"/>
      <c r="DU20" s="35"/>
      <c r="DV20" s="35"/>
      <c r="DW20" s="35"/>
      <c r="DX20" s="35"/>
      <c r="DY20" s="35"/>
      <c r="DZ20" s="35"/>
      <c r="EA20" s="35"/>
      <c r="EB20" s="35"/>
      <c r="EC20" s="35"/>
      <c r="ED20" s="35"/>
      <c r="EE20" s="35"/>
      <c r="EF20" s="35"/>
      <c r="EG20" s="35"/>
      <c r="EH20" s="35"/>
      <c r="EI20" s="35"/>
      <c r="EJ20" s="35"/>
      <c r="EK20" s="35"/>
      <c r="EL20" s="35"/>
      <c r="EM20" s="35"/>
      <c r="EN20" s="35"/>
      <c r="EO20" s="35"/>
      <c r="EP20" s="35"/>
      <c r="EQ20" s="35"/>
      <c r="ER20" s="35"/>
      <c r="ES20" s="35"/>
      <c r="ET20" s="35"/>
      <c r="EU20" s="35"/>
      <c r="EV20" s="35"/>
      <c r="EW20" s="35"/>
      <c r="EX20" s="35"/>
      <c r="EY20" s="35"/>
      <c r="EZ20" s="35"/>
      <c r="FA20" s="35"/>
      <c r="FB20" s="35"/>
      <c r="FC20" s="35"/>
      <c r="FD20" s="35"/>
      <c r="FE20" s="35"/>
      <c r="FF20" s="35"/>
      <c r="FG20" s="35"/>
      <c r="FH20" s="35"/>
      <c r="FI20" s="35"/>
      <c r="FJ20" s="35"/>
      <c r="FK20" s="35"/>
      <c r="FL20" s="35"/>
      <c r="FM20" s="35"/>
      <c r="FN20" s="35"/>
      <c r="FO20" s="35"/>
      <c r="FP20" s="35"/>
      <c r="FQ20" s="35"/>
      <c r="FR20" s="35"/>
      <c r="FS20" s="35"/>
      <c r="FT20" s="35"/>
      <c r="FU20" s="35"/>
      <c r="FV20" s="35"/>
      <c r="FW20" s="35"/>
      <c r="FX20" s="35"/>
      <c r="FY20" s="35"/>
      <c r="FZ20" s="35"/>
      <c r="GA20" s="35"/>
      <c r="GB20" s="35"/>
      <c r="GC20" s="35"/>
      <c r="GD20" s="35"/>
      <c r="GE20" s="35"/>
      <c r="GF20" s="35"/>
      <c r="GG20" s="35"/>
      <c r="GH20" s="35"/>
      <c r="GI20" s="35"/>
      <c r="GJ20" s="35"/>
      <c r="GK20" s="35"/>
      <c r="GL20" s="35"/>
      <c r="GM20" s="35"/>
      <c r="GN20" s="35"/>
      <c r="GO20" s="35"/>
      <c r="GP20" s="35"/>
      <c r="GQ20" s="35"/>
      <c r="GR20" s="35"/>
      <c r="GS20" s="35"/>
      <c r="GT20" s="35"/>
      <c r="GU20" s="35"/>
      <c r="GV20" s="35"/>
      <c r="GW20" s="35"/>
      <c r="GX20" s="35"/>
      <c r="GY20" s="35"/>
      <c r="GZ20" s="35"/>
      <c r="HA20" s="35"/>
      <c r="HB20" s="35"/>
      <c r="HC20" s="35"/>
      <c r="HD20" s="35"/>
      <c r="HE20" s="35"/>
      <c r="HF20" s="35"/>
      <c r="HG20" s="35"/>
      <c r="HH20" s="35"/>
      <c r="HI20" s="35"/>
      <c r="HJ20" s="35"/>
      <c r="HK20" s="35"/>
      <c r="HL20" s="35"/>
      <c r="HM20" s="35"/>
      <c r="HN20" s="35"/>
      <c r="HO20" s="35"/>
      <c r="HP20" s="35"/>
      <c r="HQ20" s="35"/>
      <c r="HR20" s="35"/>
      <c r="HS20" s="35"/>
      <c r="HT20" s="35"/>
      <c r="HU20" s="35"/>
      <c r="HV20" s="35"/>
      <c r="HW20" s="35"/>
      <c r="HX20" s="35"/>
      <c r="HY20" s="35"/>
      <c r="HZ20" s="35"/>
      <c r="IA20" s="35"/>
      <c r="IB20" s="35"/>
      <c r="IC20" s="35"/>
      <c r="ID20" s="35"/>
      <c r="IE20" s="35"/>
      <c r="IF20" s="35"/>
      <c r="IG20" s="35"/>
      <c r="IH20" s="35"/>
      <c r="II20" s="35"/>
      <c r="IJ20" s="35"/>
      <c r="IK20" s="35"/>
      <c r="IL20" s="35"/>
      <c r="IM20" s="35"/>
      <c r="IN20" s="35"/>
      <c r="IO20" s="35"/>
      <c r="IP20" s="35"/>
      <c r="IQ20" s="35"/>
      <c r="IR20" s="35"/>
      <c r="IS20" s="35"/>
      <c r="IT20" s="35"/>
      <c r="IU20" s="35"/>
      <c r="IV20" s="35"/>
      <c r="IW20" s="35"/>
      <c r="IX20" s="35"/>
      <c r="IY20" s="35"/>
      <c r="IZ20" s="35"/>
      <c r="JA20" s="35"/>
      <c r="JB20" s="35"/>
      <c r="JC20" s="35"/>
      <c r="JD20" s="35"/>
      <c r="JE20" s="35"/>
      <c r="JF20" s="35"/>
      <c r="JG20" s="35"/>
      <c r="JH20" s="35"/>
      <c r="JI20" s="35"/>
      <c r="JJ20" s="35"/>
      <c r="JK20" s="35"/>
      <c r="JL20" s="35"/>
      <c r="JM20" s="35"/>
      <c r="JN20" s="35"/>
      <c r="JO20" s="35"/>
      <c r="JP20" s="35"/>
      <c r="JQ20" s="35"/>
      <c r="JR20" s="35"/>
      <c r="JS20" s="35"/>
      <c r="JT20" s="35"/>
      <c r="JU20" s="35"/>
      <c r="JV20" s="35"/>
      <c r="JW20" s="35"/>
      <c r="JX20" s="35"/>
      <c r="JY20" s="35"/>
      <c r="JZ20" s="35"/>
      <c r="KA20" s="35"/>
      <c r="KB20" s="35"/>
      <c r="KC20" s="35"/>
      <c r="KD20" s="35"/>
      <c r="KE20" s="35"/>
      <c r="KF20" s="35"/>
      <c r="KG20" s="35"/>
      <c r="KH20" s="35"/>
      <c r="KI20" s="35"/>
      <c r="KJ20" s="35"/>
      <c r="KK20" s="35"/>
      <c r="KL20" s="35"/>
      <c r="KM20" s="35"/>
      <c r="KN20" s="35"/>
      <c r="KO20" s="35"/>
      <c r="KP20" s="35"/>
      <c r="KQ20" s="35"/>
      <c r="KR20" s="35"/>
      <c r="KS20" s="35"/>
      <c r="KT20" s="35"/>
      <c r="KU20" s="35"/>
      <c r="KV20" s="35"/>
      <c r="KW20" s="35"/>
      <c r="KX20" s="35"/>
      <c r="KY20" s="35"/>
      <c r="KZ20" s="35"/>
      <c r="LA20" s="35"/>
      <c r="LB20" s="35"/>
      <c r="LC20" s="35"/>
      <c r="LD20" s="35"/>
      <c r="LE20" s="35"/>
      <c r="LF20" s="35"/>
      <c r="LG20" s="35"/>
      <c r="LH20" s="35"/>
      <c r="LI20" s="35"/>
      <c r="LJ20" s="35"/>
      <c r="LK20" s="35"/>
      <c r="LL20" s="35"/>
      <c r="LM20" s="35"/>
      <c r="LN20" s="35"/>
      <c r="LO20" s="35"/>
      <c r="LP20" s="35"/>
      <c r="LQ20" s="35"/>
      <c r="LR20" s="35"/>
      <c r="LS20" s="35"/>
      <c r="LT20" s="35"/>
      <c r="LU20" s="35"/>
      <c r="LV20" s="35"/>
      <c r="LW20" s="35"/>
      <c r="LX20" s="35"/>
      <c r="LY20" s="35"/>
      <c r="LZ20" s="35"/>
      <c r="MA20" s="35"/>
      <c r="MB20" s="35"/>
      <c r="MC20" s="35"/>
      <c r="MD20" s="35"/>
      <c r="ME20" s="35"/>
      <c r="MF20" s="35"/>
      <c r="MG20" s="35"/>
      <c r="MH20" s="35"/>
      <c r="MI20" s="35"/>
      <c r="MJ20" s="35"/>
      <c r="MK20" s="35"/>
      <c r="ML20" s="35"/>
      <c r="MM20" s="35"/>
      <c r="MN20" s="35"/>
      <c r="MO20" s="35"/>
      <c r="MP20" s="35"/>
      <c r="MQ20" s="35"/>
      <c r="MR20" s="35"/>
      <c r="MS20" s="35"/>
      <c r="MT20" s="35"/>
      <c r="MU20" s="35"/>
      <c r="MV20" s="35"/>
      <c r="MW20" s="35"/>
      <c r="MX20" s="35"/>
      <c r="MY20" s="35"/>
      <c r="MZ20" s="35"/>
      <c r="NA20" s="35"/>
      <c r="NB20" s="35"/>
      <c r="NC20" s="35"/>
      <c r="ND20" s="35"/>
      <c r="NE20" s="35"/>
      <c r="NF20" s="35"/>
      <c r="NG20" s="35"/>
      <c r="NH20" s="35"/>
      <c r="NI20" s="35"/>
      <c r="NJ20" s="35"/>
      <c r="NK20" s="35"/>
      <c r="NL20" s="35"/>
      <c r="NM20" s="35"/>
      <c r="NN20" s="35"/>
      <c r="NO20" s="35"/>
      <c r="NP20" s="35"/>
      <c r="NQ20" s="35"/>
      <c r="NR20" s="35"/>
      <c r="NS20" s="35"/>
      <c r="NT20" s="35"/>
      <c r="NU20" s="35"/>
      <c r="NV20" s="35"/>
      <c r="NW20" s="35"/>
      <c r="NX20" s="35"/>
      <c r="NY20" s="35"/>
      <c r="NZ20" s="35"/>
      <c r="OA20" s="35"/>
      <c r="OB20" s="35"/>
      <c r="OC20" s="35"/>
      <c r="OD20" s="35"/>
      <c r="OE20" s="35"/>
      <c r="OF20" s="35"/>
      <c r="OG20" s="35"/>
      <c r="OH20" s="35"/>
      <c r="OI20" s="35"/>
      <c r="OJ20" s="35"/>
      <c r="OK20" s="35"/>
      <c r="OL20" s="35"/>
      <c r="OM20" s="35"/>
      <c r="ON20" s="35"/>
      <c r="OO20" s="35"/>
      <c r="OP20" s="35"/>
      <c r="OQ20" s="35"/>
      <c r="OR20" s="35"/>
      <c r="OS20" s="35"/>
      <c r="OT20" s="35"/>
      <c r="OU20" s="35"/>
      <c r="OV20" s="35"/>
      <c r="OW20" s="35"/>
      <c r="OX20" s="35"/>
      <c r="OY20" s="35"/>
      <c r="OZ20" s="35"/>
      <c r="PA20" s="35"/>
      <c r="PB20" s="35"/>
      <c r="PC20" s="35"/>
      <c r="PD20" s="35"/>
      <c r="PE20" s="35"/>
      <c r="PF20" s="35"/>
      <c r="PG20" s="35"/>
      <c r="PH20" s="35"/>
      <c r="PI20" s="35"/>
      <c r="PJ20" s="35"/>
      <c r="PK20" s="35"/>
      <c r="PL20" s="35"/>
      <c r="PM20" s="35"/>
      <c r="PN20" s="35"/>
      <c r="PO20" s="35"/>
      <c r="PP20" s="35"/>
      <c r="PQ20" s="35"/>
      <c r="PR20" s="35"/>
      <c r="PS20" s="35"/>
      <c r="PT20" s="35"/>
      <c r="PU20" s="35"/>
      <c r="PV20" s="35"/>
      <c r="PW20" s="35"/>
      <c r="PX20" s="35"/>
      <c r="PY20" s="35"/>
      <c r="PZ20" s="35"/>
      <c r="QA20" s="35"/>
      <c r="QB20" s="35"/>
      <c r="QC20" s="35"/>
      <c r="QD20" s="35"/>
      <c r="QE20" s="35"/>
      <c r="QF20" s="35"/>
      <c r="QG20" s="35"/>
      <c r="QH20" s="35"/>
      <c r="QI20" s="35"/>
      <c r="QJ20" s="35"/>
      <c r="QK20" s="35"/>
      <c r="QL20" s="35"/>
      <c r="QM20" s="35"/>
      <c r="QN20" s="35"/>
      <c r="QO20" s="35"/>
      <c r="QP20" s="35"/>
      <c r="QQ20" s="35"/>
      <c r="QR20" s="35"/>
      <c r="QS20" s="35"/>
      <c r="QT20" s="35"/>
      <c r="QU20" s="35"/>
      <c r="QV20" s="35"/>
      <c r="QW20" s="35"/>
      <c r="QX20" s="35"/>
      <c r="QY20" s="35"/>
      <c r="QZ20" s="35"/>
      <c r="RA20" s="35"/>
      <c r="RB20" s="35"/>
      <c r="RC20" s="35"/>
      <c r="RD20" s="35"/>
      <c r="RE20" s="35"/>
      <c r="RF20" s="35"/>
      <c r="RG20" s="35"/>
      <c r="RH20" s="35"/>
      <c r="RI20" s="35"/>
      <c r="RJ20" s="35"/>
      <c r="RK20" s="35"/>
      <c r="RL20" s="35"/>
      <c r="RM20" s="35"/>
      <c r="RN20" s="35"/>
      <c r="RO20" s="35"/>
      <c r="RP20" s="35"/>
      <c r="RQ20" s="35"/>
      <c r="RR20" s="35"/>
      <c r="RS20" s="35"/>
      <c r="RT20" s="35"/>
      <c r="RU20" s="35"/>
      <c r="RV20" s="35"/>
      <c r="RW20" s="35"/>
      <c r="RX20" s="35"/>
      <c r="RY20" s="35"/>
      <c r="RZ20" s="35"/>
      <c r="SA20" s="35"/>
      <c r="SB20" s="35"/>
      <c r="SC20" s="35"/>
      <c r="SD20" s="35"/>
      <c r="SE20" s="35"/>
      <c r="SF20" s="35"/>
      <c r="SG20" s="35"/>
      <c r="SH20" s="35"/>
      <c r="SI20" s="35"/>
      <c r="SJ20" s="35"/>
      <c r="SK20" s="35"/>
      <c r="SL20" s="35"/>
      <c r="SM20" s="35"/>
      <c r="SN20" s="35"/>
      <c r="SO20" s="35"/>
      <c r="SP20" s="35"/>
      <c r="SQ20" s="35"/>
      <c r="SR20" s="35"/>
      <c r="SS20" s="35"/>
      <c r="ST20" s="35"/>
      <c r="SU20" s="35"/>
      <c r="SV20" s="35"/>
      <c r="SW20" s="35"/>
      <c r="SX20" s="35"/>
      <c r="SY20" s="35"/>
      <c r="SZ20" s="35"/>
      <c r="TA20" s="35"/>
      <c r="TB20" s="35"/>
      <c r="TC20" s="35"/>
      <c r="TD20" s="35"/>
      <c r="TE20" s="35"/>
      <c r="TF20" s="35"/>
      <c r="TG20" s="35"/>
      <c r="TH20" s="35"/>
      <c r="TI20" s="35"/>
      <c r="TJ20" s="35"/>
      <c r="TK20" s="35"/>
      <c r="TL20" s="35"/>
      <c r="TM20" s="35"/>
      <c r="TN20" s="35"/>
      <c r="TO20" s="35"/>
      <c r="TP20" s="35"/>
      <c r="TQ20" s="35"/>
      <c r="TR20" s="35"/>
      <c r="TS20" s="35"/>
      <c r="TT20" s="35"/>
      <c r="TU20" s="35"/>
      <c r="TV20" s="35"/>
      <c r="TW20" s="35"/>
      <c r="TX20" s="35"/>
      <c r="TY20" s="35"/>
      <c r="TZ20" s="35"/>
      <c r="UA20" s="35"/>
      <c r="UB20" s="35"/>
      <c r="UC20" s="35"/>
      <c r="UD20" s="35"/>
      <c r="UE20" s="35"/>
      <c r="UF20" s="35"/>
      <c r="UG20" s="35"/>
      <c r="UH20" s="35"/>
      <c r="UI20" s="35"/>
      <c r="UJ20" s="35"/>
      <c r="UK20" s="35"/>
      <c r="UL20" s="35"/>
      <c r="UM20" s="35"/>
      <c r="UN20" s="35"/>
      <c r="UO20" s="35"/>
      <c r="UP20" s="35"/>
      <c r="UQ20" s="35"/>
      <c r="UR20" s="35"/>
      <c r="US20" s="35"/>
      <c r="UT20" s="35"/>
      <c r="UU20" s="35"/>
      <c r="UV20" s="35"/>
      <c r="UW20" s="35"/>
      <c r="UX20" s="35"/>
      <c r="UY20" s="35"/>
      <c r="UZ20" s="35"/>
      <c r="VA20" s="35"/>
      <c r="VB20" s="35"/>
      <c r="VC20" s="35"/>
      <c r="VD20" s="35"/>
      <c r="VE20" s="35"/>
      <c r="VF20" s="35"/>
      <c r="VG20" s="35"/>
      <c r="VH20" s="35"/>
      <c r="VI20" s="35"/>
      <c r="VJ20" s="35"/>
      <c r="VK20" s="35"/>
      <c r="VL20" s="35"/>
      <c r="VM20" s="35"/>
      <c r="VN20" s="35"/>
      <c r="VO20" s="35"/>
      <c r="VP20" s="35"/>
      <c r="VQ20" s="35"/>
      <c r="VR20" s="35"/>
      <c r="VS20" s="35"/>
      <c r="VT20" s="35"/>
      <c r="VU20" s="35"/>
      <c r="VV20" s="35"/>
      <c r="VW20" s="35"/>
      <c r="VX20" s="35"/>
      <c r="VY20" s="35"/>
      <c r="VZ20" s="35"/>
      <c r="WA20" s="35"/>
      <c r="WB20" s="35"/>
      <c r="WC20" s="35"/>
      <c r="WD20" s="35"/>
      <c r="WE20" s="35"/>
      <c r="WF20" s="35"/>
      <c r="WG20" s="35"/>
      <c r="WH20" s="35"/>
      <c r="WI20" s="35"/>
      <c r="WJ20" s="35"/>
      <c r="WK20" s="35"/>
      <c r="WL20" s="35"/>
      <c r="WM20" s="35"/>
      <c r="WN20" s="35"/>
      <c r="WO20" s="35"/>
      <c r="WP20" s="35"/>
      <c r="WQ20" s="35"/>
      <c r="WR20" s="35"/>
      <c r="WS20" s="35"/>
      <c r="WT20" s="35"/>
      <c r="WU20" s="35"/>
      <c r="WV20" s="35"/>
      <c r="WW20" s="35"/>
      <c r="WX20" s="35"/>
      <c r="WY20" s="35"/>
      <c r="WZ20" s="35"/>
      <c r="XA20" s="35"/>
      <c r="XB20" s="35"/>
      <c r="XC20" s="35"/>
      <c r="XD20" s="35"/>
      <c r="XE20" s="35"/>
      <c r="XF20" s="35"/>
      <c r="XG20" s="35"/>
      <c r="XH20" s="35"/>
      <c r="XI20" s="35"/>
      <c r="XJ20" s="35"/>
      <c r="XK20" s="35"/>
      <c r="XL20" s="35"/>
      <c r="XM20" s="35"/>
      <c r="XN20" s="35"/>
      <c r="XO20" s="35"/>
      <c r="XP20" s="35"/>
      <c r="XQ20" s="35"/>
      <c r="XR20" s="35"/>
      <c r="XS20" s="35"/>
      <c r="XT20" s="35"/>
      <c r="XU20" s="35"/>
      <c r="XV20" s="35"/>
      <c r="XW20" s="35"/>
      <c r="XX20" s="35"/>
      <c r="XY20" s="35"/>
      <c r="XZ20" s="35"/>
      <c r="YA20" s="35"/>
      <c r="YB20" s="35"/>
      <c r="YC20" s="35"/>
      <c r="YD20" s="35"/>
      <c r="YE20" s="35"/>
      <c r="YF20" s="35"/>
      <c r="YG20" s="35"/>
      <c r="YH20" s="35"/>
      <c r="YI20" s="35"/>
      <c r="YJ20" s="35"/>
      <c r="YK20" s="35"/>
      <c r="YL20" s="35"/>
      <c r="YM20" s="35"/>
      <c r="YN20" s="35"/>
      <c r="YO20" s="35"/>
      <c r="YP20" s="35"/>
      <c r="YQ20" s="35"/>
      <c r="YR20" s="35"/>
      <c r="YS20" s="35"/>
      <c r="YT20" s="35"/>
      <c r="YU20" s="35"/>
      <c r="YV20" s="35"/>
      <c r="YW20" s="35"/>
      <c r="YX20" s="35"/>
      <c r="YY20" s="35"/>
      <c r="YZ20" s="35"/>
      <c r="ZA20" s="35"/>
      <c r="ZB20" s="35"/>
      <c r="ZC20" s="35"/>
      <c r="ZD20" s="35"/>
      <c r="ZE20" s="35"/>
      <c r="ZF20" s="35"/>
      <c r="ZG20" s="35"/>
      <c r="ZH20" s="35"/>
      <c r="ZI20" s="35"/>
      <c r="ZJ20" s="35"/>
      <c r="ZK20" s="35"/>
      <c r="ZL20" s="35"/>
      <c r="ZM20" s="35"/>
      <c r="ZN20" s="35"/>
      <c r="ZO20" s="35"/>
      <c r="ZP20" s="35"/>
      <c r="ZQ20" s="35"/>
      <c r="ZR20" s="35"/>
      <c r="ZS20" s="35"/>
      <c r="ZT20" s="35"/>
      <c r="ZU20" s="35"/>
      <c r="ZV20" s="35"/>
      <c r="ZW20" s="35"/>
      <c r="ZX20" s="35"/>
      <c r="ZY20" s="35"/>
      <c r="ZZ20" s="35"/>
      <c r="AAA20" s="35"/>
      <c r="AAB20" s="35"/>
      <c r="AAC20" s="35"/>
      <c r="AAD20" s="35"/>
      <c r="AAE20" s="35"/>
      <c r="AAF20" s="35"/>
      <c r="AAG20" s="35"/>
      <c r="AAH20" s="35"/>
      <c r="AAI20" s="35"/>
      <c r="AAJ20" s="35"/>
      <c r="AAK20" s="35"/>
      <c r="AAL20" s="35"/>
      <c r="AAM20" s="35"/>
      <c r="AAN20" s="35"/>
      <c r="AAO20" s="35"/>
      <c r="AAP20" s="35"/>
      <c r="AAQ20" s="35"/>
      <c r="AAR20" s="35"/>
      <c r="AAS20" s="35"/>
      <c r="AAT20" s="35"/>
      <c r="AAU20" s="35"/>
      <c r="AAV20" s="35"/>
      <c r="AAW20" s="35"/>
      <c r="AAX20" s="35"/>
      <c r="AAY20" s="35"/>
      <c r="AAZ20" s="35"/>
      <c r="ABA20" s="35"/>
      <c r="ABB20" s="35"/>
      <c r="ABC20" s="35"/>
      <c r="ABD20" s="35"/>
      <c r="ABE20" s="35"/>
      <c r="ABF20" s="35"/>
      <c r="ABG20" s="35"/>
      <c r="ABH20" s="35"/>
      <c r="ABI20" s="35"/>
      <c r="ABJ20" s="35"/>
      <c r="ABK20" s="35"/>
      <c r="ABL20" s="35"/>
      <c r="ABM20" s="35"/>
      <c r="ABN20" s="35"/>
      <c r="ABO20" s="35"/>
      <c r="ABP20" s="35"/>
      <c r="ABQ20" s="35"/>
      <c r="ABR20" s="35"/>
      <c r="ABS20" s="35"/>
      <c r="ABT20" s="35"/>
      <c r="ABU20" s="35"/>
      <c r="ABV20" s="35"/>
      <c r="ABW20" s="35"/>
      <c r="ABX20" s="35"/>
      <c r="ABY20" s="35"/>
      <c r="ABZ20" s="35"/>
      <c r="ACA20" s="35"/>
      <c r="ACB20" s="35"/>
      <c r="ACC20" s="35"/>
      <c r="ACD20" s="35"/>
      <c r="ACE20" s="35"/>
      <c r="ACF20" s="35"/>
      <c r="ACG20" s="35"/>
      <c r="ACH20" s="35"/>
      <c r="ACI20" s="35"/>
      <c r="ACJ20" s="35"/>
      <c r="ACK20" s="35"/>
      <c r="ACL20" s="35"/>
      <c r="ACM20" s="35"/>
      <c r="ACN20" s="35"/>
      <c r="ACO20" s="35"/>
      <c r="ACP20" s="35"/>
      <c r="ACQ20" s="35"/>
      <c r="ACR20" s="35"/>
      <c r="ACS20" s="35"/>
      <c r="ACT20" s="35"/>
      <c r="ACU20" s="35"/>
      <c r="ACV20" s="35"/>
      <c r="ACW20" s="35"/>
      <c r="ACX20" s="35"/>
      <c r="ACY20" s="35"/>
      <c r="ACZ20" s="35"/>
      <c r="ADA20" s="35"/>
      <c r="ADB20" s="35"/>
      <c r="ADC20" s="35"/>
      <c r="ADD20" s="35"/>
      <c r="ADE20" s="35"/>
      <c r="ADF20" s="35"/>
      <c r="ADG20" s="35"/>
      <c r="ADH20" s="35"/>
      <c r="ADI20" s="35"/>
      <c r="ADJ20" s="35"/>
      <c r="ADK20" s="35"/>
      <c r="ADL20" s="35"/>
      <c r="ADM20" s="35"/>
      <c r="ADN20" s="35"/>
      <c r="ADO20" s="35"/>
      <c r="ADP20" s="35"/>
      <c r="ADQ20" s="35"/>
      <c r="ADR20" s="35"/>
      <c r="ADS20" s="35"/>
      <c r="ADT20" s="35"/>
      <c r="ADU20" s="35"/>
      <c r="ADV20" s="35"/>
      <c r="ADW20" s="35"/>
      <c r="ADX20" s="35"/>
      <c r="ADY20" s="35"/>
      <c r="ADZ20" s="35"/>
      <c r="AEA20" s="35"/>
      <c r="AEB20" s="35"/>
      <c r="AEC20" s="35"/>
      <c r="AED20" s="35"/>
      <c r="AEE20" s="35"/>
      <c r="AEF20" s="35"/>
      <c r="AEG20" s="35"/>
      <c r="AEH20" s="35"/>
      <c r="AEI20" s="35"/>
      <c r="AEJ20" s="35"/>
      <c r="AEK20" s="35"/>
      <c r="AEL20" s="35"/>
      <c r="AEM20" s="35"/>
      <c r="AEN20" s="35"/>
      <c r="AEO20" s="35"/>
      <c r="AEP20" s="35"/>
      <c r="AEQ20" s="35"/>
      <c r="AER20" s="35"/>
      <c r="AES20" s="35"/>
      <c r="AET20" s="35"/>
      <c r="AEU20" s="35"/>
      <c r="AEV20" s="35"/>
      <c r="AEW20" s="35"/>
      <c r="AEX20" s="35"/>
      <c r="AEY20" s="35"/>
      <c r="AEZ20" s="35"/>
      <c r="AFA20" s="35"/>
      <c r="AFB20" s="35"/>
      <c r="AFC20" s="35"/>
      <c r="AFD20" s="35"/>
      <c r="AFE20" s="35"/>
      <c r="AFF20" s="35"/>
      <c r="AFG20" s="35"/>
      <c r="AFH20" s="35"/>
      <c r="AFI20" s="35"/>
      <c r="AFJ20" s="35"/>
      <c r="AFK20" s="35"/>
      <c r="AFL20" s="35"/>
      <c r="AFM20" s="35"/>
      <c r="AFN20" s="35"/>
      <c r="AFO20" s="35"/>
      <c r="AFP20" s="35"/>
      <c r="AFQ20" s="35"/>
      <c r="AFR20" s="35"/>
      <c r="AFS20" s="35"/>
      <c r="AFT20" s="35"/>
      <c r="AFU20" s="35"/>
      <c r="AFV20" s="35"/>
      <c r="AFW20" s="35"/>
      <c r="AFX20" s="35"/>
      <c r="AFY20" s="35"/>
      <c r="AFZ20" s="35"/>
      <c r="AGA20" s="35"/>
      <c r="AGB20" s="35"/>
      <c r="AGC20" s="35"/>
      <c r="AGD20" s="35"/>
      <c r="AGE20" s="35"/>
      <c r="AGF20" s="35"/>
      <c r="AGG20" s="35"/>
      <c r="AGH20" s="35"/>
      <c r="AGI20" s="35"/>
      <c r="AGJ20" s="35"/>
      <c r="AGK20" s="35"/>
      <c r="AGL20" s="35"/>
      <c r="AGM20" s="35"/>
      <c r="AGN20" s="35"/>
      <c r="AGO20" s="35"/>
      <c r="AGP20" s="35"/>
      <c r="AGQ20" s="35"/>
      <c r="AGR20" s="35"/>
      <c r="AGS20" s="35"/>
      <c r="AGT20" s="35"/>
      <c r="AGU20" s="35"/>
      <c r="AGV20" s="35"/>
      <c r="AGW20" s="35"/>
      <c r="AGX20" s="35"/>
      <c r="AGY20" s="35"/>
      <c r="AGZ20" s="35"/>
      <c r="AHA20" s="35"/>
      <c r="AHB20" s="35"/>
      <c r="AHC20" s="35"/>
      <c r="AHD20" s="35"/>
      <c r="AHE20" s="35"/>
      <c r="AHF20" s="35"/>
      <c r="AHG20" s="35"/>
      <c r="AHH20" s="35"/>
      <c r="AHI20" s="35"/>
      <c r="AHJ20" s="35"/>
      <c r="AHK20" s="35"/>
      <c r="AHL20" s="35"/>
      <c r="AHM20" s="35"/>
      <c r="AHN20" s="35"/>
      <c r="AHO20" s="35"/>
      <c r="AHP20" s="35"/>
      <c r="AHQ20" s="35"/>
      <c r="AHR20" s="35"/>
      <c r="AHS20" s="35"/>
      <c r="AHT20" s="35"/>
      <c r="AHU20" s="35"/>
      <c r="AHV20" s="35"/>
      <c r="AHW20" s="35"/>
      <c r="AHX20" s="35"/>
      <c r="AHY20" s="35"/>
      <c r="AHZ20" s="35"/>
      <c r="AIA20" s="35"/>
      <c r="AIB20" s="35"/>
      <c r="AIC20" s="35"/>
      <c r="AID20" s="35"/>
      <c r="AIE20" s="35"/>
      <c r="AIF20" s="35"/>
      <c r="AIG20" s="35"/>
      <c r="AIH20" s="35"/>
      <c r="AII20" s="35"/>
      <c r="AIJ20" s="35"/>
      <c r="AIK20" s="35"/>
      <c r="AIL20" s="35"/>
      <c r="AIM20" s="35"/>
      <c r="AIN20" s="35"/>
      <c r="AIO20" s="35"/>
      <c r="AIP20" s="35"/>
      <c r="AIQ20" s="35"/>
      <c r="AIR20" s="35"/>
      <c r="AIS20" s="35"/>
      <c r="AIT20" s="35"/>
      <c r="AIU20" s="35"/>
      <c r="AIV20" s="35"/>
      <c r="AIW20" s="35"/>
      <c r="AIX20" s="35"/>
      <c r="AIY20" s="35"/>
      <c r="AIZ20" s="35"/>
      <c r="AJA20" s="35"/>
      <c r="AJB20" s="35"/>
      <c r="AJC20" s="35"/>
      <c r="AJD20" s="35"/>
      <c r="AJE20" s="35"/>
      <c r="AJF20" s="35"/>
      <c r="AJG20" s="35"/>
      <c r="AJH20" s="35"/>
      <c r="AJI20" s="35"/>
      <c r="AJJ20" s="35"/>
      <c r="AJK20" s="35"/>
      <c r="AJL20" s="35"/>
      <c r="AJM20" s="35"/>
      <c r="AJN20" s="35"/>
      <c r="AJO20" s="35"/>
      <c r="AJP20" s="35"/>
      <c r="AJQ20" s="35"/>
      <c r="AJR20" s="35"/>
      <c r="AJS20" s="35"/>
      <c r="AJT20" s="35"/>
      <c r="AJU20" s="35"/>
      <c r="AJV20" s="35"/>
      <c r="AJW20" s="35"/>
      <c r="AJX20" s="35"/>
      <c r="AJY20" s="35"/>
      <c r="AJZ20" s="35"/>
      <c r="AKA20" s="35"/>
      <c r="AKB20" s="35"/>
      <c r="AKC20" s="35"/>
      <c r="AKD20" s="35"/>
      <c r="AKE20" s="35"/>
      <c r="AKF20" s="35"/>
      <c r="AKG20" s="35"/>
      <c r="AKH20" s="35"/>
      <c r="AKI20" s="35"/>
      <c r="AKJ20" s="35"/>
      <c r="AKK20" s="35"/>
      <c r="AKL20" s="35"/>
      <c r="AKM20" s="35"/>
      <c r="AKN20" s="35"/>
      <c r="AKO20" s="35"/>
      <c r="AKP20" s="35"/>
      <c r="AKQ20" s="35"/>
      <c r="AKR20" s="35"/>
      <c r="AKS20" s="35"/>
    </row>
    <row r="21" customFormat="false" ht="120.95" hidden="true" customHeight="true" outlineLevel="1" collapsed="false">
      <c r="A21" s="30" t="n">
        <f aca="true">TODAY()</f>
        <v>46321</v>
      </c>
      <c r="B21" s="33" t="s">
        <v>371</v>
      </c>
      <c r="C21" s="33" t="s">
        <v>371</v>
      </c>
      <c r="D21" s="33" t="s">
        <v>371</v>
      </c>
      <c r="E21" s="33" t="s">
        <v>371</v>
      </c>
      <c r="F21" s="33" t="s">
        <v>371</v>
      </c>
      <c r="G21" s="33" t="s">
        <v>372</v>
      </c>
      <c r="H21" s="31"/>
      <c r="I21" s="31"/>
      <c r="J21" s="34" t="s">
        <v>381</v>
      </c>
      <c r="K21" s="31" t="s">
        <v>383</v>
      </c>
      <c r="L21" s="31" t="s">
        <v>384</v>
      </c>
      <c r="M21" s="33" t="s">
        <v>385</v>
      </c>
      <c r="N21" s="31" t="s">
        <v>386</v>
      </c>
      <c r="O21" s="31" t="s">
        <v>412</v>
      </c>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5"/>
      <c r="GC21" s="35"/>
      <c r="GD21" s="35"/>
      <c r="GE21" s="35"/>
      <c r="GF21" s="35"/>
      <c r="GG21" s="35"/>
      <c r="GH21" s="35"/>
      <c r="GI21" s="35"/>
      <c r="GJ21" s="35"/>
      <c r="GK21" s="35"/>
      <c r="GL21" s="35"/>
      <c r="GM21" s="35"/>
      <c r="GN21" s="35"/>
      <c r="GO21" s="35"/>
      <c r="GP21" s="35"/>
      <c r="GQ21" s="35"/>
      <c r="GR21" s="35"/>
      <c r="GS21" s="35"/>
      <c r="GT21" s="35"/>
      <c r="GU21" s="35"/>
      <c r="GV21" s="35"/>
      <c r="GW21" s="35"/>
      <c r="GX21" s="35"/>
      <c r="GY21" s="35"/>
      <c r="GZ21" s="35"/>
      <c r="HA21" s="35"/>
      <c r="HB21" s="35"/>
      <c r="HC21" s="35"/>
      <c r="HD21" s="35"/>
      <c r="HE21" s="35"/>
      <c r="HF21" s="35"/>
      <c r="HG21" s="35"/>
      <c r="HH21" s="35"/>
      <c r="HI21" s="35"/>
      <c r="HJ21" s="35"/>
      <c r="HK21" s="35"/>
      <c r="HL21" s="35"/>
      <c r="HM21" s="35"/>
      <c r="HN21" s="35"/>
      <c r="HO21" s="35"/>
      <c r="HP21" s="35"/>
      <c r="HQ21" s="35"/>
      <c r="HR21" s="35"/>
      <c r="HS21" s="35"/>
      <c r="HT21" s="35"/>
      <c r="HU21" s="35"/>
      <c r="HV21" s="35"/>
      <c r="HW21" s="35"/>
      <c r="HX21" s="35"/>
      <c r="HY21" s="35"/>
      <c r="HZ21" s="35"/>
      <c r="IA21" s="35"/>
      <c r="IB21" s="35"/>
      <c r="IC21" s="35"/>
      <c r="ID21" s="35"/>
      <c r="IE21" s="35"/>
      <c r="IF21" s="35"/>
      <c r="IG21" s="35"/>
      <c r="IH21" s="35"/>
      <c r="II21" s="35"/>
      <c r="IJ21" s="35"/>
      <c r="IK21" s="35"/>
      <c r="IL21" s="35"/>
      <c r="IM21" s="35"/>
      <c r="IN21" s="35"/>
      <c r="IO21" s="35"/>
      <c r="IP21" s="35"/>
      <c r="IQ21" s="35"/>
      <c r="IR21" s="35"/>
      <c r="IS21" s="35"/>
      <c r="IT21" s="35"/>
      <c r="IU21" s="35"/>
      <c r="IV21" s="35"/>
      <c r="IW21" s="35"/>
      <c r="IX21" s="35"/>
      <c r="IY21" s="35"/>
      <c r="IZ21" s="35"/>
      <c r="JA21" s="35"/>
      <c r="JB21" s="35"/>
      <c r="JC21" s="35"/>
      <c r="JD21" s="35"/>
      <c r="JE21" s="35"/>
      <c r="JF21" s="35"/>
      <c r="JG21" s="35"/>
      <c r="JH21" s="35"/>
      <c r="JI21" s="35"/>
      <c r="JJ21" s="35"/>
      <c r="JK21" s="35"/>
      <c r="JL21" s="35"/>
      <c r="JM21" s="35"/>
      <c r="JN21" s="35"/>
      <c r="JO21" s="35"/>
      <c r="JP21" s="35"/>
      <c r="JQ21" s="35"/>
      <c r="JR21" s="35"/>
      <c r="JS21" s="35"/>
      <c r="JT21" s="35"/>
      <c r="JU21" s="35"/>
      <c r="JV21" s="35"/>
      <c r="JW21" s="35"/>
      <c r="JX21" s="35"/>
      <c r="JY21" s="35"/>
      <c r="JZ21" s="35"/>
      <c r="KA21" s="35"/>
      <c r="KB21" s="35"/>
      <c r="KC21" s="35"/>
      <c r="KD21" s="35"/>
      <c r="KE21" s="35"/>
      <c r="KF21" s="35"/>
      <c r="KG21" s="35"/>
      <c r="KH21" s="35"/>
      <c r="KI21" s="35"/>
      <c r="KJ21" s="35"/>
      <c r="KK21" s="35"/>
      <c r="KL21" s="35"/>
      <c r="KM21" s="35"/>
      <c r="KN21" s="35"/>
      <c r="KO21" s="35"/>
      <c r="KP21" s="35"/>
      <c r="KQ21" s="35"/>
      <c r="KR21" s="35"/>
      <c r="KS21" s="35"/>
      <c r="KT21" s="35"/>
      <c r="KU21" s="35"/>
      <c r="KV21" s="35"/>
      <c r="KW21" s="35"/>
      <c r="KX21" s="35"/>
      <c r="KY21" s="35"/>
      <c r="KZ21" s="35"/>
      <c r="LA21" s="35"/>
      <c r="LB21" s="35"/>
      <c r="LC21" s="35"/>
      <c r="LD21" s="35"/>
      <c r="LE21" s="35"/>
      <c r="LF21" s="35"/>
      <c r="LG21" s="35"/>
      <c r="LH21" s="35"/>
      <c r="LI21" s="35"/>
      <c r="LJ21" s="35"/>
      <c r="LK21" s="35"/>
      <c r="LL21" s="35"/>
      <c r="LM21" s="35"/>
      <c r="LN21" s="35"/>
      <c r="LO21" s="35"/>
      <c r="LP21" s="35"/>
      <c r="LQ21" s="35"/>
      <c r="LR21" s="35"/>
      <c r="LS21" s="35"/>
      <c r="LT21" s="35"/>
      <c r="LU21" s="35"/>
      <c r="LV21" s="35"/>
      <c r="LW21" s="35"/>
      <c r="LX21" s="35"/>
      <c r="LY21" s="35"/>
      <c r="LZ21" s="35"/>
      <c r="MA21" s="35"/>
      <c r="MB21" s="35"/>
      <c r="MC21" s="35"/>
      <c r="MD21" s="35"/>
      <c r="ME21" s="35"/>
      <c r="MF21" s="35"/>
      <c r="MG21" s="35"/>
      <c r="MH21" s="35"/>
      <c r="MI21" s="35"/>
      <c r="MJ21" s="35"/>
      <c r="MK21" s="35"/>
      <c r="ML21" s="35"/>
      <c r="MM21" s="35"/>
      <c r="MN21" s="35"/>
      <c r="MO21" s="35"/>
      <c r="MP21" s="35"/>
      <c r="MQ21" s="35"/>
      <c r="MR21" s="35"/>
      <c r="MS21" s="35"/>
      <c r="MT21" s="35"/>
      <c r="MU21" s="35"/>
      <c r="MV21" s="35"/>
      <c r="MW21" s="35"/>
      <c r="MX21" s="35"/>
      <c r="MY21" s="35"/>
      <c r="MZ21" s="35"/>
      <c r="NA21" s="35"/>
      <c r="NB21" s="35"/>
      <c r="NC21" s="35"/>
      <c r="ND21" s="35"/>
      <c r="NE21" s="35"/>
      <c r="NF21" s="35"/>
      <c r="NG21" s="35"/>
      <c r="NH21" s="35"/>
      <c r="NI21" s="35"/>
      <c r="NJ21" s="35"/>
      <c r="NK21" s="35"/>
      <c r="NL21" s="35"/>
      <c r="NM21" s="35"/>
      <c r="NN21" s="35"/>
      <c r="NO21" s="35"/>
      <c r="NP21" s="35"/>
      <c r="NQ21" s="35"/>
      <c r="NR21" s="35"/>
      <c r="NS21" s="35"/>
      <c r="NT21" s="35"/>
      <c r="NU21" s="35"/>
      <c r="NV21" s="35"/>
      <c r="NW21" s="35"/>
      <c r="NX21" s="35"/>
      <c r="NY21" s="35"/>
      <c r="NZ21" s="35"/>
      <c r="OA21" s="35"/>
      <c r="OB21" s="35"/>
      <c r="OC21" s="35"/>
      <c r="OD21" s="35"/>
      <c r="OE21" s="35"/>
      <c r="OF21" s="35"/>
      <c r="OG21" s="35"/>
      <c r="OH21" s="35"/>
      <c r="OI21" s="35"/>
      <c r="OJ21" s="35"/>
      <c r="OK21" s="35"/>
      <c r="OL21" s="35"/>
      <c r="OM21" s="35"/>
      <c r="ON21" s="35"/>
      <c r="OO21" s="35"/>
      <c r="OP21" s="35"/>
      <c r="OQ21" s="35"/>
      <c r="OR21" s="35"/>
      <c r="OS21" s="35"/>
      <c r="OT21" s="35"/>
      <c r="OU21" s="35"/>
      <c r="OV21" s="35"/>
      <c r="OW21" s="35"/>
      <c r="OX21" s="35"/>
      <c r="OY21" s="35"/>
      <c r="OZ21" s="35"/>
      <c r="PA21" s="35"/>
      <c r="PB21" s="35"/>
      <c r="PC21" s="35"/>
      <c r="PD21" s="35"/>
      <c r="PE21" s="35"/>
      <c r="PF21" s="35"/>
      <c r="PG21" s="35"/>
      <c r="PH21" s="35"/>
      <c r="PI21" s="35"/>
      <c r="PJ21" s="35"/>
      <c r="PK21" s="35"/>
      <c r="PL21" s="35"/>
      <c r="PM21" s="35"/>
      <c r="PN21" s="35"/>
      <c r="PO21" s="35"/>
      <c r="PP21" s="35"/>
      <c r="PQ21" s="35"/>
      <c r="PR21" s="35"/>
      <c r="PS21" s="35"/>
      <c r="PT21" s="35"/>
      <c r="PU21" s="35"/>
      <c r="PV21" s="35"/>
      <c r="PW21" s="35"/>
      <c r="PX21" s="35"/>
      <c r="PY21" s="35"/>
      <c r="PZ21" s="35"/>
      <c r="QA21" s="35"/>
      <c r="QB21" s="35"/>
      <c r="QC21" s="35"/>
      <c r="QD21" s="35"/>
      <c r="QE21" s="35"/>
      <c r="QF21" s="35"/>
      <c r="QG21" s="35"/>
      <c r="QH21" s="35"/>
      <c r="QI21" s="35"/>
      <c r="QJ21" s="35"/>
      <c r="QK21" s="35"/>
      <c r="QL21" s="35"/>
      <c r="QM21" s="35"/>
      <c r="QN21" s="35"/>
      <c r="QO21" s="35"/>
      <c r="QP21" s="35"/>
      <c r="QQ21" s="35"/>
      <c r="QR21" s="35"/>
      <c r="QS21" s="35"/>
      <c r="QT21" s="35"/>
      <c r="QU21" s="35"/>
      <c r="QV21" s="35"/>
      <c r="QW21" s="35"/>
      <c r="QX21" s="35"/>
      <c r="QY21" s="35"/>
      <c r="QZ21" s="35"/>
      <c r="RA21" s="35"/>
      <c r="RB21" s="35"/>
      <c r="RC21" s="35"/>
      <c r="RD21" s="35"/>
      <c r="RE21" s="35"/>
      <c r="RF21" s="35"/>
      <c r="RG21" s="35"/>
      <c r="RH21" s="35"/>
      <c r="RI21" s="35"/>
      <c r="RJ21" s="35"/>
      <c r="RK21" s="35"/>
      <c r="RL21" s="35"/>
      <c r="RM21" s="35"/>
      <c r="RN21" s="35"/>
      <c r="RO21" s="35"/>
      <c r="RP21" s="35"/>
      <c r="RQ21" s="35"/>
      <c r="RR21" s="35"/>
      <c r="RS21" s="35"/>
      <c r="RT21" s="35"/>
      <c r="RU21" s="35"/>
      <c r="RV21" s="35"/>
      <c r="RW21" s="35"/>
      <c r="RX21" s="35"/>
      <c r="RY21" s="35"/>
      <c r="RZ21" s="35"/>
      <c r="SA21" s="35"/>
      <c r="SB21" s="35"/>
      <c r="SC21" s="35"/>
      <c r="SD21" s="35"/>
      <c r="SE21" s="35"/>
      <c r="SF21" s="35"/>
      <c r="SG21" s="35"/>
      <c r="SH21" s="35"/>
      <c r="SI21" s="35"/>
      <c r="SJ21" s="35"/>
      <c r="SK21" s="35"/>
      <c r="SL21" s="35"/>
      <c r="SM21" s="35"/>
      <c r="SN21" s="35"/>
      <c r="SO21" s="35"/>
      <c r="SP21" s="35"/>
      <c r="SQ21" s="35"/>
      <c r="SR21" s="35"/>
      <c r="SS21" s="35"/>
      <c r="ST21" s="35"/>
      <c r="SU21" s="35"/>
      <c r="SV21" s="35"/>
      <c r="SW21" s="35"/>
      <c r="SX21" s="35"/>
      <c r="SY21" s="35"/>
      <c r="SZ21" s="35"/>
      <c r="TA21" s="35"/>
      <c r="TB21" s="35"/>
      <c r="TC21" s="35"/>
      <c r="TD21" s="35"/>
      <c r="TE21" s="35"/>
      <c r="TF21" s="35"/>
      <c r="TG21" s="35"/>
      <c r="TH21" s="35"/>
      <c r="TI21" s="35"/>
      <c r="TJ21" s="35"/>
      <c r="TK21" s="35"/>
      <c r="TL21" s="35"/>
      <c r="TM21" s="35"/>
      <c r="TN21" s="35"/>
      <c r="TO21" s="35"/>
      <c r="TP21" s="35"/>
      <c r="TQ21" s="35"/>
      <c r="TR21" s="35"/>
      <c r="TS21" s="35"/>
      <c r="TT21" s="35"/>
      <c r="TU21" s="35"/>
      <c r="TV21" s="35"/>
      <c r="TW21" s="35"/>
      <c r="TX21" s="35"/>
      <c r="TY21" s="35"/>
      <c r="TZ21" s="35"/>
      <c r="UA21" s="35"/>
      <c r="UB21" s="35"/>
      <c r="UC21" s="35"/>
      <c r="UD21" s="35"/>
      <c r="UE21" s="35"/>
      <c r="UF21" s="35"/>
      <c r="UG21" s="35"/>
      <c r="UH21" s="35"/>
      <c r="UI21" s="35"/>
      <c r="UJ21" s="35"/>
      <c r="UK21" s="35"/>
      <c r="UL21" s="35"/>
      <c r="UM21" s="35"/>
      <c r="UN21" s="35"/>
      <c r="UO21" s="35"/>
      <c r="UP21" s="35"/>
      <c r="UQ21" s="35"/>
      <c r="UR21" s="35"/>
      <c r="US21" s="35"/>
      <c r="UT21" s="35"/>
      <c r="UU21" s="35"/>
      <c r="UV21" s="35"/>
      <c r="UW21" s="35"/>
      <c r="UX21" s="35"/>
      <c r="UY21" s="35"/>
      <c r="UZ21" s="35"/>
      <c r="VA21" s="35"/>
      <c r="VB21" s="35"/>
      <c r="VC21" s="35"/>
      <c r="VD21" s="35"/>
      <c r="VE21" s="35"/>
      <c r="VF21" s="35"/>
      <c r="VG21" s="35"/>
      <c r="VH21" s="35"/>
      <c r="VI21" s="35"/>
      <c r="VJ21" s="35"/>
      <c r="VK21" s="35"/>
      <c r="VL21" s="35"/>
      <c r="VM21" s="35"/>
      <c r="VN21" s="35"/>
      <c r="VO21" s="35"/>
      <c r="VP21" s="35"/>
      <c r="VQ21" s="35"/>
      <c r="VR21" s="35"/>
      <c r="VS21" s="35"/>
      <c r="VT21" s="35"/>
      <c r="VU21" s="35"/>
      <c r="VV21" s="35"/>
      <c r="VW21" s="35"/>
      <c r="VX21" s="35"/>
      <c r="VY21" s="35"/>
      <c r="VZ21" s="35"/>
      <c r="WA21" s="35"/>
      <c r="WB21" s="35"/>
      <c r="WC21" s="35"/>
      <c r="WD21" s="35"/>
      <c r="WE21" s="35"/>
      <c r="WF21" s="35"/>
      <c r="WG21" s="35"/>
      <c r="WH21" s="35"/>
      <c r="WI21" s="35"/>
      <c r="WJ21" s="35"/>
      <c r="WK21" s="35"/>
      <c r="WL21" s="35"/>
      <c r="WM21" s="35"/>
      <c r="WN21" s="35"/>
      <c r="WO21" s="35"/>
      <c r="WP21" s="35"/>
      <c r="WQ21" s="35"/>
      <c r="WR21" s="35"/>
      <c r="WS21" s="35"/>
      <c r="WT21" s="35"/>
      <c r="WU21" s="35"/>
      <c r="WV21" s="35"/>
      <c r="WW21" s="35"/>
      <c r="WX21" s="35"/>
      <c r="WY21" s="35"/>
      <c r="WZ21" s="35"/>
      <c r="XA21" s="35"/>
      <c r="XB21" s="35"/>
      <c r="XC21" s="35"/>
      <c r="XD21" s="35"/>
      <c r="XE21" s="35"/>
      <c r="XF21" s="35"/>
      <c r="XG21" s="35"/>
      <c r="XH21" s="35"/>
      <c r="XI21" s="35"/>
      <c r="XJ21" s="35"/>
      <c r="XK21" s="35"/>
      <c r="XL21" s="35"/>
      <c r="XM21" s="35"/>
      <c r="XN21" s="35"/>
      <c r="XO21" s="35"/>
      <c r="XP21" s="35"/>
      <c r="XQ21" s="35"/>
      <c r="XR21" s="35"/>
      <c r="XS21" s="35"/>
      <c r="XT21" s="35"/>
      <c r="XU21" s="35"/>
      <c r="XV21" s="35"/>
      <c r="XW21" s="35"/>
      <c r="XX21" s="35"/>
      <c r="XY21" s="35"/>
      <c r="XZ21" s="35"/>
      <c r="YA21" s="35"/>
      <c r="YB21" s="35"/>
      <c r="YC21" s="35"/>
      <c r="YD21" s="35"/>
      <c r="YE21" s="35"/>
      <c r="YF21" s="35"/>
      <c r="YG21" s="35"/>
      <c r="YH21" s="35"/>
      <c r="YI21" s="35"/>
      <c r="YJ21" s="35"/>
      <c r="YK21" s="35"/>
      <c r="YL21" s="35"/>
      <c r="YM21" s="35"/>
      <c r="YN21" s="35"/>
      <c r="YO21" s="35"/>
      <c r="YP21" s="35"/>
      <c r="YQ21" s="35"/>
      <c r="YR21" s="35"/>
      <c r="YS21" s="35"/>
      <c r="YT21" s="35"/>
      <c r="YU21" s="35"/>
      <c r="YV21" s="35"/>
      <c r="YW21" s="35"/>
      <c r="YX21" s="35"/>
      <c r="YY21" s="35"/>
      <c r="YZ21" s="35"/>
      <c r="ZA21" s="35"/>
      <c r="ZB21" s="35"/>
      <c r="ZC21" s="35"/>
      <c r="ZD21" s="35"/>
      <c r="ZE21" s="35"/>
      <c r="ZF21" s="35"/>
      <c r="ZG21" s="35"/>
      <c r="ZH21" s="35"/>
      <c r="ZI21" s="35"/>
      <c r="ZJ21" s="35"/>
      <c r="ZK21" s="35"/>
      <c r="ZL21" s="35"/>
      <c r="ZM21" s="35"/>
      <c r="ZN21" s="35"/>
      <c r="ZO21" s="35"/>
      <c r="ZP21" s="35"/>
      <c r="ZQ21" s="35"/>
      <c r="ZR21" s="35"/>
      <c r="ZS21" s="35"/>
      <c r="ZT21" s="35"/>
      <c r="ZU21" s="35"/>
      <c r="ZV21" s="35"/>
      <c r="ZW21" s="35"/>
      <c r="ZX21" s="35"/>
      <c r="ZY21" s="35"/>
      <c r="ZZ21" s="35"/>
      <c r="AAA21" s="35"/>
      <c r="AAB21" s="35"/>
      <c r="AAC21" s="35"/>
      <c r="AAD21" s="35"/>
      <c r="AAE21" s="35"/>
      <c r="AAF21" s="35"/>
      <c r="AAG21" s="35"/>
      <c r="AAH21" s="35"/>
      <c r="AAI21" s="35"/>
      <c r="AAJ21" s="35"/>
      <c r="AAK21" s="35"/>
      <c r="AAL21" s="35"/>
      <c r="AAM21" s="35"/>
      <c r="AAN21" s="35"/>
      <c r="AAO21" s="35"/>
      <c r="AAP21" s="35"/>
      <c r="AAQ21" s="35"/>
      <c r="AAR21" s="35"/>
      <c r="AAS21" s="35"/>
      <c r="AAT21" s="35"/>
      <c r="AAU21" s="35"/>
      <c r="AAV21" s="35"/>
      <c r="AAW21" s="35"/>
      <c r="AAX21" s="35"/>
      <c r="AAY21" s="35"/>
      <c r="AAZ21" s="35"/>
      <c r="ABA21" s="35"/>
      <c r="ABB21" s="35"/>
      <c r="ABC21" s="35"/>
      <c r="ABD21" s="35"/>
      <c r="ABE21" s="35"/>
      <c r="ABF21" s="35"/>
      <c r="ABG21" s="35"/>
      <c r="ABH21" s="35"/>
      <c r="ABI21" s="35"/>
      <c r="ABJ21" s="35"/>
      <c r="ABK21" s="35"/>
      <c r="ABL21" s="35"/>
      <c r="ABM21" s="35"/>
      <c r="ABN21" s="35"/>
      <c r="ABO21" s="35"/>
      <c r="ABP21" s="35"/>
      <c r="ABQ21" s="35"/>
      <c r="ABR21" s="35"/>
      <c r="ABS21" s="35"/>
      <c r="ABT21" s="35"/>
      <c r="ABU21" s="35"/>
      <c r="ABV21" s="35"/>
      <c r="ABW21" s="35"/>
      <c r="ABX21" s="35"/>
      <c r="ABY21" s="35"/>
      <c r="ABZ21" s="35"/>
      <c r="ACA21" s="35"/>
      <c r="ACB21" s="35"/>
      <c r="ACC21" s="35"/>
      <c r="ACD21" s="35"/>
      <c r="ACE21" s="35"/>
      <c r="ACF21" s="35"/>
      <c r="ACG21" s="35"/>
      <c r="ACH21" s="35"/>
      <c r="ACI21" s="35"/>
      <c r="ACJ21" s="35"/>
      <c r="ACK21" s="35"/>
      <c r="ACL21" s="35"/>
      <c r="ACM21" s="35"/>
      <c r="ACN21" s="35"/>
      <c r="ACO21" s="35"/>
      <c r="ACP21" s="35"/>
      <c r="ACQ21" s="35"/>
      <c r="ACR21" s="35"/>
      <c r="ACS21" s="35"/>
      <c r="ACT21" s="35"/>
      <c r="ACU21" s="35"/>
      <c r="ACV21" s="35"/>
      <c r="ACW21" s="35"/>
      <c r="ACX21" s="35"/>
      <c r="ACY21" s="35"/>
      <c r="ACZ21" s="35"/>
      <c r="ADA21" s="35"/>
      <c r="ADB21" s="35"/>
      <c r="ADC21" s="35"/>
      <c r="ADD21" s="35"/>
      <c r="ADE21" s="35"/>
      <c r="ADF21" s="35"/>
      <c r="ADG21" s="35"/>
      <c r="ADH21" s="35"/>
      <c r="ADI21" s="35"/>
      <c r="ADJ21" s="35"/>
      <c r="ADK21" s="35"/>
      <c r="ADL21" s="35"/>
      <c r="ADM21" s="35"/>
      <c r="ADN21" s="35"/>
      <c r="ADO21" s="35"/>
      <c r="ADP21" s="35"/>
      <c r="ADQ21" s="35"/>
      <c r="ADR21" s="35"/>
      <c r="ADS21" s="35"/>
      <c r="ADT21" s="35"/>
      <c r="ADU21" s="35"/>
      <c r="ADV21" s="35"/>
      <c r="ADW21" s="35"/>
      <c r="ADX21" s="35"/>
      <c r="ADY21" s="35"/>
      <c r="ADZ21" s="35"/>
      <c r="AEA21" s="35"/>
      <c r="AEB21" s="35"/>
      <c r="AEC21" s="35"/>
      <c r="AED21" s="35"/>
      <c r="AEE21" s="35"/>
      <c r="AEF21" s="35"/>
      <c r="AEG21" s="35"/>
      <c r="AEH21" s="35"/>
      <c r="AEI21" s="35"/>
      <c r="AEJ21" s="35"/>
      <c r="AEK21" s="35"/>
      <c r="AEL21" s="35"/>
      <c r="AEM21" s="35"/>
      <c r="AEN21" s="35"/>
      <c r="AEO21" s="35"/>
      <c r="AEP21" s="35"/>
      <c r="AEQ21" s="35"/>
      <c r="AER21" s="35"/>
      <c r="AES21" s="35"/>
      <c r="AET21" s="35"/>
      <c r="AEU21" s="35"/>
      <c r="AEV21" s="35"/>
      <c r="AEW21" s="35"/>
      <c r="AEX21" s="35"/>
      <c r="AEY21" s="35"/>
      <c r="AEZ21" s="35"/>
      <c r="AFA21" s="35"/>
      <c r="AFB21" s="35"/>
      <c r="AFC21" s="35"/>
      <c r="AFD21" s="35"/>
      <c r="AFE21" s="35"/>
      <c r="AFF21" s="35"/>
      <c r="AFG21" s="35"/>
      <c r="AFH21" s="35"/>
      <c r="AFI21" s="35"/>
      <c r="AFJ21" s="35"/>
      <c r="AFK21" s="35"/>
      <c r="AFL21" s="35"/>
      <c r="AFM21" s="35"/>
      <c r="AFN21" s="35"/>
      <c r="AFO21" s="35"/>
      <c r="AFP21" s="35"/>
      <c r="AFQ21" s="35"/>
      <c r="AFR21" s="35"/>
      <c r="AFS21" s="35"/>
      <c r="AFT21" s="35"/>
      <c r="AFU21" s="35"/>
      <c r="AFV21" s="35"/>
      <c r="AFW21" s="35"/>
      <c r="AFX21" s="35"/>
      <c r="AFY21" s="35"/>
      <c r="AFZ21" s="35"/>
      <c r="AGA21" s="35"/>
      <c r="AGB21" s="35"/>
      <c r="AGC21" s="35"/>
      <c r="AGD21" s="35"/>
      <c r="AGE21" s="35"/>
      <c r="AGF21" s="35"/>
      <c r="AGG21" s="35"/>
      <c r="AGH21" s="35"/>
      <c r="AGI21" s="35"/>
      <c r="AGJ21" s="35"/>
      <c r="AGK21" s="35"/>
      <c r="AGL21" s="35"/>
      <c r="AGM21" s="35"/>
      <c r="AGN21" s="35"/>
      <c r="AGO21" s="35"/>
      <c r="AGP21" s="35"/>
      <c r="AGQ21" s="35"/>
      <c r="AGR21" s="35"/>
      <c r="AGS21" s="35"/>
      <c r="AGT21" s="35"/>
      <c r="AGU21" s="35"/>
      <c r="AGV21" s="35"/>
      <c r="AGW21" s="35"/>
      <c r="AGX21" s="35"/>
      <c r="AGY21" s="35"/>
      <c r="AGZ21" s="35"/>
      <c r="AHA21" s="35"/>
      <c r="AHB21" s="35"/>
      <c r="AHC21" s="35"/>
      <c r="AHD21" s="35"/>
      <c r="AHE21" s="35"/>
      <c r="AHF21" s="35"/>
      <c r="AHG21" s="35"/>
      <c r="AHH21" s="35"/>
      <c r="AHI21" s="35"/>
      <c r="AHJ21" s="35"/>
      <c r="AHK21" s="35"/>
      <c r="AHL21" s="35"/>
      <c r="AHM21" s="35"/>
      <c r="AHN21" s="35"/>
      <c r="AHO21" s="35"/>
      <c r="AHP21" s="35"/>
      <c r="AHQ21" s="35"/>
      <c r="AHR21" s="35"/>
      <c r="AHS21" s="35"/>
      <c r="AHT21" s="35"/>
      <c r="AHU21" s="35"/>
      <c r="AHV21" s="35"/>
      <c r="AHW21" s="35"/>
      <c r="AHX21" s="35"/>
      <c r="AHY21" s="35"/>
      <c r="AHZ21" s="35"/>
      <c r="AIA21" s="35"/>
      <c r="AIB21" s="35"/>
      <c r="AIC21" s="35"/>
      <c r="AID21" s="35"/>
      <c r="AIE21" s="35"/>
      <c r="AIF21" s="35"/>
      <c r="AIG21" s="35"/>
      <c r="AIH21" s="35"/>
      <c r="AII21" s="35"/>
      <c r="AIJ21" s="35"/>
      <c r="AIK21" s="35"/>
      <c r="AIL21" s="35"/>
      <c r="AIM21" s="35"/>
      <c r="AIN21" s="35"/>
      <c r="AIO21" s="35"/>
      <c r="AIP21" s="35"/>
      <c r="AIQ21" s="35"/>
      <c r="AIR21" s="35"/>
      <c r="AIS21" s="35"/>
      <c r="AIT21" s="35"/>
      <c r="AIU21" s="35"/>
      <c r="AIV21" s="35"/>
      <c r="AIW21" s="35"/>
      <c r="AIX21" s="35"/>
      <c r="AIY21" s="35"/>
      <c r="AIZ21" s="35"/>
      <c r="AJA21" s="35"/>
      <c r="AJB21" s="35"/>
      <c r="AJC21" s="35"/>
      <c r="AJD21" s="35"/>
      <c r="AJE21" s="35"/>
      <c r="AJF21" s="35"/>
      <c r="AJG21" s="35"/>
      <c r="AJH21" s="35"/>
      <c r="AJI21" s="35"/>
      <c r="AJJ21" s="35"/>
      <c r="AJK21" s="35"/>
      <c r="AJL21" s="35"/>
      <c r="AJM21" s="35"/>
      <c r="AJN21" s="35"/>
      <c r="AJO21" s="35"/>
      <c r="AJP21" s="35"/>
      <c r="AJQ21" s="35"/>
      <c r="AJR21" s="35"/>
      <c r="AJS21" s="35"/>
      <c r="AJT21" s="35"/>
      <c r="AJU21" s="35"/>
      <c r="AJV21" s="35"/>
      <c r="AJW21" s="35"/>
      <c r="AJX21" s="35"/>
      <c r="AJY21" s="35"/>
      <c r="AJZ21" s="35"/>
      <c r="AKA21" s="35"/>
      <c r="AKB21" s="35"/>
      <c r="AKC21" s="35"/>
      <c r="AKD21" s="35"/>
      <c r="AKE21" s="35"/>
      <c r="AKF21" s="35"/>
      <c r="AKG21" s="35"/>
      <c r="AKH21" s="35"/>
      <c r="AKI21" s="35"/>
      <c r="AKJ21" s="35"/>
      <c r="AKK21" s="35"/>
      <c r="AKL21" s="35"/>
      <c r="AKM21" s="35"/>
      <c r="AKN21" s="35"/>
      <c r="AKO21" s="35"/>
      <c r="AKP21" s="35"/>
      <c r="AKQ21" s="35"/>
      <c r="AKR21" s="35"/>
      <c r="AKS21" s="35"/>
    </row>
    <row r="22" customFormat="false" ht="14.15" hidden="true" customHeight="true" outlineLevel="1" collapsed="false">
      <c r="A22" s="31"/>
      <c r="B22" s="33"/>
      <c r="C22" s="33"/>
      <c r="D22" s="33"/>
      <c r="E22" s="33"/>
      <c r="F22" s="33"/>
      <c r="G22" s="33"/>
      <c r="H22" s="33"/>
      <c r="I22" s="31"/>
      <c r="J22" s="34"/>
      <c r="K22" s="34"/>
      <c r="L22" s="31"/>
      <c r="M22" s="33"/>
      <c r="N22" s="31"/>
      <c r="O22" s="31"/>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c r="AY22" s="35"/>
      <c r="AZ22" s="35"/>
      <c r="BA22" s="35"/>
      <c r="BB22" s="35"/>
      <c r="BC22" s="35"/>
      <c r="BD22" s="35"/>
      <c r="BE22" s="35"/>
      <c r="BF22" s="35"/>
      <c r="BG22" s="35"/>
      <c r="BH22" s="35"/>
      <c r="BI22" s="35"/>
      <c r="BJ22" s="35"/>
      <c r="BK22" s="35"/>
      <c r="BL22" s="35"/>
      <c r="BM22" s="35"/>
      <c r="BN22" s="35"/>
      <c r="BO22" s="35"/>
      <c r="BP22" s="35"/>
      <c r="BQ22" s="35"/>
      <c r="BR22" s="35"/>
      <c r="BS22" s="35"/>
      <c r="BT22" s="35"/>
      <c r="BU22" s="35"/>
      <c r="BV22" s="35"/>
      <c r="BW22" s="35"/>
      <c r="BX22" s="35"/>
      <c r="BY22" s="35"/>
      <c r="BZ22" s="35"/>
      <c r="CA22" s="35"/>
      <c r="CB22" s="35"/>
      <c r="CC22" s="35"/>
      <c r="CD22" s="35"/>
      <c r="CE22" s="35"/>
      <c r="CF22" s="35"/>
      <c r="CG22" s="35"/>
      <c r="CH22" s="35"/>
      <c r="CI22" s="35"/>
      <c r="CJ22" s="35"/>
      <c r="CK22" s="35"/>
      <c r="CL22" s="35"/>
      <c r="CM22" s="35"/>
      <c r="CN22" s="35"/>
      <c r="CO22" s="35"/>
      <c r="CP22" s="35"/>
      <c r="CQ22" s="35"/>
      <c r="CR22" s="35"/>
      <c r="CS22" s="35"/>
      <c r="CT22" s="35"/>
      <c r="CU22" s="35"/>
      <c r="CV22" s="35"/>
      <c r="CW22" s="35"/>
      <c r="CX22" s="35"/>
      <c r="CY22" s="35"/>
      <c r="CZ22" s="35"/>
      <c r="DA22" s="35"/>
      <c r="DB22" s="35"/>
      <c r="DC22" s="35"/>
      <c r="DD22" s="35"/>
      <c r="DE22" s="35"/>
      <c r="DF22" s="35"/>
      <c r="DG22" s="35"/>
      <c r="DH22" s="35"/>
      <c r="DI22" s="35"/>
      <c r="DJ22" s="35"/>
      <c r="DK22" s="35"/>
      <c r="DL22" s="35"/>
      <c r="DM22" s="35"/>
      <c r="DN22" s="35"/>
      <c r="DO22" s="35"/>
      <c r="DP22" s="35"/>
      <c r="DQ22" s="35"/>
      <c r="DR22" s="35"/>
      <c r="DS22" s="35"/>
      <c r="DT22" s="35"/>
      <c r="DU22" s="35"/>
      <c r="DV22" s="35"/>
      <c r="DW22" s="35"/>
      <c r="DX22" s="35"/>
      <c r="DY22" s="35"/>
      <c r="DZ22" s="35"/>
      <c r="EA22" s="35"/>
      <c r="EB22" s="35"/>
      <c r="EC22" s="35"/>
      <c r="ED22" s="35"/>
      <c r="EE22" s="35"/>
      <c r="EF22" s="35"/>
      <c r="EG22" s="35"/>
      <c r="EH22" s="35"/>
      <c r="EI22" s="35"/>
      <c r="EJ22" s="35"/>
      <c r="EK22" s="35"/>
      <c r="EL22" s="35"/>
      <c r="EM22" s="35"/>
      <c r="EN22" s="35"/>
      <c r="EO22" s="35"/>
      <c r="EP22" s="35"/>
      <c r="EQ22" s="35"/>
      <c r="ER22" s="35"/>
      <c r="ES22" s="35"/>
      <c r="ET22" s="35"/>
      <c r="EU22" s="35"/>
      <c r="EV22" s="35"/>
      <c r="EW22" s="35"/>
      <c r="EX22" s="35"/>
      <c r="EY22" s="35"/>
      <c r="EZ22" s="35"/>
      <c r="FA22" s="35"/>
      <c r="FB22" s="35"/>
      <c r="FC22" s="35"/>
      <c r="FD22" s="35"/>
      <c r="FE22" s="35"/>
      <c r="FF22" s="35"/>
      <c r="FG22" s="35"/>
      <c r="FH22" s="35"/>
      <c r="FI22" s="35"/>
      <c r="FJ22" s="35"/>
      <c r="FK22" s="35"/>
      <c r="FL22" s="35"/>
      <c r="FM22" s="35"/>
      <c r="FN22" s="35"/>
      <c r="FO22" s="35"/>
      <c r="FP22" s="35"/>
      <c r="FQ22" s="35"/>
      <c r="FR22" s="35"/>
      <c r="FS22" s="35"/>
      <c r="FT22" s="35"/>
      <c r="FU22" s="35"/>
      <c r="FV22" s="35"/>
      <c r="FW22" s="35"/>
      <c r="FX22" s="35"/>
      <c r="FY22" s="35"/>
      <c r="FZ22" s="35"/>
      <c r="GA22" s="35"/>
      <c r="GB22" s="35"/>
      <c r="GC22" s="35"/>
      <c r="GD22" s="35"/>
      <c r="GE22" s="35"/>
      <c r="GF22" s="35"/>
      <c r="GG22" s="35"/>
      <c r="GH22" s="35"/>
      <c r="GI22" s="35"/>
      <c r="GJ22" s="35"/>
      <c r="GK22" s="35"/>
      <c r="GL22" s="35"/>
      <c r="GM22" s="35"/>
      <c r="GN22" s="35"/>
      <c r="GO22" s="35"/>
      <c r="GP22" s="35"/>
      <c r="GQ22" s="35"/>
      <c r="GR22" s="35"/>
      <c r="GS22" s="35"/>
      <c r="GT22" s="35"/>
      <c r="GU22" s="35"/>
      <c r="GV22" s="35"/>
      <c r="GW22" s="35"/>
      <c r="GX22" s="35"/>
      <c r="GY22" s="35"/>
      <c r="GZ22" s="35"/>
      <c r="HA22" s="35"/>
      <c r="HB22" s="35"/>
      <c r="HC22" s="35"/>
      <c r="HD22" s="35"/>
      <c r="HE22" s="35"/>
      <c r="HF22" s="35"/>
      <c r="HG22" s="35"/>
      <c r="HH22" s="35"/>
      <c r="HI22" s="35"/>
      <c r="HJ22" s="35"/>
      <c r="HK22" s="35"/>
      <c r="HL22" s="35"/>
      <c r="HM22" s="35"/>
      <c r="HN22" s="35"/>
      <c r="HO22" s="35"/>
      <c r="HP22" s="35"/>
      <c r="HQ22" s="35"/>
      <c r="HR22" s="35"/>
      <c r="HS22" s="35"/>
      <c r="HT22" s="35"/>
      <c r="HU22" s="35"/>
      <c r="HV22" s="35"/>
      <c r="HW22" s="35"/>
      <c r="HX22" s="35"/>
      <c r="HY22" s="35"/>
      <c r="HZ22" s="35"/>
      <c r="IA22" s="35"/>
      <c r="IB22" s="35"/>
      <c r="IC22" s="35"/>
      <c r="ID22" s="35"/>
      <c r="IE22" s="35"/>
      <c r="IF22" s="35"/>
      <c r="IG22" s="35"/>
      <c r="IH22" s="35"/>
      <c r="II22" s="35"/>
      <c r="IJ22" s="35"/>
      <c r="IK22" s="35"/>
      <c r="IL22" s="35"/>
      <c r="IM22" s="35"/>
      <c r="IN22" s="35"/>
      <c r="IO22" s="35"/>
      <c r="IP22" s="35"/>
      <c r="IQ22" s="35"/>
      <c r="IR22" s="35"/>
      <c r="IS22" s="35"/>
      <c r="IT22" s="35"/>
      <c r="IU22" s="35"/>
      <c r="IV22" s="35"/>
      <c r="IW22" s="35"/>
      <c r="IX22" s="35"/>
      <c r="IY22" s="35"/>
      <c r="IZ22" s="35"/>
      <c r="JA22" s="35"/>
      <c r="JB22" s="35"/>
      <c r="JC22" s="35"/>
      <c r="JD22" s="35"/>
      <c r="JE22" s="35"/>
      <c r="JF22" s="35"/>
      <c r="JG22" s="35"/>
      <c r="JH22" s="35"/>
      <c r="JI22" s="35"/>
      <c r="JJ22" s="35"/>
      <c r="JK22" s="35"/>
      <c r="JL22" s="35"/>
      <c r="JM22" s="35"/>
      <c r="JN22" s="35"/>
      <c r="JO22" s="35"/>
      <c r="JP22" s="35"/>
      <c r="JQ22" s="35"/>
      <c r="JR22" s="35"/>
      <c r="JS22" s="35"/>
      <c r="JT22" s="35"/>
      <c r="JU22" s="35"/>
      <c r="JV22" s="35"/>
      <c r="JW22" s="35"/>
      <c r="JX22" s="35"/>
      <c r="JY22" s="35"/>
      <c r="JZ22" s="35"/>
      <c r="KA22" s="35"/>
      <c r="KB22" s="35"/>
      <c r="KC22" s="35"/>
      <c r="KD22" s="35"/>
      <c r="KE22" s="35"/>
      <c r="KF22" s="35"/>
      <c r="KG22" s="35"/>
      <c r="KH22" s="35"/>
      <c r="KI22" s="35"/>
      <c r="KJ22" s="35"/>
      <c r="KK22" s="35"/>
      <c r="KL22" s="35"/>
      <c r="KM22" s="35"/>
      <c r="KN22" s="35"/>
      <c r="KO22" s="35"/>
      <c r="KP22" s="35"/>
      <c r="KQ22" s="35"/>
      <c r="KR22" s="35"/>
      <c r="KS22" s="35"/>
      <c r="KT22" s="35"/>
      <c r="KU22" s="35"/>
      <c r="KV22" s="35"/>
      <c r="KW22" s="35"/>
      <c r="KX22" s="35"/>
      <c r="KY22" s="35"/>
      <c r="KZ22" s="35"/>
      <c r="LA22" s="35"/>
      <c r="LB22" s="35"/>
      <c r="LC22" s="35"/>
      <c r="LD22" s="35"/>
      <c r="LE22" s="35"/>
      <c r="LF22" s="35"/>
      <c r="LG22" s="35"/>
      <c r="LH22" s="35"/>
      <c r="LI22" s="35"/>
      <c r="LJ22" s="35"/>
      <c r="LK22" s="35"/>
      <c r="LL22" s="35"/>
      <c r="LM22" s="35"/>
      <c r="LN22" s="35"/>
      <c r="LO22" s="35"/>
      <c r="LP22" s="35"/>
      <c r="LQ22" s="35"/>
      <c r="LR22" s="35"/>
      <c r="LS22" s="35"/>
      <c r="LT22" s="35"/>
      <c r="LU22" s="35"/>
      <c r="LV22" s="35"/>
      <c r="LW22" s="35"/>
      <c r="LX22" s="35"/>
      <c r="LY22" s="35"/>
      <c r="LZ22" s="35"/>
      <c r="MA22" s="35"/>
      <c r="MB22" s="35"/>
      <c r="MC22" s="35"/>
      <c r="MD22" s="35"/>
      <c r="ME22" s="35"/>
      <c r="MF22" s="35"/>
      <c r="MG22" s="35"/>
      <c r="MH22" s="35"/>
      <c r="MI22" s="35"/>
      <c r="MJ22" s="35"/>
      <c r="MK22" s="35"/>
      <c r="ML22" s="35"/>
      <c r="MM22" s="35"/>
      <c r="MN22" s="35"/>
      <c r="MO22" s="35"/>
      <c r="MP22" s="35"/>
      <c r="MQ22" s="35"/>
      <c r="MR22" s="35"/>
      <c r="MS22" s="35"/>
      <c r="MT22" s="35"/>
      <c r="MU22" s="35"/>
      <c r="MV22" s="35"/>
      <c r="MW22" s="35"/>
      <c r="MX22" s="35"/>
      <c r="MY22" s="35"/>
      <c r="MZ22" s="35"/>
      <c r="NA22" s="35"/>
      <c r="NB22" s="35"/>
      <c r="NC22" s="35"/>
      <c r="ND22" s="35"/>
      <c r="NE22" s="35"/>
      <c r="NF22" s="35"/>
      <c r="NG22" s="35"/>
      <c r="NH22" s="35"/>
      <c r="NI22" s="35"/>
      <c r="NJ22" s="35"/>
      <c r="NK22" s="35"/>
      <c r="NL22" s="35"/>
      <c r="NM22" s="35"/>
      <c r="NN22" s="35"/>
      <c r="NO22" s="35"/>
      <c r="NP22" s="35"/>
      <c r="NQ22" s="35"/>
      <c r="NR22" s="35"/>
      <c r="NS22" s="35"/>
      <c r="NT22" s="35"/>
      <c r="NU22" s="35"/>
      <c r="NV22" s="35"/>
      <c r="NW22" s="35"/>
      <c r="NX22" s="35"/>
      <c r="NY22" s="35"/>
      <c r="NZ22" s="35"/>
      <c r="OA22" s="35"/>
      <c r="OB22" s="35"/>
      <c r="OC22" s="35"/>
      <c r="OD22" s="35"/>
      <c r="OE22" s="35"/>
      <c r="OF22" s="35"/>
      <c r="OG22" s="35"/>
      <c r="OH22" s="35"/>
      <c r="OI22" s="35"/>
      <c r="OJ22" s="35"/>
      <c r="OK22" s="35"/>
      <c r="OL22" s="35"/>
      <c r="OM22" s="35"/>
      <c r="ON22" s="35"/>
      <c r="OO22" s="35"/>
      <c r="OP22" s="35"/>
      <c r="OQ22" s="35"/>
      <c r="OR22" s="35"/>
      <c r="OS22" s="35"/>
      <c r="OT22" s="35"/>
      <c r="OU22" s="35"/>
      <c r="OV22" s="35"/>
      <c r="OW22" s="35"/>
      <c r="OX22" s="35"/>
      <c r="OY22" s="35"/>
      <c r="OZ22" s="35"/>
      <c r="PA22" s="35"/>
      <c r="PB22" s="35"/>
      <c r="PC22" s="35"/>
      <c r="PD22" s="35"/>
      <c r="PE22" s="35"/>
      <c r="PF22" s="35"/>
      <c r="PG22" s="35"/>
      <c r="PH22" s="35"/>
      <c r="PI22" s="35"/>
      <c r="PJ22" s="35"/>
      <c r="PK22" s="35"/>
      <c r="PL22" s="35"/>
      <c r="PM22" s="35"/>
      <c r="PN22" s="35"/>
      <c r="PO22" s="35"/>
      <c r="PP22" s="35"/>
      <c r="PQ22" s="35"/>
      <c r="PR22" s="35"/>
      <c r="PS22" s="35"/>
      <c r="PT22" s="35"/>
      <c r="PU22" s="35"/>
      <c r="PV22" s="35"/>
      <c r="PW22" s="35"/>
      <c r="PX22" s="35"/>
      <c r="PY22" s="35"/>
      <c r="PZ22" s="35"/>
      <c r="QA22" s="35"/>
      <c r="QB22" s="35"/>
      <c r="QC22" s="35"/>
      <c r="QD22" s="35"/>
      <c r="QE22" s="35"/>
      <c r="QF22" s="35"/>
      <c r="QG22" s="35"/>
      <c r="QH22" s="35"/>
      <c r="QI22" s="35"/>
      <c r="QJ22" s="35"/>
      <c r="QK22" s="35"/>
      <c r="QL22" s="35"/>
      <c r="QM22" s="35"/>
      <c r="QN22" s="35"/>
      <c r="QO22" s="35"/>
      <c r="QP22" s="35"/>
      <c r="QQ22" s="35"/>
      <c r="QR22" s="35"/>
      <c r="QS22" s="35"/>
      <c r="QT22" s="35"/>
      <c r="QU22" s="35"/>
      <c r="QV22" s="35"/>
      <c r="QW22" s="35"/>
      <c r="QX22" s="35"/>
      <c r="QY22" s="35"/>
      <c r="QZ22" s="35"/>
      <c r="RA22" s="35"/>
      <c r="RB22" s="35"/>
      <c r="RC22" s="35"/>
      <c r="RD22" s="35"/>
      <c r="RE22" s="35"/>
      <c r="RF22" s="35"/>
      <c r="RG22" s="35"/>
      <c r="RH22" s="35"/>
      <c r="RI22" s="35"/>
      <c r="RJ22" s="35"/>
      <c r="RK22" s="35"/>
      <c r="RL22" s="35"/>
      <c r="RM22" s="35"/>
      <c r="RN22" s="35"/>
      <c r="RO22" s="35"/>
      <c r="RP22" s="35"/>
      <c r="RQ22" s="35"/>
      <c r="RR22" s="35"/>
      <c r="RS22" s="35"/>
      <c r="RT22" s="35"/>
      <c r="RU22" s="35"/>
      <c r="RV22" s="35"/>
      <c r="RW22" s="35"/>
      <c r="RX22" s="35"/>
      <c r="RY22" s="35"/>
      <c r="RZ22" s="35"/>
      <c r="SA22" s="35"/>
      <c r="SB22" s="35"/>
      <c r="SC22" s="35"/>
      <c r="SD22" s="35"/>
      <c r="SE22" s="35"/>
      <c r="SF22" s="35"/>
      <c r="SG22" s="35"/>
      <c r="SH22" s="35"/>
      <c r="SI22" s="35"/>
      <c r="SJ22" s="35"/>
      <c r="SK22" s="35"/>
      <c r="SL22" s="35"/>
      <c r="SM22" s="35"/>
      <c r="SN22" s="35"/>
      <c r="SO22" s="35"/>
      <c r="SP22" s="35"/>
      <c r="SQ22" s="35"/>
      <c r="SR22" s="35"/>
      <c r="SS22" s="35"/>
      <c r="ST22" s="35"/>
      <c r="SU22" s="35"/>
      <c r="SV22" s="35"/>
      <c r="SW22" s="35"/>
      <c r="SX22" s="35"/>
      <c r="SY22" s="35"/>
      <c r="SZ22" s="35"/>
      <c r="TA22" s="35"/>
      <c r="TB22" s="35"/>
      <c r="TC22" s="35"/>
      <c r="TD22" s="35"/>
      <c r="TE22" s="35"/>
      <c r="TF22" s="35"/>
      <c r="TG22" s="35"/>
      <c r="TH22" s="35"/>
      <c r="TI22" s="35"/>
      <c r="TJ22" s="35"/>
      <c r="TK22" s="35"/>
      <c r="TL22" s="35"/>
      <c r="TM22" s="35"/>
      <c r="TN22" s="35"/>
      <c r="TO22" s="35"/>
      <c r="TP22" s="35"/>
      <c r="TQ22" s="35"/>
      <c r="TR22" s="35"/>
      <c r="TS22" s="35"/>
      <c r="TT22" s="35"/>
      <c r="TU22" s="35"/>
      <c r="TV22" s="35"/>
      <c r="TW22" s="35"/>
      <c r="TX22" s="35"/>
      <c r="TY22" s="35"/>
      <c r="TZ22" s="35"/>
      <c r="UA22" s="35"/>
      <c r="UB22" s="35"/>
      <c r="UC22" s="35"/>
      <c r="UD22" s="35"/>
      <c r="UE22" s="35"/>
      <c r="UF22" s="35"/>
      <c r="UG22" s="35"/>
      <c r="UH22" s="35"/>
      <c r="UI22" s="35"/>
      <c r="UJ22" s="35"/>
      <c r="UK22" s="35"/>
      <c r="UL22" s="35"/>
      <c r="UM22" s="35"/>
      <c r="UN22" s="35"/>
      <c r="UO22" s="35"/>
      <c r="UP22" s="35"/>
      <c r="UQ22" s="35"/>
      <c r="UR22" s="35"/>
      <c r="US22" s="35"/>
      <c r="UT22" s="35"/>
      <c r="UU22" s="35"/>
      <c r="UV22" s="35"/>
      <c r="UW22" s="35"/>
      <c r="UX22" s="35"/>
      <c r="UY22" s="35"/>
      <c r="UZ22" s="35"/>
      <c r="VA22" s="35"/>
      <c r="VB22" s="35"/>
      <c r="VC22" s="35"/>
      <c r="VD22" s="35"/>
      <c r="VE22" s="35"/>
      <c r="VF22" s="35"/>
      <c r="VG22" s="35"/>
      <c r="VH22" s="35"/>
      <c r="VI22" s="35"/>
      <c r="VJ22" s="35"/>
      <c r="VK22" s="35"/>
      <c r="VL22" s="35"/>
      <c r="VM22" s="35"/>
      <c r="VN22" s="35"/>
      <c r="VO22" s="35"/>
      <c r="VP22" s="35"/>
      <c r="VQ22" s="35"/>
      <c r="VR22" s="35"/>
      <c r="VS22" s="35"/>
      <c r="VT22" s="35"/>
      <c r="VU22" s="35"/>
      <c r="VV22" s="35"/>
      <c r="VW22" s="35"/>
      <c r="VX22" s="35"/>
      <c r="VY22" s="35"/>
      <c r="VZ22" s="35"/>
      <c r="WA22" s="35"/>
      <c r="WB22" s="35"/>
      <c r="WC22" s="35"/>
      <c r="WD22" s="35"/>
      <c r="WE22" s="35"/>
      <c r="WF22" s="35"/>
      <c r="WG22" s="35"/>
      <c r="WH22" s="35"/>
      <c r="WI22" s="35"/>
      <c r="WJ22" s="35"/>
      <c r="WK22" s="35"/>
      <c r="WL22" s="35"/>
      <c r="WM22" s="35"/>
      <c r="WN22" s="35"/>
      <c r="WO22" s="35"/>
      <c r="WP22" s="35"/>
      <c r="WQ22" s="35"/>
      <c r="WR22" s="35"/>
      <c r="WS22" s="35"/>
      <c r="WT22" s="35"/>
      <c r="WU22" s="35"/>
      <c r="WV22" s="35"/>
      <c r="WW22" s="35"/>
      <c r="WX22" s="35"/>
      <c r="WY22" s="35"/>
      <c r="WZ22" s="35"/>
      <c r="XA22" s="35"/>
      <c r="XB22" s="35"/>
      <c r="XC22" s="35"/>
      <c r="XD22" s="35"/>
      <c r="XE22" s="35"/>
      <c r="XF22" s="35"/>
      <c r="XG22" s="35"/>
      <c r="XH22" s="35"/>
      <c r="XI22" s="35"/>
      <c r="XJ22" s="35"/>
      <c r="XK22" s="35"/>
      <c r="XL22" s="35"/>
      <c r="XM22" s="35"/>
      <c r="XN22" s="35"/>
      <c r="XO22" s="35"/>
      <c r="XP22" s="35"/>
      <c r="XQ22" s="35"/>
      <c r="XR22" s="35"/>
      <c r="XS22" s="35"/>
      <c r="XT22" s="35"/>
      <c r="XU22" s="35"/>
      <c r="XV22" s="35"/>
      <c r="XW22" s="35"/>
      <c r="XX22" s="35"/>
      <c r="XY22" s="35"/>
      <c r="XZ22" s="35"/>
      <c r="YA22" s="35"/>
      <c r="YB22" s="35"/>
      <c r="YC22" s="35"/>
      <c r="YD22" s="35"/>
      <c r="YE22" s="35"/>
      <c r="YF22" s="35"/>
      <c r="YG22" s="35"/>
      <c r="YH22" s="35"/>
      <c r="YI22" s="35"/>
      <c r="YJ22" s="35"/>
      <c r="YK22" s="35"/>
      <c r="YL22" s="35"/>
      <c r="YM22" s="35"/>
      <c r="YN22" s="35"/>
      <c r="YO22" s="35"/>
      <c r="YP22" s="35"/>
      <c r="YQ22" s="35"/>
      <c r="YR22" s="35"/>
      <c r="YS22" s="35"/>
      <c r="YT22" s="35"/>
      <c r="YU22" s="35"/>
      <c r="YV22" s="35"/>
      <c r="YW22" s="35"/>
      <c r="YX22" s="35"/>
      <c r="YY22" s="35"/>
      <c r="YZ22" s="35"/>
      <c r="ZA22" s="35"/>
      <c r="ZB22" s="35"/>
      <c r="ZC22" s="35"/>
      <c r="ZD22" s="35"/>
      <c r="ZE22" s="35"/>
      <c r="ZF22" s="35"/>
      <c r="ZG22" s="35"/>
      <c r="ZH22" s="35"/>
      <c r="ZI22" s="35"/>
      <c r="ZJ22" s="35"/>
      <c r="ZK22" s="35"/>
      <c r="ZL22" s="35"/>
      <c r="ZM22" s="35"/>
      <c r="ZN22" s="35"/>
      <c r="ZO22" s="35"/>
      <c r="ZP22" s="35"/>
      <c r="ZQ22" s="35"/>
      <c r="ZR22" s="35"/>
      <c r="ZS22" s="35"/>
      <c r="ZT22" s="35"/>
      <c r="ZU22" s="35"/>
      <c r="ZV22" s="35"/>
      <c r="ZW22" s="35"/>
      <c r="ZX22" s="35"/>
      <c r="ZY22" s="35"/>
      <c r="ZZ22" s="35"/>
      <c r="AAA22" s="35"/>
      <c r="AAB22" s="35"/>
      <c r="AAC22" s="35"/>
      <c r="AAD22" s="35"/>
      <c r="AAE22" s="35"/>
      <c r="AAF22" s="35"/>
      <c r="AAG22" s="35"/>
      <c r="AAH22" s="35"/>
      <c r="AAI22" s="35"/>
      <c r="AAJ22" s="35"/>
      <c r="AAK22" s="35"/>
      <c r="AAL22" s="35"/>
      <c r="AAM22" s="35"/>
      <c r="AAN22" s="35"/>
      <c r="AAO22" s="35"/>
      <c r="AAP22" s="35"/>
      <c r="AAQ22" s="35"/>
      <c r="AAR22" s="35"/>
      <c r="AAS22" s="35"/>
      <c r="AAT22" s="35"/>
      <c r="AAU22" s="35"/>
      <c r="AAV22" s="35"/>
      <c r="AAW22" s="35"/>
      <c r="AAX22" s="35"/>
      <c r="AAY22" s="35"/>
      <c r="AAZ22" s="35"/>
      <c r="ABA22" s="35"/>
      <c r="ABB22" s="35"/>
      <c r="ABC22" s="35"/>
      <c r="ABD22" s="35"/>
      <c r="ABE22" s="35"/>
      <c r="ABF22" s="35"/>
      <c r="ABG22" s="35"/>
      <c r="ABH22" s="35"/>
      <c r="ABI22" s="35"/>
      <c r="ABJ22" s="35"/>
      <c r="ABK22" s="35"/>
      <c r="ABL22" s="35"/>
      <c r="ABM22" s="35"/>
      <c r="ABN22" s="35"/>
      <c r="ABO22" s="35"/>
      <c r="ABP22" s="35"/>
      <c r="ABQ22" s="35"/>
      <c r="ABR22" s="35"/>
      <c r="ABS22" s="35"/>
      <c r="ABT22" s="35"/>
      <c r="ABU22" s="35"/>
      <c r="ABV22" s="35"/>
      <c r="ABW22" s="35"/>
      <c r="ABX22" s="35"/>
      <c r="ABY22" s="35"/>
      <c r="ABZ22" s="35"/>
      <c r="ACA22" s="35"/>
      <c r="ACB22" s="35"/>
      <c r="ACC22" s="35"/>
      <c r="ACD22" s="35"/>
      <c r="ACE22" s="35"/>
      <c r="ACF22" s="35"/>
      <c r="ACG22" s="35"/>
      <c r="ACH22" s="35"/>
      <c r="ACI22" s="35"/>
      <c r="ACJ22" s="35"/>
      <c r="ACK22" s="35"/>
      <c r="ACL22" s="35"/>
      <c r="ACM22" s="35"/>
      <c r="ACN22" s="35"/>
      <c r="ACO22" s="35"/>
      <c r="ACP22" s="35"/>
      <c r="ACQ22" s="35"/>
      <c r="ACR22" s="35"/>
      <c r="ACS22" s="35"/>
      <c r="ACT22" s="35"/>
      <c r="ACU22" s="35"/>
      <c r="ACV22" s="35"/>
      <c r="ACW22" s="35"/>
      <c r="ACX22" s="35"/>
      <c r="ACY22" s="35"/>
      <c r="ACZ22" s="35"/>
      <c r="ADA22" s="35"/>
      <c r="ADB22" s="35"/>
      <c r="ADC22" s="35"/>
      <c r="ADD22" s="35"/>
      <c r="ADE22" s="35"/>
      <c r="ADF22" s="35"/>
      <c r="ADG22" s="35"/>
      <c r="ADH22" s="35"/>
      <c r="ADI22" s="35"/>
      <c r="ADJ22" s="35"/>
      <c r="ADK22" s="35"/>
      <c r="ADL22" s="35"/>
      <c r="ADM22" s="35"/>
      <c r="ADN22" s="35"/>
      <c r="ADO22" s="35"/>
      <c r="ADP22" s="35"/>
      <c r="ADQ22" s="35"/>
      <c r="ADR22" s="35"/>
      <c r="ADS22" s="35"/>
      <c r="ADT22" s="35"/>
      <c r="ADU22" s="35"/>
      <c r="ADV22" s="35"/>
      <c r="ADW22" s="35"/>
      <c r="ADX22" s="35"/>
      <c r="ADY22" s="35"/>
      <c r="ADZ22" s="35"/>
      <c r="AEA22" s="35"/>
      <c r="AEB22" s="35"/>
      <c r="AEC22" s="35"/>
      <c r="AED22" s="35"/>
      <c r="AEE22" s="35"/>
      <c r="AEF22" s="35"/>
      <c r="AEG22" s="35"/>
      <c r="AEH22" s="35"/>
      <c r="AEI22" s="35"/>
      <c r="AEJ22" s="35"/>
      <c r="AEK22" s="35"/>
      <c r="AEL22" s="35"/>
      <c r="AEM22" s="35"/>
      <c r="AEN22" s="35"/>
      <c r="AEO22" s="35"/>
      <c r="AEP22" s="35"/>
      <c r="AEQ22" s="35"/>
      <c r="AER22" s="35"/>
      <c r="AES22" s="35"/>
      <c r="AET22" s="35"/>
      <c r="AEU22" s="35"/>
      <c r="AEV22" s="35"/>
      <c r="AEW22" s="35"/>
      <c r="AEX22" s="35"/>
      <c r="AEY22" s="35"/>
      <c r="AEZ22" s="35"/>
      <c r="AFA22" s="35"/>
      <c r="AFB22" s="35"/>
      <c r="AFC22" s="35"/>
      <c r="AFD22" s="35"/>
      <c r="AFE22" s="35"/>
      <c r="AFF22" s="35"/>
      <c r="AFG22" s="35"/>
      <c r="AFH22" s="35"/>
      <c r="AFI22" s="35"/>
      <c r="AFJ22" s="35"/>
      <c r="AFK22" s="35"/>
      <c r="AFL22" s="35"/>
      <c r="AFM22" s="35"/>
      <c r="AFN22" s="35"/>
      <c r="AFO22" s="35"/>
      <c r="AFP22" s="35"/>
      <c r="AFQ22" s="35"/>
      <c r="AFR22" s="35"/>
      <c r="AFS22" s="35"/>
      <c r="AFT22" s="35"/>
      <c r="AFU22" s="35"/>
      <c r="AFV22" s="35"/>
      <c r="AFW22" s="35"/>
      <c r="AFX22" s="35"/>
      <c r="AFY22" s="35"/>
      <c r="AFZ22" s="35"/>
      <c r="AGA22" s="35"/>
      <c r="AGB22" s="35"/>
      <c r="AGC22" s="35"/>
      <c r="AGD22" s="35"/>
      <c r="AGE22" s="35"/>
      <c r="AGF22" s="35"/>
      <c r="AGG22" s="35"/>
      <c r="AGH22" s="35"/>
      <c r="AGI22" s="35"/>
      <c r="AGJ22" s="35"/>
      <c r="AGK22" s="35"/>
      <c r="AGL22" s="35"/>
      <c r="AGM22" s="35"/>
      <c r="AGN22" s="35"/>
      <c r="AGO22" s="35"/>
      <c r="AGP22" s="35"/>
      <c r="AGQ22" s="35"/>
      <c r="AGR22" s="35"/>
      <c r="AGS22" s="35"/>
      <c r="AGT22" s="35"/>
      <c r="AGU22" s="35"/>
      <c r="AGV22" s="35"/>
      <c r="AGW22" s="35"/>
      <c r="AGX22" s="35"/>
      <c r="AGY22" s="35"/>
      <c r="AGZ22" s="35"/>
      <c r="AHA22" s="35"/>
      <c r="AHB22" s="35"/>
      <c r="AHC22" s="35"/>
      <c r="AHD22" s="35"/>
      <c r="AHE22" s="35"/>
      <c r="AHF22" s="35"/>
      <c r="AHG22" s="35"/>
      <c r="AHH22" s="35"/>
      <c r="AHI22" s="35"/>
      <c r="AHJ22" s="35"/>
      <c r="AHK22" s="35"/>
      <c r="AHL22" s="35"/>
      <c r="AHM22" s="35"/>
      <c r="AHN22" s="35"/>
      <c r="AHO22" s="35"/>
      <c r="AHP22" s="35"/>
      <c r="AHQ22" s="35"/>
      <c r="AHR22" s="35"/>
      <c r="AHS22" s="35"/>
      <c r="AHT22" s="35"/>
      <c r="AHU22" s="35"/>
      <c r="AHV22" s="35"/>
      <c r="AHW22" s="35"/>
      <c r="AHX22" s="35"/>
      <c r="AHY22" s="35"/>
      <c r="AHZ22" s="35"/>
      <c r="AIA22" s="35"/>
      <c r="AIB22" s="35"/>
      <c r="AIC22" s="35"/>
      <c r="AID22" s="35"/>
      <c r="AIE22" s="35"/>
      <c r="AIF22" s="35"/>
      <c r="AIG22" s="35"/>
      <c r="AIH22" s="35"/>
      <c r="AII22" s="35"/>
      <c r="AIJ22" s="35"/>
      <c r="AIK22" s="35"/>
      <c r="AIL22" s="35"/>
      <c r="AIM22" s="35"/>
      <c r="AIN22" s="35"/>
      <c r="AIO22" s="35"/>
      <c r="AIP22" s="35"/>
      <c r="AIQ22" s="35"/>
      <c r="AIR22" s="35"/>
      <c r="AIS22" s="35"/>
      <c r="AIT22" s="35"/>
      <c r="AIU22" s="35"/>
      <c r="AIV22" s="35"/>
      <c r="AIW22" s="35"/>
      <c r="AIX22" s="35"/>
      <c r="AIY22" s="35"/>
      <c r="AIZ22" s="35"/>
      <c r="AJA22" s="35"/>
      <c r="AJB22" s="35"/>
      <c r="AJC22" s="35"/>
      <c r="AJD22" s="35"/>
      <c r="AJE22" s="35"/>
      <c r="AJF22" s="35"/>
      <c r="AJG22" s="35"/>
      <c r="AJH22" s="35"/>
      <c r="AJI22" s="35"/>
      <c r="AJJ22" s="35"/>
      <c r="AJK22" s="35"/>
      <c r="AJL22" s="35"/>
      <c r="AJM22" s="35"/>
      <c r="AJN22" s="35"/>
      <c r="AJO22" s="35"/>
      <c r="AJP22" s="35"/>
      <c r="AJQ22" s="35"/>
      <c r="AJR22" s="35"/>
      <c r="AJS22" s="35"/>
      <c r="AJT22" s="35"/>
      <c r="AJU22" s="35"/>
      <c r="AJV22" s="35"/>
      <c r="AJW22" s="35"/>
      <c r="AJX22" s="35"/>
      <c r="AJY22" s="35"/>
      <c r="AJZ22" s="35"/>
      <c r="AKA22" s="35"/>
      <c r="AKB22" s="35"/>
      <c r="AKC22" s="35"/>
      <c r="AKD22" s="35"/>
      <c r="AKE22" s="35"/>
      <c r="AKF22" s="35"/>
      <c r="AKG22" s="35"/>
      <c r="AKH22" s="35"/>
      <c r="AKI22" s="35"/>
      <c r="AKJ22" s="35"/>
      <c r="AKK22" s="35"/>
      <c r="AKL22" s="35"/>
      <c r="AKM22" s="35"/>
      <c r="AKN22" s="35"/>
      <c r="AKO22" s="35"/>
      <c r="AKP22" s="35"/>
      <c r="AKQ22" s="35"/>
      <c r="AKR22" s="35"/>
      <c r="AKS22" s="35"/>
    </row>
    <row r="23" customFormat="false" ht="74.6" hidden="false" customHeight="true" outlineLevel="0" collapsed="false">
      <c r="A23" s="43" t="s">
        <v>414</v>
      </c>
      <c r="B23" s="45" t="s">
        <v>421</v>
      </c>
      <c r="C23" s="45" t="s">
        <v>422</v>
      </c>
      <c r="D23" s="45" t="s">
        <v>423</v>
      </c>
      <c r="E23" s="45" t="s">
        <v>424</v>
      </c>
      <c r="F23" s="45" t="s">
        <v>425</v>
      </c>
      <c r="G23" s="45" t="s">
        <v>426</v>
      </c>
      <c r="H23" s="45" t="s">
        <v>566</v>
      </c>
      <c r="I23" s="43" t="s">
        <v>567</v>
      </c>
      <c r="J23" s="48" t="s">
        <v>440</v>
      </c>
      <c r="K23" s="48" t="s">
        <v>442</v>
      </c>
      <c r="L23" s="43" t="s">
        <v>443</v>
      </c>
      <c r="M23" s="45" t="s">
        <v>444</v>
      </c>
      <c r="N23" s="45" t="s">
        <v>445</v>
      </c>
      <c r="O23" s="48" t="s">
        <v>454</v>
      </c>
    </row>
    <row r="24" customFormat="false" ht="8.75" hidden="false" customHeight="true" outlineLevel="0" collapsed="false">
      <c r="A24" s="39" t="str">
        <f aca="false">A23</f>
        <v>A</v>
      </c>
      <c r="B24" s="51" t="str">
        <f aca="false">B23</f>
        <v>Tasks Open</v>
      </c>
      <c r="C24" s="51" t="str">
        <f aca="false">C23</f>
        <v>Tasks Started</v>
      </c>
      <c r="D24" s="51" t="str">
        <f aca="false">D23</f>
        <v>Tasks Pending</v>
      </c>
      <c r="E24" s="51" t="str">
        <f aca="false">E23</f>
        <v>Tasks Urgent</v>
      </c>
      <c r="F24" s="51" t="str">
        <f aca="false">F23</f>
        <v>Tasks Done</v>
      </c>
      <c r="G24" s="51" t="str">
        <f aca="false">G23</f>
        <v>Tasks Total</v>
      </c>
      <c r="H24" s="51" t="str">
        <f aca="false">H23</f>
        <v>Date</v>
      </c>
      <c r="I24" s="39" t="str">
        <f aca="false">I23</f>
        <v>Log Type</v>
      </c>
      <c r="J24" s="52" t="str">
        <f aca="false">J23</f>
        <v>Name</v>
      </c>
      <c r="K24" s="52" t="str">
        <f aca="false">K23</f>
        <v>Notes</v>
      </c>
      <c r="L24" s="39" t="str">
        <f aca="false">L23</f>
        <v>Tasks</v>
      </c>
      <c r="M24" s="51" t="str">
        <f aca="false">M23</f>
        <v>Tasks Left </v>
      </c>
      <c r="N24" s="39" t="str">
        <f aca="false">N23</f>
        <v>Task Progress</v>
      </c>
      <c r="O24" s="52" t="str">
        <f aca="false">O23</f>
        <v>Z</v>
      </c>
    </row>
    <row r="25" customFormat="false" ht="12.75" hidden="false" customHeight="true" outlineLevel="0" collapsed="false">
      <c r="A25" s="54"/>
      <c r="B25" s="59" t="n">
        <f aca="false">((LEN($L25)-LEN(SUBSTITUTE($L25,CHAR(10)&amp;". ","")))/3)+IF(LEFT(TRIM($L25),2)=". ",1,0)</f>
        <v>0</v>
      </c>
      <c r="C25" s="59" t="n">
        <f aca="false">((LEN($L25)-LEN(SUBSTITUTE($L25,CHAR(10)&amp;"/ ","")))/3)+IF(LEFT(TRIM($L25),2)="/ ",1,0)</f>
        <v>0</v>
      </c>
      <c r="D25" s="59" t="n">
        <f aca="false">((LEN($L25)-LEN(SUBSTITUTE($L25,CHAR(10)&amp;"~ ","")))/3)+IF(LEFT(TRIM($L25),2)="~ ",1,0)</f>
        <v>0</v>
      </c>
      <c r="E25" s="59" t="n">
        <f aca="false">((LEN($L25)-LEN(SUBSTITUTE($L25,CHAR(10)&amp;"! ","")))/3)+IF(LEFT(TRIM($L25),2)="! ",1,0)</f>
        <v>0</v>
      </c>
      <c r="F25" s="59" t="n">
        <f aca="false">((LEN($L25)-LEN(SUBSTITUTE($L25,CHAR(10)&amp;"x ","")))/3)+IF(LEFT(TRIM($L25),2)="x ",1,0)</f>
        <v>0</v>
      </c>
      <c r="G25" s="59" t="n">
        <f aca="false">SUM(B25:F25)</f>
        <v>0</v>
      </c>
      <c r="H25" s="75" t="n">
        <v>45918</v>
      </c>
      <c r="I25" s="64" t="s">
        <v>553</v>
      </c>
      <c r="J25" s="64" t="s">
        <v>568</v>
      </c>
      <c r="K25" s="64"/>
      <c r="L25" s="64"/>
      <c r="M25" s="60" t="n">
        <f aca="false">IF(J25="","",SUM(B25:E25))</f>
        <v>0</v>
      </c>
      <c r="N25" s="66" t="n">
        <f aca="false">IF(J25="","",IF(G25&lt;&gt;0,(C25*0.5+F25)/G25,1))</f>
        <v>1</v>
      </c>
      <c r="O25" s="64" t="s">
        <v>364</v>
      </c>
    </row>
    <row r="26" customFormat="false" ht="12.75" hidden="false" customHeight="true" outlineLevel="0" collapsed="false">
      <c r="A26" s="54"/>
      <c r="B26" s="59" t="n">
        <f aca="false">((LEN($L26)-LEN(SUBSTITUTE($L26,CHAR(10)&amp;". ","")))/3)+IF(LEFT(TRIM($L26),2)=". ",1,0)</f>
        <v>0</v>
      </c>
      <c r="C26" s="59" t="n">
        <f aca="false">((LEN($L26)-LEN(SUBSTITUTE($L26,CHAR(10)&amp;"/ ","")))/3)+IF(LEFT(TRIM($L26),2)="/ ",1,0)</f>
        <v>0</v>
      </c>
      <c r="D26" s="59" t="n">
        <f aca="false">((LEN($L26)-LEN(SUBSTITUTE($L26,CHAR(10)&amp;"~ ","")))/3)+IF(LEFT(TRIM($L26),2)="~ ",1,0)</f>
        <v>0</v>
      </c>
      <c r="E26" s="59" t="n">
        <f aca="false">((LEN($L26)-LEN(SUBSTITUTE($L26,CHAR(10)&amp;"! ","")))/3)+IF(LEFT(TRIM($L26),2)="! ",1,0)</f>
        <v>0</v>
      </c>
      <c r="F26" s="59" t="n">
        <f aca="false">((LEN($L26)-LEN(SUBSTITUTE($L26,CHAR(10)&amp;"x ","")))/3)+IF(LEFT(TRIM($L26),2)="x ",1,0)</f>
        <v>0</v>
      </c>
      <c r="G26" s="59" t="n">
        <f aca="false">SUM(B26:F26)</f>
        <v>0</v>
      </c>
      <c r="H26" s="75"/>
      <c r="I26" s="64"/>
      <c r="J26" s="64"/>
      <c r="K26" s="64"/>
      <c r="L26" s="65"/>
      <c r="M26" s="60" t="str">
        <f aca="false">IF(J26="","",SUM(B26:E26))</f>
        <v/>
      </c>
      <c r="N26" s="66" t="str">
        <f aca="false">IF(J26="","",IF(G26&lt;&gt;0,(C26*0.5+F26)/G26,1))</f>
        <v/>
      </c>
      <c r="O26" s="64" t="s">
        <v>364</v>
      </c>
    </row>
    <row r="27" customFormat="false" ht="12.75" hidden="false" customHeight="true" outlineLevel="0" collapsed="false">
      <c r="A27" s="54"/>
      <c r="B27" s="59" t="n">
        <f aca="false">((LEN($L27)-LEN(SUBSTITUTE($L27,CHAR(10)&amp;". ","")))/3)+IF(LEFT(TRIM($L27),2)=". ",1,0)</f>
        <v>0</v>
      </c>
      <c r="C27" s="59" t="n">
        <f aca="false">((LEN($L27)-LEN(SUBSTITUTE($L27,CHAR(10)&amp;"/ ","")))/3)+IF(LEFT(TRIM($L27),2)="/ ",1,0)</f>
        <v>0</v>
      </c>
      <c r="D27" s="59" t="n">
        <f aca="false">((LEN($L27)-LEN(SUBSTITUTE($L27,CHAR(10)&amp;"~ ","")))/3)+IF(LEFT(TRIM($L27),2)="~ ",1,0)</f>
        <v>0</v>
      </c>
      <c r="E27" s="59" t="n">
        <f aca="false">((LEN($L27)-LEN(SUBSTITUTE($L27,CHAR(10)&amp;"! ","")))/3)+IF(LEFT(TRIM($L27),2)="! ",1,0)</f>
        <v>0</v>
      </c>
      <c r="F27" s="59" t="n">
        <f aca="false">((LEN($L27)-LEN(SUBSTITUTE($L27,CHAR(10)&amp;"x ","")))/3)+IF(LEFT(TRIM($L27),2)="x ",1,0)</f>
        <v>0</v>
      </c>
      <c r="G27" s="59" t="n">
        <f aca="false">SUM(B27:F27)</f>
        <v>0</v>
      </c>
      <c r="H27" s="75"/>
      <c r="I27" s="64"/>
      <c r="J27" s="64"/>
      <c r="K27" s="64"/>
      <c r="L27" s="65"/>
      <c r="M27" s="60" t="str">
        <f aca="false">IF(J27="","",SUM(B27:E27))</f>
        <v/>
      </c>
      <c r="N27" s="66" t="str">
        <f aca="false">IF(J27="","",IF(G27&lt;&gt;0,(C27*0.5+F27)/G27,1))</f>
        <v/>
      </c>
      <c r="O27" s="64" t="s">
        <v>364</v>
      </c>
    </row>
    <row r="28" customFormat="false" ht="12.75" hidden="false" customHeight="true" outlineLevel="0" collapsed="false">
      <c r="B28" s="59" t="n">
        <f aca="false">((LEN($L28)-LEN(SUBSTITUTE($L28,CHAR(10)&amp;". ","")))/3)+IF(LEFT(TRIM($L28),2)=". ",1,0)</f>
        <v>0</v>
      </c>
      <c r="C28" s="59" t="n">
        <f aca="false">((LEN($L28)-LEN(SUBSTITUTE($L28,CHAR(10)&amp;"/ ","")))/3)+IF(LEFT(TRIM($L28),2)="/ ",1,0)</f>
        <v>0</v>
      </c>
      <c r="D28" s="59" t="n">
        <f aca="false">((LEN($L28)-LEN(SUBSTITUTE($L28,CHAR(10)&amp;"~ ","")))/3)+IF(LEFT(TRIM($L28),2)="~ ",1,0)</f>
        <v>0</v>
      </c>
      <c r="E28" s="59" t="n">
        <f aca="false">((LEN($L28)-LEN(SUBSTITUTE($L28,CHAR(10)&amp;"! ","")))/3)+IF(LEFT(TRIM($L28),2)="! ",1,0)</f>
        <v>0</v>
      </c>
      <c r="F28" s="59" t="n">
        <f aca="false">((LEN($L28)-LEN(SUBSTITUTE($L28,CHAR(10)&amp;"x ","")))/3)+IF(LEFT(TRIM($L28),2)="x ",1,0)</f>
        <v>0</v>
      </c>
      <c r="G28" s="59" t="n">
        <f aca="false">SUM(B28:F28)</f>
        <v>0</v>
      </c>
      <c r="H28" s="75"/>
      <c r="I28" s="64"/>
      <c r="J28" s="64"/>
      <c r="K28" s="64"/>
      <c r="L28" s="64"/>
      <c r="M28" s="60" t="str">
        <f aca="false">IF(J28="","",SUM(B28:E28))</f>
        <v/>
      </c>
      <c r="N28" s="66" t="str">
        <f aca="false">IF(J28="","",IF(G28&lt;&gt;0,(C28*0.5+F28)/G28,1))</f>
        <v/>
      </c>
      <c r="O28" s="64" t="s">
        <v>364</v>
      </c>
    </row>
    <row r="29" customFormat="false" ht="12.75" hidden="false" customHeight="true" outlineLevel="0" collapsed="false">
      <c r="B29" s="59" t="n">
        <f aca="false">((LEN($L29)-LEN(SUBSTITUTE($L29,CHAR(10)&amp;". ","")))/3)+IF(LEFT(TRIM($L29),2)=". ",1,0)</f>
        <v>0</v>
      </c>
      <c r="C29" s="59" t="n">
        <f aca="false">((LEN($L29)-LEN(SUBSTITUTE($L29,CHAR(10)&amp;"/ ","")))/3)+IF(LEFT(TRIM($L29),2)="/ ",1,0)</f>
        <v>0</v>
      </c>
      <c r="D29" s="59" t="n">
        <f aca="false">((LEN($L29)-LEN(SUBSTITUTE($L29,CHAR(10)&amp;"~ ","")))/3)+IF(LEFT(TRIM($L29),2)="~ ",1,0)</f>
        <v>0</v>
      </c>
      <c r="E29" s="59" t="n">
        <f aca="false">((LEN($L29)-LEN(SUBSTITUTE($L29,CHAR(10)&amp;"! ","")))/3)+IF(LEFT(TRIM($L29),2)="! ",1,0)</f>
        <v>0</v>
      </c>
      <c r="F29" s="59" t="n">
        <f aca="false">((LEN($L29)-LEN(SUBSTITUTE($L29,CHAR(10)&amp;"x ","")))/3)+IF(LEFT(TRIM($L29),2)="x ",1,0)</f>
        <v>0</v>
      </c>
      <c r="G29" s="59" t="n">
        <f aca="false">SUM(B29:F29)</f>
        <v>0</v>
      </c>
      <c r="H29" s="75"/>
      <c r="I29" s="64"/>
      <c r="J29" s="64"/>
      <c r="K29" s="64"/>
      <c r="L29" s="65"/>
      <c r="M29" s="60" t="str">
        <f aca="false">IF(J29="","",SUM(B29:E29))</f>
        <v/>
      </c>
      <c r="N29" s="66" t="str">
        <f aca="false">IF(J29="","",IF(G29&lt;&gt;0,(C29*0.5+F29)/G29,1))</f>
        <v/>
      </c>
      <c r="O29" s="64" t="s">
        <v>364</v>
      </c>
    </row>
    <row r="30" customFormat="false" ht="12.75" hidden="false" customHeight="true" outlineLevel="0" collapsed="false">
      <c r="B30" s="59" t="n">
        <f aca="false">((LEN($L30)-LEN(SUBSTITUTE($L30,CHAR(10)&amp;". ","")))/3)+IF(LEFT(TRIM($L30),2)=". ",1,0)</f>
        <v>0</v>
      </c>
      <c r="C30" s="59" t="n">
        <f aca="false">((LEN($L30)-LEN(SUBSTITUTE($L30,CHAR(10)&amp;"/ ","")))/3)+IF(LEFT(TRIM($L30),2)="/ ",1,0)</f>
        <v>0</v>
      </c>
      <c r="D30" s="59" t="n">
        <f aca="false">((LEN($L30)-LEN(SUBSTITUTE($L30,CHAR(10)&amp;"~ ","")))/3)+IF(LEFT(TRIM($L30),2)="~ ",1,0)</f>
        <v>0</v>
      </c>
      <c r="E30" s="59" t="n">
        <f aca="false">((LEN($L30)-LEN(SUBSTITUTE($L30,CHAR(10)&amp;"! ","")))/3)+IF(LEFT(TRIM($L30),2)="! ",1,0)</f>
        <v>0</v>
      </c>
      <c r="F30" s="59" t="n">
        <f aca="false">((LEN($L30)-LEN(SUBSTITUTE($L30,CHAR(10)&amp;"x ","")))/3)+IF(LEFT(TRIM($L30),2)="x ",1,0)</f>
        <v>0</v>
      </c>
      <c r="G30" s="59" t="n">
        <f aca="false">SUM(B30:F30)</f>
        <v>0</v>
      </c>
      <c r="H30" s="75"/>
      <c r="I30" s="64"/>
      <c r="J30" s="64"/>
      <c r="K30" s="64"/>
      <c r="L30" s="65"/>
      <c r="M30" s="60" t="str">
        <f aca="false">IF(J30="","",SUM(B30:E30))</f>
        <v/>
      </c>
      <c r="N30" s="66" t="str">
        <f aca="false">IF(J30="","",IF(G30&lt;&gt;0,(C30*0.5+F30)/G30,1))</f>
        <v/>
      </c>
      <c r="O30" s="64" t="s">
        <v>364</v>
      </c>
    </row>
    <row r="31" customFormat="false" ht="12.75" hidden="false" customHeight="true" outlineLevel="0" collapsed="false">
      <c r="B31" s="59" t="n">
        <f aca="false">((LEN($L31)-LEN(SUBSTITUTE($L31,CHAR(10)&amp;". ","")))/3)+IF(LEFT(TRIM($L31),2)=". ",1,0)</f>
        <v>0</v>
      </c>
      <c r="C31" s="59" t="n">
        <f aca="false">((LEN($L31)-LEN(SUBSTITUTE($L31,CHAR(10)&amp;"/ ","")))/3)+IF(LEFT(TRIM($L31),2)="/ ",1,0)</f>
        <v>0</v>
      </c>
      <c r="D31" s="59" t="n">
        <f aca="false">((LEN($L31)-LEN(SUBSTITUTE($L31,CHAR(10)&amp;"~ ","")))/3)+IF(LEFT(TRIM($L31),2)="~ ",1,0)</f>
        <v>0</v>
      </c>
      <c r="E31" s="59" t="n">
        <f aca="false">((LEN($L31)-LEN(SUBSTITUTE($L31,CHAR(10)&amp;"! ","")))/3)+IF(LEFT(TRIM($L31),2)="! ",1,0)</f>
        <v>0</v>
      </c>
      <c r="F31" s="59" t="n">
        <f aca="false">((LEN($L31)-LEN(SUBSTITUTE($L31,CHAR(10)&amp;"x ","")))/3)+IF(LEFT(TRIM($L31),2)="x ",1,0)</f>
        <v>0</v>
      </c>
      <c r="G31" s="59" t="n">
        <f aca="false">SUM(B31:F31)</f>
        <v>0</v>
      </c>
      <c r="H31" s="75"/>
      <c r="I31" s="64"/>
      <c r="J31" s="64"/>
      <c r="K31" s="64"/>
      <c r="L31" s="64"/>
      <c r="M31" s="60" t="str">
        <f aca="false">IF(J31="","",SUM(B31:E31))</f>
        <v/>
      </c>
      <c r="N31" s="66" t="str">
        <f aca="false">IF(J31="","",IF(G31&lt;&gt;0,(C31*0.5+F31)/G31,1))</f>
        <v/>
      </c>
      <c r="O31" s="64" t="s">
        <v>364</v>
      </c>
    </row>
    <row r="32" customFormat="false" ht="12.75" hidden="false" customHeight="true" outlineLevel="0" collapsed="false">
      <c r="B32" s="59" t="n">
        <f aca="false">((LEN($L32)-LEN(SUBSTITUTE($L32,CHAR(10)&amp;". ","")))/3)+IF(LEFT(TRIM($L32),2)=". ",1,0)</f>
        <v>0</v>
      </c>
      <c r="C32" s="59" t="n">
        <f aca="false">((LEN($L32)-LEN(SUBSTITUTE($L32,CHAR(10)&amp;"/ ","")))/3)+IF(LEFT(TRIM($L32),2)="/ ",1,0)</f>
        <v>0</v>
      </c>
      <c r="D32" s="59" t="n">
        <f aca="false">((LEN($L32)-LEN(SUBSTITUTE($L32,CHAR(10)&amp;"~ ","")))/3)+IF(LEFT(TRIM($L32),2)="~ ",1,0)</f>
        <v>0</v>
      </c>
      <c r="E32" s="59" t="n">
        <f aca="false">((LEN($L32)-LEN(SUBSTITUTE($L32,CHAR(10)&amp;"! ","")))/3)+IF(LEFT(TRIM($L32),2)="! ",1,0)</f>
        <v>0</v>
      </c>
      <c r="F32" s="59" t="n">
        <f aca="false">((LEN($L32)-LEN(SUBSTITUTE($L32,CHAR(10)&amp;"x ","")))/3)+IF(LEFT(TRIM($L32),2)="x ",1,0)</f>
        <v>0</v>
      </c>
      <c r="G32" s="59" t="n">
        <f aca="false">SUM(B32:F32)</f>
        <v>0</v>
      </c>
      <c r="H32" s="75"/>
      <c r="I32" s="64"/>
      <c r="J32" s="64"/>
      <c r="K32" s="64"/>
      <c r="L32" s="65"/>
      <c r="M32" s="60" t="str">
        <f aca="false">IF(J32="","",SUM(B32:E32))</f>
        <v/>
      </c>
      <c r="N32" s="66" t="str">
        <f aca="false">IF(J32="","",IF(G32&lt;&gt;0,(C32*0.5+F32)/G32,1))</f>
        <v/>
      </c>
      <c r="O32" s="64" t="s">
        <v>364</v>
      </c>
    </row>
    <row r="33" customFormat="false" ht="12.75" hidden="false" customHeight="true" outlineLevel="0" collapsed="false">
      <c r="B33" s="59" t="n">
        <f aca="false">((LEN($L33)-LEN(SUBSTITUTE($L33,CHAR(10)&amp;". ","")))/3)+IF(LEFT(TRIM($L33),2)=". ",1,0)</f>
        <v>0</v>
      </c>
      <c r="C33" s="59" t="n">
        <f aca="false">((LEN($L33)-LEN(SUBSTITUTE($L33,CHAR(10)&amp;"/ ","")))/3)+IF(LEFT(TRIM($L33),2)="/ ",1,0)</f>
        <v>0</v>
      </c>
      <c r="D33" s="59" t="n">
        <f aca="false">((LEN($L33)-LEN(SUBSTITUTE($L33,CHAR(10)&amp;"~ ","")))/3)+IF(LEFT(TRIM($L33),2)="~ ",1,0)</f>
        <v>0</v>
      </c>
      <c r="E33" s="59" t="n">
        <f aca="false">((LEN($L33)-LEN(SUBSTITUTE($L33,CHAR(10)&amp;"! ","")))/3)+IF(LEFT(TRIM($L33),2)="! ",1,0)</f>
        <v>0</v>
      </c>
      <c r="F33" s="59" t="n">
        <f aca="false">((LEN($L33)-LEN(SUBSTITUTE($L33,CHAR(10)&amp;"x ","")))/3)+IF(LEFT(TRIM($L33),2)="x ",1,0)</f>
        <v>0</v>
      </c>
      <c r="G33" s="59" t="n">
        <f aca="false">SUM(B33:F33)</f>
        <v>0</v>
      </c>
      <c r="H33" s="75"/>
      <c r="I33" s="64"/>
      <c r="J33" s="64"/>
      <c r="K33" s="64"/>
      <c r="L33" s="65"/>
      <c r="M33" s="60" t="str">
        <f aca="false">IF(J33="","",SUM(B33:E33))</f>
        <v/>
      </c>
      <c r="N33" s="66" t="str">
        <f aca="false">IF(J33="","",IF(G33&lt;&gt;0,(C33*0.5+F33)/G33,1))</f>
        <v/>
      </c>
      <c r="O33" s="64" t="s">
        <v>364</v>
      </c>
    </row>
    <row r="34" customFormat="false" ht="12.75" hidden="false" customHeight="true" outlineLevel="0" collapsed="false">
      <c r="B34" s="59" t="n">
        <f aca="false">((LEN($L34)-LEN(SUBSTITUTE($L34,CHAR(10)&amp;". ","")))/3)+IF(LEFT(TRIM($L34),2)=". ",1,0)</f>
        <v>0</v>
      </c>
      <c r="C34" s="59" t="n">
        <f aca="false">((LEN($L34)-LEN(SUBSTITUTE($L34,CHAR(10)&amp;"/ ","")))/3)+IF(LEFT(TRIM($L34),2)="/ ",1,0)</f>
        <v>0</v>
      </c>
      <c r="D34" s="59" t="n">
        <f aca="false">((LEN($L34)-LEN(SUBSTITUTE($L34,CHAR(10)&amp;"~ ","")))/3)+IF(LEFT(TRIM($L34),2)="~ ",1,0)</f>
        <v>0</v>
      </c>
      <c r="E34" s="59" t="n">
        <f aca="false">((LEN($L34)-LEN(SUBSTITUTE($L34,CHAR(10)&amp;"! ","")))/3)+IF(LEFT(TRIM($L34),2)="! ",1,0)</f>
        <v>0</v>
      </c>
      <c r="F34" s="59" t="n">
        <f aca="false">((LEN($L34)-LEN(SUBSTITUTE($L34,CHAR(10)&amp;"x ","")))/3)+IF(LEFT(TRIM($L34),2)="x ",1,0)</f>
        <v>0</v>
      </c>
      <c r="G34" s="59" t="n">
        <f aca="false">SUM(B34:F34)</f>
        <v>0</v>
      </c>
      <c r="H34" s="75"/>
      <c r="I34" s="64"/>
      <c r="J34" s="64"/>
      <c r="K34" s="64"/>
      <c r="L34" s="64"/>
      <c r="M34" s="60" t="str">
        <f aca="false">IF(J34="","",SUM(B34:E34))</f>
        <v/>
      </c>
      <c r="N34" s="66" t="str">
        <f aca="false">IF(J34="","",IF(G34&lt;&gt;0,(C34*0.5+F34)/G34,1))</f>
        <v/>
      </c>
      <c r="O34" s="64" t="s">
        <v>364</v>
      </c>
    </row>
    <row r="35" customFormat="false" ht="12.75" hidden="false" customHeight="true" outlineLevel="0" collapsed="false">
      <c r="B35" s="59" t="n">
        <f aca="false">((LEN($L35)-LEN(SUBSTITUTE($L35,CHAR(10)&amp;". ","")))/3)+IF(LEFT(TRIM($L35),2)=". ",1,0)</f>
        <v>0</v>
      </c>
      <c r="C35" s="59" t="n">
        <f aca="false">((LEN($L35)-LEN(SUBSTITUTE($L35,CHAR(10)&amp;"/ ","")))/3)+IF(LEFT(TRIM($L35),2)="/ ",1,0)</f>
        <v>0</v>
      </c>
      <c r="D35" s="59" t="n">
        <f aca="false">((LEN($L35)-LEN(SUBSTITUTE($L35,CHAR(10)&amp;"~ ","")))/3)+IF(LEFT(TRIM($L35),2)="~ ",1,0)</f>
        <v>0</v>
      </c>
      <c r="E35" s="59" t="n">
        <f aca="false">((LEN($L35)-LEN(SUBSTITUTE($L35,CHAR(10)&amp;"! ","")))/3)+IF(LEFT(TRIM($L35),2)="! ",1,0)</f>
        <v>0</v>
      </c>
      <c r="F35" s="59" t="n">
        <f aca="false">((LEN($L35)-LEN(SUBSTITUTE($L35,CHAR(10)&amp;"x ","")))/3)+IF(LEFT(TRIM($L35),2)="x ",1,0)</f>
        <v>0</v>
      </c>
      <c r="G35" s="59" t="n">
        <f aca="false">SUM(B35:F35)</f>
        <v>0</v>
      </c>
      <c r="H35" s="75"/>
      <c r="I35" s="64"/>
      <c r="J35" s="64"/>
      <c r="K35" s="64"/>
      <c r="L35" s="65"/>
      <c r="M35" s="60" t="str">
        <f aca="false">IF(J35="","",SUM(B35:E35))</f>
        <v/>
      </c>
      <c r="N35" s="66" t="str">
        <f aca="false">IF(J35="","",IF(G35&lt;&gt;0,(C35*0.5+F35)/G35,1))</f>
        <v/>
      </c>
      <c r="O35" s="64" t="s">
        <v>364</v>
      </c>
    </row>
    <row r="36" customFormat="false" ht="12.75" hidden="false" customHeight="true" outlineLevel="0" collapsed="false">
      <c r="B36" s="59" t="n">
        <f aca="false">((LEN($L36)-LEN(SUBSTITUTE($L36,CHAR(10)&amp;". ","")))/3)+IF(LEFT(TRIM($L36),2)=". ",1,0)</f>
        <v>0</v>
      </c>
      <c r="C36" s="59" t="n">
        <f aca="false">((LEN($L36)-LEN(SUBSTITUTE($L36,CHAR(10)&amp;"/ ","")))/3)+IF(LEFT(TRIM($L36),2)="/ ",1,0)</f>
        <v>0</v>
      </c>
      <c r="D36" s="59" t="n">
        <f aca="false">((LEN($L36)-LEN(SUBSTITUTE($L36,CHAR(10)&amp;"~ ","")))/3)+IF(LEFT(TRIM($L36),2)="~ ",1,0)</f>
        <v>0</v>
      </c>
      <c r="E36" s="59" t="n">
        <f aca="false">((LEN($L36)-LEN(SUBSTITUTE($L36,CHAR(10)&amp;"! ","")))/3)+IF(LEFT(TRIM($L36),2)="! ",1,0)</f>
        <v>0</v>
      </c>
      <c r="F36" s="59" t="n">
        <f aca="false">((LEN($L36)-LEN(SUBSTITUTE($L36,CHAR(10)&amp;"x ","")))/3)+IF(LEFT(TRIM($L36),2)="x ",1,0)</f>
        <v>0</v>
      </c>
      <c r="G36" s="59" t="n">
        <f aca="false">SUM(B36:F36)</f>
        <v>0</v>
      </c>
      <c r="H36" s="75"/>
      <c r="I36" s="64"/>
      <c r="J36" s="64"/>
      <c r="K36" s="64"/>
      <c r="L36" s="65"/>
      <c r="M36" s="60" t="str">
        <f aca="false">IF(J36="","",SUM(B36:E36))</f>
        <v/>
      </c>
      <c r="N36" s="66" t="str">
        <f aca="false">IF(J36="","",IF(G36&lt;&gt;0,(C36*0.5+F36)/G36,1))</f>
        <v/>
      </c>
      <c r="O36" s="64" t="s">
        <v>364</v>
      </c>
    </row>
    <row r="37" customFormat="false" ht="12.75" hidden="false" customHeight="true" outlineLevel="0" collapsed="false">
      <c r="B37" s="59" t="n">
        <f aca="false">((LEN($L37)-LEN(SUBSTITUTE($L37,CHAR(10)&amp;". ","")))/3)+IF(LEFT(TRIM($L37),2)=". ",1,0)</f>
        <v>0</v>
      </c>
      <c r="C37" s="59" t="n">
        <f aca="false">((LEN($L37)-LEN(SUBSTITUTE($L37,CHAR(10)&amp;"/ ","")))/3)+IF(LEFT(TRIM($L37),2)="/ ",1,0)</f>
        <v>0</v>
      </c>
      <c r="D37" s="59" t="n">
        <f aca="false">((LEN($L37)-LEN(SUBSTITUTE($L37,CHAR(10)&amp;"~ ","")))/3)+IF(LEFT(TRIM($L37),2)="~ ",1,0)</f>
        <v>0</v>
      </c>
      <c r="E37" s="59" t="n">
        <f aca="false">((LEN($L37)-LEN(SUBSTITUTE($L37,CHAR(10)&amp;"! ","")))/3)+IF(LEFT(TRIM($L37),2)="! ",1,0)</f>
        <v>0</v>
      </c>
      <c r="F37" s="59" t="n">
        <f aca="false">((LEN($L37)-LEN(SUBSTITUTE($L37,CHAR(10)&amp;"x ","")))/3)+IF(LEFT(TRIM($L37),2)="x ",1,0)</f>
        <v>0</v>
      </c>
      <c r="G37" s="59" t="n">
        <f aca="false">SUM(B37:F37)</f>
        <v>0</v>
      </c>
      <c r="H37" s="75"/>
      <c r="I37" s="64"/>
      <c r="J37" s="64"/>
      <c r="K37" s="64"/>
      <c r="L37" s="64"/>
      <c r="M37" s="60" t="str">
        <f aca="false">IF(J37="","",SUM(B37:E37))</f>
        <v/>
      </c>
      <c r="N37" s="66" t="str">
        <f aca="false">IF(J37="","",IF(G37&lt;&gt;0,(C37*0.5+F37)/G37,1))</f>
        <v/>
      </c>
      <c r="O37" s="64" t="s">
        <v>364</v>
      </c>
    </row>
    <row r="38" customFormat="false" ht="12.75" hidden="false" customHeight="true" outlineLevel="0" collapsed="false">
      <c r="B38" s="59" t="n">
        <f aca="false">((LEN($L38)-LEN(SUBSTITUTE($L38,CHAR(10)&amp;". ","")))/3)+IF(LEFT(TRIM($L38),2)=". ",1,0)</f>
        <v>0</v>
      </c>
      <c r="C38" s="59" t="n">
        <f aca="false">((LEN($L38)-LEN(SUBSTITUTE($L38,CHAR(10)&amp;"/ ","")))/3)+IF(LEFT(TRIM($L38),2)="/ ",1,0)</f>
        <v>0</v>
      </c>
      <c r="D38" s="59" t="n">
        <f aca="false">((LEN($L38)-LEN(SUBSTITUTE($L38,CHAR(10)&amp;"~ ","")))/3)+IF(LEFT(TRIM($L38),2)="~ ",1,0)</f>
        <v>0</v>
      </c>
      <c r="E38" s="59" t="n">
        <f aca="false">((LEN($L38)-LEN(SUBSTITUTE($L38,CHAR(10)&amp;"! ","")))/3)+IF(LEFT(TRIM($L38),2)="! ",1,0)</f>
        <v>0</v>
      </c>
      <c r="F38" s="59" t="n">
        <f aca="false">((LEN($L38)-LEN(SUBSTITUTE($L38,CHAR(10)&amp;"x ","")))/3)+IF(LEFT(TRIM($L38),2)="x ",1,0)</f>
        <v>0</v>
      </c>
      <c r="G38" s="59" t="n">
        <f aca="false">SUM(B38:F38)</f>
        <v>0</v>
      </c>
      <c r="H38" s="75"/>
      <c r="I38" s="64"/>
      <c r="J38" s="64"/>
      <c r="K38" s="64"/>
      <c r="L38" s="65"/>
      <c r="M38" s="60" t="str">
        <f aca="false">IF(J38="","",SUM(B38:E38))</f>
        <v/>
      </c>
      <c r="N38" s="66" t="str">
        <f aca="false">IF(J38="","",IF(G38&lt;&gt;0,(C38*0.5+F38)/G38,1))</f>
        <v/>
      </c>
      <c r="O38" s="64" t="s">
        <v>364</v>
      </c>
    </row>
    <row r="39" customFormat="false" ht="12.75" hidden="false" customHeight="true" outlineLevel="0" collapsed="false">
      <c r="B39" s="59" t="n">
        <f aca="false">((LEN($L39)-LEN(SUBSTITUTE($L39,CHAR(10)&amp;". ","")))/3)+IF(LEFT(TRIM($L39),2)=". ",1,0)</f>
        <v>0</v>
      </c>
      <c r="C39" s="59" t="n">
        <f aca="false">((LEN($L39)-LEN(SUBSTITUTE($L39,CHAR(10)&amp;"/ ","")))/3)+IF(LEFT(TRIM($L39),2)="/ ",1,0)</f>
        <v>0</v>
      </c>
      <c r="D39" s="59" t="n">
        <f aca="false">((LEN($L39)-LEN(SUBSTITUTE($L39,CHAR(10)&amp;"~ ","")))/3)+IF(LEFT(TRIM($L39),2)="~ ",1,0)</f>
        <v>0</v>
      </c>
      <c r="E39" s="59" t="n">
        <f aca="false">((LEN($L39)-LEN(SUBSTITUTE($L39,CHAR(10)&amp;"! ","")))/3)+IF(LEFT(TRIM($L39),2)="! ",1,0)</f>
        <v>0</v>
      </c>
      <c r="F39" s="59" t="n">
        <f aca="false">((LEN($L39)-LEN(SUBSTITUTE($L39,CHAR(10)&amp;"x ","")))/3)+IF(LEFT(TRIM($L39),2)="x ",1,0)</f>
        <v>0</v>
      </c>
      <c r="G39" s="59" t="n">
        <f aca="false">SUM(B39:F39)</f>
        <v>0</v>
      </c>
      <c r="H39" s="75"/>
      <c r="I39" s="64"/>
      <c r="J39" s="64"/>
      <c r="K39" s="64"/>
      <c r="L39" s="65"/>
      <c r="M39" s="60" t="str">
        <f aca="false">IF(J39="","",SUM(B39:E39))</f>
        <v/>
      </c>
      <c r="N39" s="66" t="str">
        <f aca="false">IF(J39="","",IF(G39&lt;&gt;0,(C39*0.5+F39)/G39,1))</f>
        <v/>
      </c>
      <c r="O39" s="64" t="s">
        <v>364</v>
      </c>
    </row>
    <row r="40" customFormat="false" ht="12.75" hidden="false" customHeight="true" outlineLevel="0" collapsed="false">
      <c r="B40" s="59" t="n">
        <f aca="false">((LEN($L40)-LEN(SUBSTITUTE($L40,CHAR(10)&amp;". ","")))/3)+IF(LEFT(TRIM($L40),2)=". ",1,0)</f>
        <v>0</v>
      </c>
      <c r="C40" s="59" t="n">
        <f aca="false">((LEN($L40)-LEN(SUBSTITUTE($L40,CHAR(10)&amp;"/ ","")))/3)+IF(LEFT(TRIM($L40),2)="/ ",1,0)</f>
        <v>0</v>
      </c>
      <c r="D40" s="59" t="n">
        <f aca="false">((LEN($L40)-LEN(SUBSTITUTE($L40,CHAR(10)&amp;"~ ","")))/3)+IF(LEFT(TRIM($L40),2)="~ ",1,0)</f>
        <v>0</v>
      </c>
      <c r="E40" s="59" t="n">
        <f aca="false">((LEN($L40)-LEN(SUBSTITUTE($L40,CHAR(10)&amp;"! ","")))/3)+IF(LEFT(TRIM($L40),2)="! ",1,0)</f>
        <v>0</v>
      </c>
      <c r="F40" s="59" t="n">
        <f aca="false">((LEN($L40)-LEN(SUBSTITUTE($L40,CHAR(10)&amp;"x ","")))/3)+IF(LEFT(TRIM($L40),2)="x ",1,0)</f>
        <v>0</v>
      </c>
      <c r="G40" s="59" t="n">
        <f aca="false">SUM(B40:F40)</f>
        <v>0</v>
      </c>
      <c r="H40" s="75"/>
      <c r="I40" s="64"/>
      <c r="J40" s="64"/>
      <c r="K40" s="64"/>
      <c r="L40" s="64"/>
      <c r="M40" s="60" t="str">
        <f aca="false">IF(J40="","",SUM(B40:E40))</f>
        <v/>
      </c>
      <c r="N40" s="66" t="str">
        <f aca="false">IF(J40="","",IF(G40&lt;&gt;0,(C40*0.5+F40)/G40,1))</f>
        <v/>
      </c>
      <c r="O40" s="64" t="s">
        <v>364</v>
      </c>
    </row>
    <row r="41" customFormat="false" ht="12.75" hidden="false" customHeight="true" outlineLevel="0" collapsed="false">
      <c r="B41" s="59" t="n">
        <f aca="false">((LEN($L41)-LEN(SUBSTITUTE($L41,CHAR(10)&amp;". ","")))/3)+IF(LEFT(TRIM($L41),2)=". ",1,0)</f>
        <v>0</v>
      </c>
      <c r="C41" s="59" t="n">
        <f aca="false">((LEN($L41)-LEN(SUBSTITUTE($L41,CHAR(10)&amp;"/ ","")))/3)+IF(LEFT(TRIM($L41),2)="/ ",1,0)</f>
        <v>0</v>
      </c>
      <c r="D41" s="59" t="n">
        <f aca="false">((LEN($L41)-LEN(SUBSTITUTE($L41,CHAR(10)&amp;"~ ","")))/3)+IF(LEFT(TRIM($L41),2)="~ ",1,0)</f>
        <v>0</v>
      </c>
      <c r="E41" s="59" t="n">
        <f aca="false">((LEN($L41)-LEN(SUBSTITUTE($L41,CHAR(10)&amp;"! ","")))/3)+IF(LEFT(TRIM($L41),2)="! ",1,0)</f>
        <v>0</v>
      </c>
      <c r="F41" s="59" t="n">
        <f aca="false">((LEN($L41)-LEN(SUBSTITUTE($L41,CHAR(10)&amp;"x ","")))/3)+IF(LEFT(TRIM($L41),2)="x ",1,0)</f>
        <v>0</v>
      </c>
      <c r="G41" s="59" t="n">
        <f aca="false">SUM(B41:F41)</f>
        <v>0</v>
      </c>
      <c r="H41" s="75"/>
      <c r="I41" s="64"/>
      <c r="J41" s="64"/>
      <c r="K41" s="64"/>
      <c r="L41" s="65"/>
      <c r="M41" s="60" t="str">
        <f aca="false">IF(J41="","",SUM(B41:E41))</f>
        <v/>
      </c>
      <c r="N41" s="66" t="str">
        <f aca="false">IF(J41="","",IF(G41&lt;&gt;0,(C41*0.5+F41)/G41,1))</f>
        <v/>
      </c>
      <c r="O41" s="64" t="s">
        <v>364</v>
      </c>
    </row>
    <row r="42" customFormat="false" ht="12.75" hidden="false" customHeight="true" outlineLevel="0" collapsed="false">
      <c r="B42" s="59" t="n">
        <f aca="false">((LEN($L42)-LEN(SUBSTITUTE($L42,CHAR(10)&amp;". ","")))/3)+IF(LEFT(TRIM($L42),2)=". ",1,0)</f>
        <v>0</v>
      </c>
      <c r="C42" s="59" t="n">
        <f aca="false">((LEN($L42)-LEN(SUBSTITUTE($L42,CHAR(10)&amp;"/ ","")))/3)+IF(LEFT(TRIM($L42),2)="/ ",1,0)</f>
        <v>0</v>
      </c>
      <c r="D42" s="59" t="n">
        <f aca="false">((LEN($L42)-LEN(SUBSTITUTE($L42,CHAR(10)&amp;"~ ","")))/3)+IF(LEFT(TRIM($L42),2)="~ ",1,0)</f>
        <v>0</v>
      </c>
      <c r="E42" s="59" t="n">
        <f aca="false">((LEN($L42)-LEN(SUBSTITUTE($L42,CHAR(10)&amp;"! ","")))/3)+IF(LEFT(TRIM($L42),2)="! ",1,0)</f>
        <v>0</v>
      </c>
      <c r="F42" s="59" t="n">
        <f aca="false">((LEN($L42)-LEN(SUBSTITUTE($L42,CHAR(10)&amp;"x ","")))/3)+IF(LEFT(TRIM($L42),2)="x ",1,0)</f>
        <v>0</v>
      </c>
      <c r="G42" s="59" t="n">
        <f aca="false">SUM(B42:F42)</f>
        <v>0</v>
      </c>
      <c r="H42" s="75"/>
      <c r="I42" s="64"/>
      <c r="J42" s="64"/>
      <c r="K42" s="64"/>
      <c r="L42" s="65"/>
      <c r="M42" s="60" t="str">
        <f aca="false">IF(J42="","",SUM(B42:E42))</f>
        <v/>
      </c>
      <c r="N42" s="66" t="str">
        <f aca="false">IF(J42="","",IF(G42&lt;&gt;0,(C42*0.5+F42)/G42,1))</f>
        <v/>
      </c>
      <c r="O42" s="64" t="s">
        <v>364</v>
      </c>
    </row>
    <row r="43" customFormat="false" ht="12.75" hidden="false" customHeight="true" outlineLevel="0" collapsed="false">
      <c r="B43" s="59" t="n">
        <f aca="false">((LEN($L43)-LEN(SUBSTITUTE($L43,CHAR(10)&amp;". ","")))/3)+IF(LEFT(TRIM($L43),2)=". ",1,0)</f>
        <v>0</v>
      </c>
      <c r="C43" s="59" t="n">
        <f aca="false">((LEN($L43)-LEN(SUBSTITUTE($L43,CHAR(10)&amp;"/ ","")))/3)+IF(LEFT(TRIM($L43),2)="/ ",1,0)</f>
        <v>0</v>
      </c>
      <c r="D43" s="59" t="n">
        <f aca="false">((LEN($L43)-LEN(SUBSTITUTE($L43,CHAR(10)&amp;"~ ","")))/3)+IF(LEFT(TRIM($L43),2)="~ ",1,0)</f>
        <v>0</v>
      </c>
      <c r="E43" s="59" t="n">
        <f aca="false">((LEN($L43)-LEN(SUBSTITUTE($L43,CHAR(10)&amp;"! ","")))/3)+IF(LEFT(TRIM($L43),2)="! ",1,0)</f>
        <v>0</v>
      </c>
      <c r="F43" s="59" t="n">
        <f aca="false">((LEN($L43)-LEN(SUBSTITUTE($L43,CHAR(10)&amp;"x ","")))/3)+IF(LEFT(TRIM($L43),2)="x ",1,0)</f>
        <v>0</v>
      </c>
      <c r="G43" s="59" t="n">
        <f aca="false">SUM(B43:F43)</f>
        <v>0</v>
      </c>
      <c r="H43" s="75"/>
      <c r="I43" s="64"/>
      <c r="J43" s="64"/>
      <c r="K43" s="64"/>
      <c r="L43" s="64"/>
      <c r="M43" s="60" t="str">
        <f aca="false">IF(J43="","",SUM(B43:E43))</f>
        <v/>
      </c>
      <c r="N43" s="66" t="str">
        <f aca="false">IF(J43="","",IF(G43&lt;&gt;0,(C43*0.5+F43)/G43,1))</f>
        <v/>
      </c>
      <c r="O43" s="64" t="s">
        <v>364</v>
      </c>
    </row>
    <row r="44" customFormat="false" ht="12.75" hidden="false" customHeight="true" outlineLevel="0" collapsed="false">
      <c r="B44" s="59" t="n">
        <f aca="false">((LEN($L44)-LEN(SUBSTITUTE($L44,CHAR(10)&amp;". ","")))/3)+IF(LEFT(TRIM($L44),2)=". ",1,0)</f>
        <v>0</v>
      </c>
      <c r="C44" s="59" t="n">
        <f aca="false">((LEN($L44)-LEN(SUBSTITUTE($L44,CHAR(10)&amp;"/ ","")))/3)+IF(LEFT(TRIM($L44),2)="/ ",1,0)</f>
        <v>0</v>
      </c>
      <c r="D44" s="59" t="n">
        <f aca="false">((LEN($L44)-LEN(SUBSTITUTE($L44,CHAR(10)&amp;"~ ","")))/3)+IF(LEFT(TRIM($L44),2)="~ ",1,0)</f>
        <v>0</v>
      </c>
      <c r="E44" s="59" t="n">
        <f aca="false">((LEN($L44)-LEN(SUBSTITUTE($L44,CHAR(10)&amp;"! ","")))/3)+IF(LEFT(TRIM($L44),2)="! ",1,0)</f>
        <v>0</v>
      </c>
      <c r="F44" s="59" t="n">
        <f aca="false">((LEN($L44)-LEN(SUBSTITUTE($L44,CHAR(10)&amp;"x ","")))/3)+IF(LEFT(TRIM($L44),2)="x ",1,0)</f>
        <v>0</v>
      </c>
      <c r="G44" s="59" t="n">
        <f aca="false">SUM(B44:F44)</f>
        <v>0</v>
      </c>
      <c r="H44" s="75"/>
      <c r="I44" s="64"/>
      <c r="J44" s="64"/>
      <c r="K44" s="64"/>
      <c r="L44" s="65"/>
      <c r="M44" s="60" t="str">
        <f aca="false">IF(J44="","",SUM(B44:E44))</f>
        <v/>
      </c>
      <c r="N44" s="66" t="str">
        <f aca="false">IF(J44="","",IF(G44&lt;&gt;0,(C44*0.5+F44)/G44,1))</f>
        <v/>
      </c>
      <c r="O44" s="64" t="s">
        <v>364</v>
      </c>
    </row>
    <row r="45" customFormat="false" ht="12.75" hidden="false" customHeight="true" outlineLevel="0" collapsed="false">
      <c r="B45" s="59" t="n">
        <f aca="false">((LEN($L45)-LEN(SUBSTITUTE($L45,CHAR(10)&amp;". ","")))/3)+IF(LEFT(TRIM($L45),2)=". ",1,0)</f>
        <v>0</v>
      </c>
      <c r="C45" s="59" t="n">
        <f aca="false">((LEN($L45)-LEN(SUBSTITUTE($L45,CHAR(10)&amp;"/ ","")))/3)+IF(LEFT(TRIM($L45),2)="/ ",1,0)</f>
        <v>0</v>
      </c>
      <c r="D45" s="59" t="n">
        <f aca="false">((LEN($L45)-LEN(SUBSTITUTE($L45,CHAR(10)&amp;"~ ","")))/3)+IF(LEFT(TRIM($L45),2)="~ ",1,0)</f>
        <v>0</v>
      </c>
      <c r="E45" s="59" t="n">
        <f aca="false">((LEN($L45)-LEN(SUBSTITUTE($L45,CHAR(10)&amp;"! ","")))/3)+IF(LEFT(TRIM($L45),2)="! ",1,0)</f>
        <v>0</v>
      </c>
      <c r="F45" s="59" t="n">
        <f aca="false">((LEN($L45)-LEN(SUBSTITUTE($L45,CHAR(10)&amp;"x ","")))/3)+IF(LEFT(TRIM($L45),2)="x ",1,0)</f>
        <v>0</v>
      </c>
      <c r="G45" s="59" t="n">
        <f aca="false">SUM(B45:F45)</f>
        <v>0</v>
      </c>
      <c r="H45" s="75"/>
      <c r="I45" s="64"/>
      <c r="J45" s="64"/>
      <c r="K45" s="64"/>
      <c r="L45" s="65"/>
      <c r="M45" s="60" t="str">
        <f aca="false">IF(J45="","",SUM(B45:E45))</f>
        <v/>
      </c>
      <c r="N45" s="66" t="str">
        <f aca="false">IF(J45="","",IF(G45&lt;&gt;0,(C45*0.5+F45)/G45,1))</f>
        <v/>
      </c>
      <c r="O45" s="64" t="s">
        <v>364</v>
      </c>
    </row>
    <row r="46" customFormat="false" ht="12.75" hidden="false" customHeight="true" outlineLevel="0" collapsed="false">
      <c r="B46" s="59" t="n">
        <f aca="false">((LEN($L46)-LEN(SUBSTITUTE($L46,CHAR(10)&amp;". ","")))/3)+IF(LEFT(TRIM($L46),2)=". ",1,0)</f>
        <v>0</v>
      </c>
      <c r="C46" s="59" t="n">
        <f aca="false">((LEN($L46)-LEN(SUBSTITUTE($L46,CHAR(10)&amp;"/ ","")))/3)+IF(LEFT(TRIM($L46),2)="/ ",1,0)</f>
        <v>0</v>
      </c>
      <c r="D46" s="59" t="n">
        <f aca="false">((LEN($L46)-LEN(SUBSTITUTE($L46,CHAR(10)&amp;"~ ","")))/3)+IF(LEFT(TRIM($L46),2)="~ ",1,0)</f>
        <v>0</v>
      </c>
      <c r="E46" s="59" t="n">
        <f aca="false">((LEN($L46)-LEN(SUBSTITUTE($L46,CHAR(10)&amp;"! ","")))/3)+IF(LEFT(TRIM($L46),2)="! ",1,0)</f>
        <v>0</v>
      </c>
      <c r="F46" s="59" t="n">
        <f aca="false">((LEN($L46)-LEN(SUBSTITUTE($L46,CHAR(10)&amp;"x ","")))/3)+IF(LEFT(TRIM($L46),2)="x ",1,0)</f>
        <v>0</v>
      </c>
      <c r="G46" s="59" t="n">
        <f aca="false">SUM(B46:F46)</f>
        <v>0</v>
      </c>
      <c r="H46" s="75"/>
      <c r="I46" s="64"/>
      <c r="J46" s="64"/>
      <c r="K46" s="64"/>
      <c r="L46" s="64"/>
      <c r="M46" s="60" t="str">
        <f aca="false">IF(J46="","",SUM(B46:E46))</f>
        <v/>
      </c>
      <c r="N46" s="66" t="str">
        <f aca="false">IF(J46="","",IF(G46&lt;&gt;0,(C46*0.5+F46)/G46,1))</f>
        <v/>
      </c>
      <c r="O46" s="64" t="s">
        <v>364</v>
      </c>
    </row>
    <row r="47" customFormat="false" ht="12.75" hidden="false" customHeight="true" outlineLevel="0" collapsed="false">
      <c r="B47" s="59" t="n">
        <f aca="false">((LEN($L47)-LEN(SUBSTITUTE($L47,CHAR(10)&amp;". ","")))/3)+IF(LEFT(TRIM($L47),2)=". ",1,0)</f>
        <v>0</v>
      </c>
      <c r="C47" s="59" t="n">
        <f aca="false">((LEN($L47)-LEN(SUBSTITUTE($L47,CHAR(10)&amp;"/ ","")))/3)+IF(LEFT(TRIM($L47),2)="/ ",1,0)</f>
        <v>0</v>
      </c>
      <c r="D47" s="59" t="n">
        <f aca="false">((LEN($L47)-LEN(SUBSTITUTE($L47,CHAR(10)&amp;"~ ","")))/3)+IF(LEFT(TRIM($L47),2)="~ ",1,0)</f>
        <v>0</v>
      </c>
      <c r="E47" s="59" t="n">
        <f aca="false">((LEN($L47)-LEN(SUBSTITUTE($L47,CHAR(10)&amp;"! ","")))/3)+IF(LEFT(TRIM($L47),2)="! ",1,0)</f>
        <v>0</v>
      </c>
      <c r="F47" s="59" t="n">
        <f aca="false">((LEN($L47)-LEN(SUBSTITUTE($L47,CHAR(10)&amp;"x ","")))/3)+IF(LEFT(TRIM($L47),2)="x ",1,0)</f>
        <v>0</v>
      </c>
      <c r="G47" s="59" t="n">
        <f aca="false">SUM(B47:F47)</f>
        <v>0</v>
      </c>
      <c r="H47" s="75"/>
      <c r="I47" s="64"/>
      <c r="J47" s="64"/>
      <c r="K47" s="64"/>
      <c r="L47" s="65"/>
      <c r="M47" s="60" t="str">
        <f aca="false">IF(J47="","",SUM(B47:E47))</f>
        <v/>
      </c>
      <c r="N47" s="66" t="str">
        <f aca="false">IF(J47="","",IF(G47&lt;&gt;0,(C47*0.5+F47)/G47,1))</f>
        <v/>
      </c>
      <c r="O47" s="64" t="s">
        <v>364</v>
      </c>
    </row>
    <row r="48" customFormat="false" ht="12.75" hidden="false" customHeight="true" outlineLevel="0" collapsed="false">
      <c r="B48" s="59" t="n">
        <f aca="false">((LEN($L48)-LEN(SUBSTITUTE($L48,CHAR(10)&amp;". ","")))/3)+IF(LEFT(TRIM($L48),2)=". ",1,0)</f>
        <v>0</v>
      </c>
      <c r="C48" s="59" t="n">
        <f aca="false">((LEN($L48)-LEN(SUBSTITUTE($L48,CHAR(10)&amp;"/ ","")))/3)+IF(LEFT(TRIM($L48),2)="/ ",1,0)</f>
        <v>0</v>
      </c>
      <c r="D48" s="59" t="n">
        <f aca="false">((LEN($L48)-LEN(SUBSTITUTE($L48,CHAR(10)&amp;"~ ","")))/3)+IF(LEFT(TRIM($L48),2)="~ ",1,0)</f>
        <v>0</v>
      </c>
      <c r="E48" s="59" t="n">
        <f aca="false">((LEN($L48)-LEN(SUBSTITUTE($L48,CHAR(10)&amp;"! ","")))/3)+IF(LEFT(TRIM($L48),2)="! ",1,0)</f>
        <v>0</v>
      </c>
      <c r="F48" s="59" t="n">
        <f aca="false">((LEN($L48)-LEN(SUBSTITUTE($L48,CHAR(10)&amp;"x ","")))/3)+IF(LEFT(TRIM($L48),2)="x ",1,0)</f>
        <v>0</v>
      </c>
      <c r="G48" s="59" t="n">
        <f aca="false">SUM(B48:F48)</f>
        <v>0</v>
      </c>
      <c r="H48" s="75"/>
      <c r="I48" s="64"/>
      <c r="J48" s="64"/>
      <c r="K48" s="64"/>
      <c r="L48" s="65"/>
      <c r="M48" s="60" t="str">
        <f aca="false">IF(J48="","",SUM(B48:E48))</f>
        <v/>
      </c>
      <c r="N48" s="66" t="str">
        <f aca="false">IF(J48="","",IF(G48&lt;&gt;0,(C48*0.5+F48)/G48,1))</f>
        <v/>
      </c>
      <c r="O48" s="64" t="s">
        <v>364</v>
      </c>
    </row>
    <row r="49" customFormat="false" ht="12.75" hidden="false" customHeight="true" outlineLevel="0" collapsed="false">
      <c r="B49" s="59" t="n">
        <f aca="false">((LEN($L49)-LEN(SUBSTITUTE($L49,CHAR(10)&amp;". ","")))/3)+IF(LEFT(TRIM($L49),2)=". ",1,0)</f>
        <v>0</v>
      </c>
      <c r="C49" s="59" t="n">
        <f aca="false">((LEN($L49)-LEN(SUBSTITUTE($L49,CHAR(10)&amp;"/ ","")))/3)+IF(LEFT(TRIM($L49),2)="/ ",1,0)</f>
        <v>0</v>
      </c>
      <c r="D49" s="59" t="n">
        <f aca="false">((LEN($L49)-LEN(SUBSTITUTE($L49,CHAR(10)&amp;"~ ","")))/3)+IF(LEFT(TRIM($L49),2)="~ ",1,0)</f>
        <v>0</v>
      </c>
      <c r="E49" s="59" t="n">
        <f aca="false">((LEN($L49)-LEN(SUBSTITUTE($L49,CHAR(10)&amp;"! ","")))/3)+IF(LEFT(TRIM($L49),2)="! ",1,0)</f>
        <v>0</v>
      </c>
      <c r="F49" s="59" t="n">
        <f aca="false">((LEN($L49)-LEN(SUBSTITUTE($L49,CHAR(10)&amp;"x ","")))/3)+IF(LEFT(TRIM($L49),2)="x ",1,0)</f>
        <v>0</v>
      </c>
      <c r="G49" s="59" t="n">
        <f aca="false">SUM(B49:F49)</f>
        <v>0</v>
      </c>
      <c r="H49" s="75"/>
      <c r="I49" s="64"/>
      <c r="J49" s="64"/>
      <c r="K49" s="64"/>
      <c r="L49" s="64"/>
      <c r="M49" s="60" t="str">
        <f aca="false">IF(J49="","",SUM(B49:E49))</f>
        <v/>
      </c>
      <c r="N49" s="66" t="str">
        <f aca="false">IF(J49="","",IF(G49&lt;&gt;0,(C49*0.5+F49)/G49,1))</f>
        <v/>
      </c>
      <c r="O49" s="64" t="s">
        <v>364</v>
      </c>
    </row>
    <row r="50" customFormat="false" ht="12.75" hidden="false" customHeight="true" outlineLevel="0" collapsed="false">
      <c r="B50" s="59" t="n">
        <f aca="false">((LEN($L50)-LEN(SUBSTITUTE($L50,CHAR(10)&amp;". ","")))/3)+IF(LEFT(TRIM($L50),2)=". ",1,0)</f>
        <v>0</v>
      </c>
      <c r="C50" s="59" t="n">
        <f aca="false">((LEN($L50)-LEN(SUBSTITUTE($L50,CHAR(10)&amp;"/ ","")))/3)+IF(LEFT(TRIM($L50),2)="/ ",1,0)</f>
        <v>0</v>
      </c>
      <c r="D50" s="59" t="n">
        <f aca="false">((LEN($L50)-LEN(SUBSTITUTE($L50,CHAR(10)&amp;"~ ","")))/3)+IF(LEFT(TRIM($L50),2)="~ ",1,0)</f>
        <v>0</v>
      </c>
      <c r="E50" s="59" t="n">
        <f aca="false">((LEN($L50)-LEN(SUBSTITUTE($L50,CHAR(10)&amp;"! ","")))/3)+IF(LEFT(TRIM($L50),2)="! ",1,0)</f>
        <v>0</v>
      </c>
      <c r="F50" s="59" t="n">
        <f aca="false">((LEN($L50)-LEN(SUBSTITUTE($L50,CHAR(10)&amp;"x ","")))/3)+IF(LEFT(TRIM($L50),2)="x ",1,0)</f>
        <v>0</v>
      </c>
      <c r="G50" s="59" t="n">
        <f aca="false">SUM(B50:F50)</f>
        <v>0</v>
      </c>
      <c r="H50" s="75"/>
      <c r="I50" s="64"/>
      <c r="J50" s="64"/>
      <c r="K50" s="64"/>
      <c r="L50" s="65"/>
      <c r="M50" s="60" t="str">
        <f aca="false">IF(J50="","",SUM(B50:E50))</f>
        <v/>
      </c>
      <c r="N50" s="66" t="str">
        <f aca="false">IF(J50="","",IF(G50&lt;&gt;0,(C50*0.5+F50)/G50,1))</f>
        <v/>
      </c>
      <c r="O50" s="64" t="s">
        <v>364</v>
      </c>
    </row>
    <row r="51" customFormat="false" ht="12.75" hidden="false" customHeight="true" outlineLevel="0" collapsed="false">
      <c r="B51" s="59" t="n">
        <f aca="false">((LEN($L51)-LEN(SUBSTITUTE($L51,CHAR(10)&amp;". ","")))/3)+IF(LEFT(TRIM($L51),2)=". ",1,0)</f>
        <v>0</v>
      </c>
      <c r="C51" s="59" t="n">
        <f aca="false">((LEN($L51)-LEN(SUBSTITUTE($L51,CHAR(10)&amp;"/ ","")))/3)+IF(LEFT(TRIM($L51),2)="/ ",1,0)</f>
        <v>0</v>
      </c>
      <c r="D51" s="59" t="n">
        <f aca="false">((LEN($L51)-LEN(SUBSTITUTE($L51,CHAR(10)&amp;"~ ","")))/3)+IF(LEFT(TRIM($L51),2)="~ ",1,0)</f>
        <v>0</v>
      </c>
      <c r="E51" s="59" t="n">
        <f aca="false">((LEN($L51)-LEN(SUBSTITUTE($L51,CHAR(10)&amp;"! ","")))/3)+IF(LEFT(TRIM($L51),2)="! ",1,0)</f>
        <v>0</v>
      </c>
      <c r="F51" s="59" t="n">
        <f aca="false">((LEN($L51)-LEN(SUBSTITUTE($L51,CHAR(10)&amp;"x ","")))/3)+IF(LEFT(TRIM($L51),2)="x ",1,0)</f>
        <v>0</v>
      </c>
      <c r="G51" s="59" t="n">
        <f aca="false">SUM(B51:F51)</f>
        <v>0</v>
      </c>
      <c r="H51" s="75"/>
      <c r="I51" s="64"/>
      <c r="J51" s="64"/>
      <c r="K51" s="64"/>
      <c r="L51" s="65"/>
      <c r="M51" s="60" t="str">
        <f aca="false">IF(J51="","",SUM(B51:E51))</f>
        <v/>
      </c>
      <c r="N51" s="66" t="str">
        <f aca="false">IF(J51="","",IF(G51&lt;&gt;0,(C51*0.5+F51)/G51,1))</f>
        <v/>
      </c>
      <c r="O51" s="64" t="s">
        <v>364</v>
      </c>
    </row>
    <row r="52" customFormat="false" ht="12.75" hidden="false" customHeight="true" outlineLevel="0" collapsed="false">
      <c r="A52" s="54"/>
      <c r="B52" s="59" t="n">
        <f aca="false">((LEN($L52)-LEN(SUBSTITUTE($L52,CHAR(10)&amp;". ","")))/3)+IF(LEFT(TRIM($L52),2)=". ",1,0)</f>
        <v>0</v>
      </c>
      <c r="C52" s="59" t="n">
        <f aca="false">((LEN($L52)-LEN(SUBSTITUTE($L52,CHAR(10)&amp;"/ ","")))/3)+IF(LEFT(TRIM($L52),2)="/ ",1,0)</f>
        <v>0</v>
      </c>
      <c r="D52" s="59" t="n">
        <f aca="false">((LEN($L52)-LEN(SUBSTITUTE($L52,CHAR(10)&amp;"~ ","")))/3)+IF(LEFT(TRIM($L52),2)="~ ",1,0)</f>
        <v>0</v>
      </c>
      <c r="E52" s="59" t="n">
        <f aca="false">((LEN($L52)-LEN(SUBSTITUTE($L52,CHAR(10)&amp;"! ","")))/3)+IF(LEFT(TRIM($L52),2)="! ",1,0)</f>
        <v>0</v>
      </c>
      <c r="F52" s="59" t="n">
        <f aca="false">((LEN($L52)-LEN(SUBSTITUTE($L52,CHAR(10)&amp;"x ","")))/3)+IF(LEFT(TRIM($L52),2)="x ",1,0)</f>
        <v>0</v>
      </c>
      <c r="G52" s="59" t="n">
        <f aca="false">SUM(B52:F52)</f>
        <v>0</v>
      </c>
      <c r="H52" s="75"/>
      <c r="I52" s="64"/>
      <c r="J52" s="64"/>
      <c r="K52" s="64"/>
      <c r="L52" s="65"/>
      <c r="M52" s="60" t="str">
        <f aca="false">IF(J52="","",SUM(B52:E52))</f>
        <v/>
      </c>
      <c r="N52" s="66" t="str">
        <f aca="false">IF(J52="","",IF(G52&lt;&gt;0,(C52*0.5+F52)/G52,1))</f>
        <v/>
      </c>
      <c r="O52" s="64" t="s">
        <v>364</v>
      </c>
    </row>
    <row r="53" customFormat="false" ht="12.75" hidden="false" customHeight="true" outlineLevel="0" collapsed="false">
      <c r="A53" s="54"/>
      <c r="B53" s="59" t="n">
        <f aca="false">((LEN($L53)-LEN(SUBSTITUTE($L53,CHAR(10)&amp;". ","")))/3)+IF(LEFT(TRIM($L53),2)=". ",1,0)</f>
        <v>0</v>
      </c>
      <c r="C53" s="59" t="n">
        <f aca="false">((LEN($L53)-LEN(SUBSTITUTE($L53,CHAR(10)&amp;"/ ","")))/3)+IF(LEFT(TRIM($L53),2)="/ ",1,0)</f>
        <v>0</v>
      </c>
      <c r="D53" s="59" t="n">
        <f aca="false">((LEN($L53)-LEN(SUBSTITUTE($L53,CHAR(10)&amp;"~ ","")))/3)+IF(LEFT(TRIM($L53),2)="~ ",1,0)</f>
        <v>0</v>
      </c>
      <c r="E53" s="59" t="n">
        <f aca="false">((LEN($L53)-LEN(SUBSTITUTE($L53,CHAR(10)&amp;"! ","")))/3)+IF(LEFT(TRIM($L53),2)="! ",1,0)</f>
        <v>0</v>
      </c>
      <c r="F53" s="59" t="n">
        <f aca="false">((LEN($L53)-LEN(SUBSTITUTE($L53,CHAR(10)&amp;"x ","")))/3)+IF(LEFT(TRIM($L53),2)="x ",1,0)</f>
        <v>0</v>
      </c>
      <c r="G53" s="59" t="n">
        <f aca="false">SUM(B53:F53)</f>
        <v>0</v>
      </c>
      <c r="H53" s="75"/>
      <c r="I53" s="64"/>
      <c r="J53" s="64"/>
      <c r="K53" s="64"/>
      <c r="L53" s="65"/>
      <c r="M53" s="60" t="str">
        <f aca="false">IF(J53="","",SUM(B53:E53))</f>
        <v/>
      </c>
      <c r="N53" s="66" t="str">
        <f aca="false">IF(J53="","",IF(G53&lt;&gt;0,(C53*0.5+F53)/G53,1))</f>
        <v/>
      </c>
      <c r="O53" s="64" t="s">
        <v>364</v>
      </c>
    </row>
    <row r="54" customFormat="false" ht="12.75" hidden="false" customHeight="true" outlineLevel="0" collapsed="false">
      <c r="A54" s="54"/>
      <c r="B54" s="59" t="n">
        <f aca="false">((LEN($L54)-LEN(SUBSTITUTE($L54,CHAR(10)&amp;". ","")))/3)+IF(LEFT(TRIM($L54),2)=". ",1,0)</f>
        <v>0</v>
      </c>
      <c r="C54" s="59" t="n">
        <f aca="false">((LEN($L54)-LEN(SUBSTITUTE($L54,CHAR(10)&amp;"/ ","")))/3)+IF(LEFT(TRIM($L54),2)="/ ",1,0)</f>
        <v>0</v>
      </c>
      <c r="D54" s="59" t="n">
        <f aca="false">((LEN($L54)-LEN(SUBSTITUTE($L54,CHAR(10)&amp;"~ ","")))/3)+IF(LEFT(TRIM($L54),2)="~ ",1,0)</f>
        <v>0</v>
      </c>
      <c r="E54" s="59" t="n">
        <f aca="false">((LEN($L54)-LEN(SUBSTITUTE($L54,CHAR(10)&amp;"! ","")))/3)+IF(LEFT(TRIM($L54),2)="! ",1,0)</f>
        <v>0</v>
      </c>
      <c r="F54" s="59" t="n">
        <f aca="false">((LEN($L54)-LEN(SUBSTITUTE($L54,CHAR(10)&amp;"x ","")))/3)+IF(LEFT(TRIM($L54),2)="x ",1,0)</f>
        <v>0</v>
      </c>
      <c r="G54" s="59" t="n">
        <f aca="false">SUM(B54:F54)</f>
        <v>0</v>
      </c>
      <c r="H54" s="75"/>
      <c r="I54" s="64"/>
      <c r="J54" s="64"/>
      <c r="K54" s="64"/>
      <c r="L54" s="65"/>
      <c r="M54" s="60" t="str">
        <f aca="false">IF(J54="","",SUM(B54:E54))</f>
        <v/>
      </c>
      <c r="N54" s="66" t="str">
        <f aca="false">IF(J54="","",IF(G54&lt;&gt;0,(C54*0.5+F54)/G54,1))</f>
        <v/>
      </c>
      <c r="O54" s="64" t="s">
        <v>364</v>
      </c>
    </row>
    <row r="55" customFormat="false" ht="12.75" hidden="false" customHeight="true" outlineLevel="0" collapsed="false">
      <c r="A55" s="54"/>
      <c r="B55" s="59" t="n">
        <f aca="false">((LEN($L55)-LEN(SUBSTITUTE($L55,CHAR(10)&amp;". ","")))/3)+IF(LEFT(TRIM($L55),2)=". ",1,0)</f>
        <v>0</v>
      </c>
      <c r="C55" s="59" t="n">
        <f aca="false">((LEN($L55)-LEN(SUBSTITUTE($L55,CHAR(10)&amp;"/ ","")))/3)+IF(LEFT(TRIM($L55),2)="/ ",1,0)</f>
        <v>0</v>
      </c>
      <c r="D55" s="59" t="n">
        <f aca="false">((LEN($L55)-LEN(SUBSTITUTE($L55,CHAR(10)&amp;"~ ","")))/3)+IF(LEFT(TRIM($L55),2)="~ ",1,0)</f>
        <v>0</v>
      </c>
      <c r="E55" s="59" t="n">
        <f aca="false">((LEN($L55)-LEN(SUBSTITUTE($L55,CHAR(10)&amp;"! ","")))/3)+IF(LEFT(TRIM($L55),2)="! ",1,0)</f>
        <v>0</v>
      </c>
      <c r="F55" s="59" t="n">
        <f aca="false">((LEN($L55)-LEN(SUBSTITUTE($L55,CHAR(10)&amp;"x ","")))/3)+IF(LEFT(TRIM($L55),2)="x ",1,0)</f>
        <v>0</v>
      </c>
      <c r="G55" s="59" t="n">
        <f aca="false">SUM(B55:F55)</f>
        <v>0</v>
      </c>
      <c r="H55" s="75"/>
      <c r="I55" s="64"/>
      <c r="J55" s="64"/>
      <c r="K55" s="64"/>
      <c r="L55" s="65"/>
      <c r="M55" s="60" t="str">
        <f aca="false">IF(J55="","",SUM(B55:E55))</f>
        <v/>
      </c>
      <c r="N55" s="66" t="str">
        <f aca="false">IF(J55="","",IF(G55&lt;&gt;0,(C55*0.5+F55)/G55,1))</f>
        <v/>
      </c>
      <c r="O55" s="64" t="s">
        <v>364</v>
      </c>
    </row>
    <row r="56" customFormat="false" ht="12.75" hidden="false" customHeight="true" outlineLevel="0" collapsed="false">
      <c r="A56" s="54"/>
      <c r="B56" s="59" t="n">
        <f aca="false">((LEN($L56)-LEN(SUBSTITUTE($L56,CHAR(10)&amp;". ","")))/3)+IF(LEFT(TRIM($L56),2)=". ",1,0)</f>
        <v>0</v>
      </c>
      <c r="C56" s="59" t="n">
        <f aca="false">((LEN($L56)-LEN(SUBSTITUTE($L56,CHAR(10)&amp;"/ ","")))/3)+IF(LEFT(TRIM($L56),2)="/ ",1,0)</f>
        <v>0</v>
      </c>
      <c r="D56" s="59" t="n">
        <f aca="false">((LEN($L56)-LEN(SUBSTITUTE($L56,CHAR(10)&amp;"~ ","")))/3)+IF(LEFT(TRIM($L56),2)="~ ",1,0)</f>
        <v>0</v>
      </c>
      <c r="E56" s="59" t="n">
        <f aca="false">((LEN($L56)-LEN(SUBSTITUTE($L56,CHAR(10)&amp;"! ","")))/3)+IF(LEFT(TRIM($L56),2)="! ",1,0)</f>
        <v>0</v>
      </c>
      <c r="F56" s="59" t="n">
        <f aca="false">((LEN($L56)-LEN(SUBSTITUTE($L56,CHAR(10)&amp;"x ","")))/3)+IF(LEFT(TRIM($L56),2)="x ",1,0)</f>
        <v>0</v>
      </c>
      <c r="G56" s="59" t="n">
        <f aca="false">SUM(B56:F56)</f>
        <v>0</v>
      </c>
      <c r="H56" s="75"/>
      <c r="I56" s="64"/>
      <c r="J56" s="64"/>
      <c r="K56" s="64"/>
      <c r="L56" s="65"/>
      <c r="M56" s="60" t="str">
        <f aca="false">IF(J56="","",SUM(B56:E56))</f>
        <v/>
      </c>
      <c r="N56" s="66" t="str">
        <f aca="false">IF(J56="","",IF(G56&lt;&gt;0,(C56*0.5+F56)/G56,1))</f>
        <v/>
      </c>
      <c r="O56" s="64" t="s">
        <v>364</v>
      </c>
    </row>
    <row r="57" customFormat="false" ht="12.75" hidden="false" customHeight="true" outlineLevel="0" collapsed="false">
      <c r="A57" s="54"/>
      <c r="B57" s="59" t="n">
        <f aca="false">((LEN($L57)-LEN(SUBSTITUTE($L57,CHAR(10)&amp;". ","")))/3)+IF(LEFT(TRIM($L57),2)=". ",1,0)</f>
        <v>0</v>
      </c>
      <c r="C57" s="59" t="n">
        <f aca="false">((LEN($L57)-LEN(SUBSTITUTE($L57,CHAR(10)&amp;"/ ","")))/3)+IF(LEFT(TRIM($L57),2)="/ ",1,0)</f>
        <v>0</v>
      </c>
      <c r="D57" s="59" t="n">
        <f aca="false">((LEN($L57)-LEN(SUBSTITUTE($L57,CHAR(10)&amp;"~ ","")))/3)+IF(LEFT(TRIM($L57),2)="~ ",1,0)</f>
        <v>0</v>
      </c>
      <c r="E57" s="59" t="n">
        <f aca="false">((LEN($L57)-LEN(SUBSTITUTE($L57,CHAR(10)&amp;"! ","")))/3)+IF(LEFT(TRIM($L57),2)="! ",1,0)</f>
        <v>0</v>
      </c>
      <c r="F57" s="59" t="n">
        <f aca="false">((LEN($L57)-LEN(SUBSTITUTE($L57,CHAR(10)&amp;"x ","")))/3)+IF(LEFT(TRIM($L57),2)="x ",1,0)</f>
        <v>0</v>
      </c>
      <c r="G57" s="59" t="n">
        <f aca="false">SUM(B57:F57)</f>
        <v>0</v>
      </c>
      <c r="H57" s="75"/>
      <c r="I57" s="64"/>
      <c r="J57" s="64"/>
      <c r="K57" s="64"/>
      <c r="L57" s="65"/>
      <c r="M57" s="60" t="str">
        <f aca="false">IF(J57="","",SUM(B57:E57))</f>
        <v/>
      </c>
      <c r="N57" s="66" t="str">
        <f aca="false">IF(J57="","",IF(G57&lt;&gt;0,(C57*0.5+F57)/G57,1))</f>
        <v/>
      </c>
      <c r="O57" s="64" t="s">
        <v>364</v>
      </c>
    </row>
    <row r="58" customFormat="false" ht="12.75" hidden="false" customHeight="true" outlineLevel="0" collapsed="false">
      <c r="A58" s="54"/>
      <c r="B58" s="59" t="n">
        <f aca="false">((LEN($L58)-LEN(SUBSTITUTE($L58,CHAR(10)&amp;". ","")))/3)+IF(LEFT(TRIM($L58),2)=". ",1,0)</f>
        <v>0</v>
      </c>
      <c r="C58" s="59" t="n">
        <f aca="false">((LEN($L58)-LEN(SUBSTITUTE($L58,CHAR(10)&amp;"/ ","")))/3)+IF(LEFT(TRIM($L58),2)="/ ",1,0)</f>
        <v>0</v>
      </c>
      <c r="D58" s="59" t="n">
        <f aca="false">((LEN($L58)-LEN(SUBSTITUTE($L58,CHAR(10)&amp;"~ ","")))/3)+IF(LEFT(TRIM($L58),2)="~ ",1,0)</f>
        <v>0</v>
      </c>
      <c r="E58" s="59" t="n">
        <f aca="false">((LEN($L58)-LEN(SUBSTITUTE($L58,CHAR(10)&amp;"! ","")))/3)+IF(LEFT(TRIM($L58),2)="! ",1,0)</f>
        <v>0</v>
      </c>
      <c r="F58" s="59" t="n">
        <f aca="false">((LEN($L58)-LEN(SUBSTITUTE($L58,CHAR(10)&amp;"x ","")))/3)+IF(LEFT(TRIM($L58),2)="x ",1,0)</f>
        <v>0</v>
      </c>
      <c r="G58" s="59" t="n">
        <f aca="false">SUM(B58:F58)</f>
        <v>0</v>
      </c>
      <c r="H58" s="75"/>
      <c r="I58" s="64"/>
      <c r="J58" s="64"/>
      <c r="K58" s="64"/>
      <c r="L58" s="65"/>
      <c r="M58" s="60" t="str">
        <f aca="false">IF(J58="","",SUM(B58:E58))</f>
        <v/>
      </c>
      <c r="N58" s="66" t="str">
        <f aca="false">IF(J58="","",IF(G58&lt;&gt;0,(C58*0.5+F58)/G58,1))</f>
        <v/>
      </c>
      <c r="O58" s="64" t="s">
        <v>364</v>
      </c>
    </row>
    <row r="59" customFormat="false" ht="12.75" hidden="false" customHeight="true" outlineLevel="0" collapsed="false">
      <c r="A59" s="54"/>
      <c r="B59" s="59" t="n">
        <f aca="false">((LEN($L59)-LEN(SUBSTITUTE($L59,CHAR(10)&amp;". ","")))/3)+IF(LEFT(TRIM($L59),2)=". ",1,0)</f>
        <v>0</v>
      </c>
      <c r="C59" s="59" t="n">
        <f aca="false">((LEN($L59)-LEN(SUBSTITUTE($L59,CHAR(10)&amp;"/ ","")))/3)+IF(LEFT(TRIM($L59),2)="/ ",1,0)</f>
        <v>0</v>
      </c>
      <c r="D59" s="59" t="n">
        <f aca="false">((LEN($L59)-LEN(SUBSTITUTE($L59,CHAR(10)&amp;"~ ","")))/3)+IF(LEFT(TRIM($L59),2)="~ ",1,0)</f>
        <v>0</v>
      </c>
      <c r="E59" s="59" t="n">
        <f aca="false">((LEN($L59)-LEN(SUBSTITUTE($L59,CHAR(10)&amp;"! ","")))/3)+IF(LEFT(TRIM($L59),2)="! ",1,0)</f>
        <v>0</v>
      </c>
      <c r="F59" s="59" t="n">
        <f aca="false">((LEN($L59)-LEN(SUBSTITUTE($L59,CHAR(10)&amp;"x ","")))/3)+IF(LEFT(TRIM($L59),2)="x ",1,0)</f>
        <v>0</v>
      </c>
      <c r="G59" s="59" t="n">
        <f aca="false">SUM(B59:F59)</f>
        <v>0</v>
      </c>
      <c r="H59" s="75"/>
      <c r="I59" s="64"/>
      <c r="J59" s="64"/>
      <c r="K59" s="64"/>
      <c r="L59" s="65"/>
      <c r="M59" s="60" t="str">
        <f aca="false">IF(J59="","",SUM(B59:E59))</f>
        <v/>
      </c>
      <c r="N59" s="66" t="str">
        <f aca="false">IF(J59="","",IF(G59&lt;&gt;0,(C59*0.5+F59)/G59,1))</f>
        <v/>
      </c>
      <c r="O59" s="64" t="s">
        <v>364</v>
      </c>
    </row>
    <row r="60" customFormat="false" ht="12.75" hidden="false" customHeight="true" outlineLevel="0" collapsed="false">
      <c r="A60" s="54"/>
      <c r="B60" s="59" t="n">
        <f aca="false">((LEN($L60)-LEN(SUBSTITUTE($L60,CHAR(10)&amp;". ","")))/3)+IF(LEFT(TRIM($L60),2)=". ",1,0)</f>
        <v>0</v>
      </c>
      <c r="C60" s="59" t="n">
        <f aca="false">((LEN($L60)-LEN(SUBSTITUTE($L60,CHAR(10)&amp;"/ ","")))/3)+IF(LEFT(TRIM($L60),2)="/ ",1,0)</f>
        <v>0</v>
      </c>
      <c r="D60" s="59" t="n">
        <f aca="false">((LEN($L60)-LEN(SUBSTITUTE($L60,CHAR(10)&amp;"~ ","")))/3)+IF(LEFT(TRIM($L60),2)="~ ",1,0)</f>
        <v>0</v>
      </c>
      <c r="E60" s="59" t="n">
        <f aca="false">((LEN($L60)-LEN(SUBSTITUTE($L60,CHAR(10)&amp;"! ","")))/3)+IF(LEFT(TRIM($L60),2)="! ",1,0)</f>
        <v>0</v>
      </c>
      <c r="F60" s="59" t="n">
        <f aca="false">((LEN($L60)-LEN(SUBSTITUTE($L60,CHAR(10)&amp;"x ","")))/3)+IF(LEFT(TRIM($L60),2)="x ",1,0)</f>
        <v>0</v>
      </c>
      <c r="G60" s="59" t="n">
        <f aca="false">SUM(B60:F60)</f>
        <v>0</v>
      </c>
      <c r="H60" s="75"/>
      <c r="I60" s="64"/>
      <c r="J60" s="64"/>
      <c r="K60" s="64"/>
      <c r="L60" s="65"/>
      <c r="M60" s="60" t="str">
        <f aca="false">IF(J60="","",SUM(B60:E60))</f>
        <v/>
      </c>
      <c r="N60" s="66" t="str">
        <f aca="false">IF(J60="","",IF(G60&lt;&gt;0,(C60*0.5+F60)/G60,1))</f>
        <v/>
      </c>
      <c r="O60" s="64" t="s">
        <v>364</v>
      </c>
    </row>
    <row r="61" customFormat="false" ht="12.75" hidden="false" customHeight="true" outlineLevel="0" collapsed="false">
      <c r="A61" s="54"/>
      <c r="B61" s="59" t="n">
        <f aca="false">((LEN($L61)-LEN(SUBSTITUTE($L61,CHAR(10)&amp;". ","")))/3)+IF(LEFT(TRIM($L61),2)=". ",1,0)</f>
        <v>0</v>
      </c>
      <c r="C61" s="59" t="n">
        <f aca="false">((LEN($L61)-LEN(SUBSTITUTE($L61,CHAR(10)&amp;"/ ","")))/3)+IF(LEFT(TRIM($L61),2)="/ ",1,0)</f>
        <v>0</v>
      </c>
      <c r="D61" s="59" t="n">
        <f aca="false">((LEN($L61)-LEN(SUBSTITUTE($L61,CHAR(10)&amp;"~ ","")))/3)+IF(LEFT(TRIM($L61),2)="~ ",1,0)</f>
        <v>0</v>
      </c>
      <c r="E61" s="59" t="n">
        <f aca="false">((LEN($L61)-LEN(SUBSTITUTE($L61,CHAR(10)&amp;"! ","")))/3)+IF(LEFT(TRIM($L61),2)="! ",1,0)</f>
        <v>0</v>
      </c>
      <c r="F61" s="59" t="n">
        <f aca="false">((LEN($L61)-LEN(SUBSTITUTE($L61,CHAR(10)&amp;"x ","")))/3)+IF(LEFT(TRIM($L61),2)="x ",1,0)</f>
        <v>0</v>
      </c>
      <c r="G61" s="59" t="n">
        <f aca="false">SUM(B61:F61)</f>
        <v>0</v>
      </c>
      <c r="H61" s="75"/>
      <c r="I61" s="64"/>
      <c r="J61" s="64"/>
      <c r="K61" s="64"/>
      <c r="L61" s="65"/>
      <c r="M61" s="60" t="str">
        <f aca="false">IF(J61="","",SUM(B61:E61))</f>
        <v/>
      </c>
      <c r="N61" s="66" t="str">
        <f aca="false">IF(J61="","",IF(G61&lt;&gt;0,(C61*0.5+F61)/G61,1))</f>
        <v/>
      </c>
      <c r="O61" s="64" t="s">
        <v>364</v>
      </c>
    </row>
    <row r="62" customFormat="false" ht="12.75" hidden="false" customHeight="true" outlineLevel="0" collapsed="false">
      <c r="A62" s="54"/>
      <c r="B62" s="59" t="n">
        <f aca="false">((LEN($L62)-LEN(SUBSTITUTE($L62,CHAR(10)&amp;". ","")))/3)+IF(LEFT(TRIM($L62),2)=". ",1,0)</f>
        <v>0</v>
      </c>
      <c r="C62" s="59" t="n">
        <f aca="false">((LEN($L62)-LEN(SUBSTITUTE($L62,CHAR(10)&amp;"/ ","")))/3)+IF(LEFT(TRIM($L62),2)="/ ",1,0)</f>
        <v>0</v>
      </c>
      <c r="D62" s="59" t="n">
        <f aca="false">((LEN($L62)-LEN(SUBSTITUTE($L62,CHAR(10)&amp;"~ ","")))/3)+IF(LEFT(TRIM($L62),2)="~ ",1,0)</f>
        <v>0</v>
      </c>
      <c r="E62" s="59" t="n">
        <f aca="false">((LEN($L62)-LEN(SUBSTITUTE($L62,CHAR(10)&amp;"! ","")))/3)+IF(LEFT(TRIM($L62),2)="! ",1,0)</f>
        <v>0</v>
      </c>
      <c r="F62" s="59" t="n">
        <f aca="false">((LEN($L62)-LEN(SUBSTITUTE($L62,CHAR(10)&amp;"x ","")))/3)+IF(LEFT(TRIM($L62),2)="x ",1,0)</f>
        <v>0</v>
      </c>
      <c r="G62" s="59" t="n">
        <f aca="false">SUM(B62:F62)</f>
        <v>0</v>
      </c>
      <c r="H62" s="75"/>
      <c r="I62" s="64"/>
      <c r="J62" s="64"/>
      <c r="K62" s="64"/>
      <c r="L62" s="65"/>
      <c r="M62" s="60" t="str">
        <f aca="false">IF(J62="","",SUM(B62:E62))</f>
        <v/>
      </c>
      <c r="N62" s="66" t="str">
        <f aca="false">IF(J62="","",IF(G62&lt;&gt;0,(C62*0.5+F62)/G62,1))</f>
        <v/>
      </c>
      <c r="O62" s="64" t="s">
        <v>364</v>
      </c>
    </row>
    <row r="63" customFormat="false" ht="12.75" hidden="false" customHeight="true" outlineLevel="0" collapsed="false">
      <c r="A63" s="54"/>
      <c r="B63" s="59" t="n">
        <f aca="false">((LEN($L63)-LEN(SUBSTITUTE($L63,CHAR(10)&amp;". ","")))/3)+IF(LEFT(TRIM($L63),2)=". ",1,0)</f>
        <v>0</v>
      </c>
      <c r="C63" s="59" t="n">
        <f aca="false">((LEN($L63)-LEN(SUBSTITUTE($L63,CHAR(10)&amp;"/ ","")))/3)+IF(LEFT(TRIM($L63),2)="/ ",1,0)</f>
        <v>0</v>
      </c>
      <c r="D63" s="59" t="n">
        <f aca="false">((LEN($L63)-LEN(SUBSTITUTE($L63,CHAR(10)&amp;"~ ","")))/3)+IF(LEFT(TRIM($L63),2)="~ ",1,0)</f>
        <v>0</v>
      </c>
      <c r="E63" s="59" t="n">
        <f aca="false">((LEN($L63)-LEN(SUBSTITUTE($L63,CHAR(10)&amp;"! ","")))/3)+IF(LEFT(TRIM($L63),2)="! ",1,0)</f>
        <v>0</v>
      </c>
      <c r="F63" s="59" t="n">
        <f aca="false">((LEN($L63)-LEN(SUBSTITUTE($L63,CHAR(10)&amp;"x ","")))/3)+IF(LEFT(TRIM($L63),2)="x ",1,0)</f>
        <v>0</v>
      </c>
      <c r="G63" s="59" t="n">
        <f aca="false">SUM(B63:F63)</f>
        <v>0</v>
      </c>
      <c r="H63" s="75"/>
      <c r="I63" s="64"/>
      <c r="J63" s="64"/>
      <c r="K63" s="64"/>
      <c r="L63" s="65"/>
      <c r="M63" s="60" t="str">
        <f aca="false">IF(J63="","",SUM(B63:E63))</f>
        <v/>
      </c>
      <c r="N63" s="66" t="str">
        <f aca="false">IF(J63="","",IF(G63&lt;&gt;0,(C63*0.5+F63)/G63,1))</f>
        <v/>
      </c>
      <c r="O63" s="64" t="s">
        <v>364</v>
      </c>
    </row>
    <row r="64" customFormat="false" ht="12.75" hidden="false" customHeight="true" outlineLevel="0" collapsed="false">
      <c r="A64" s="54"/>
      <c r="B64" s="59" t="n">
        <f aca="false">((LEN($L64)-LEN(SUBSTITUTE($L64,CHAR(10)&amp;". ","")))/3)+IF(LEFT(TRIM($L64),2)=". ",1,0)</f>
        <v>0</v>
      </c>
      <c r="C64" s="59" t="n">
        <f aca="false">((LEN($L64)-LEN(SUBSTITUTE($L64,CHAR(10)&amp;"/ ","")))/3)+IF(LEFT(TRIM($L64),2)="/ ",1,0)</f>
        <v>0</v>
      </c>
      <c r="D64" s="59" t="n">
        <f aca="false">((LEN($L64)-LEN(SUBSTITUTE($L64,CHAR(10)&amp;"~ ","")))/3)+IF(LEFT(TRIM($L64),2)="~ ",1,0)</f>
        <v>0</v>
      </c>
      <c r="E64" s="59" t="n">
        <f aca="false">((LEN($L64)-LEN(SUBSTITUTE($L64,CHAR(10)&amp;"! ","")))/3)+IF(LEFT(TRIM($L64),2)="! ",1,0)</f>
        <v>0</v>
      </c>
      <c r="F64" s="59" t="n">
        <f aca="false">((LEN($L64)-LEN(SUBSTITUTE($L64,CHAR(10)&amp;"x ","")))/3)+IF(LEFT(TRIM($L64),2)="x ",1,0)</f>
        <v>0</v>
      </c>
      <c r="G64" s="59" t="n">
        <f aca="false">SUM(B64:F64)</f>
        <v>0</v>
      </c>
      <c r="H64" s="75"/>
      <c r="I64" s="64"/>
      <c r="J64" s="64"/>
      <c r="K64" s="64"/>
      <c r="L64" s="65"/>
      <c r="M64" s="60" t="str">
        <f aca="false">IF(J64="","",SUM(B64:E64))</f>
        <v/>
      </c>
      <c r="N64" s="66" t="str">
        <f aca="false">IF(J64="","",IF(G64&lt;&gt;0,(C64*0.5+F64)/G64,1))</f>
        <v/>
      </c>
      <c r="O64" s="64" t="s">
        <v>364</v>
      </c>
    </row>
    <row r="65" customFormat="false" ht="12.75" hidden="false" customHeight="true" outlineLevel="0" collapsed="false">
      <c r="A65" s="54"/>
      <c r="B65" s="59" t="n">
        <f aca="false">((LEN($L65)-LEN(SUBSTITUTE($L65,CHAR(10)&amp;". ","")))/3)+IF(LEFT(TRIM($L65),2)=". ",1,0)</f>
        <v>0</v>
      </c>
      <c r="C65" s="59" t="n">
        <f aca="false">((LEN($L65)-LEN(SUBSTITUTE($L65,CHAR(10)&amp;"/ ","")))/3)+IF(LEFT(TRIM($L65),2)="/ ",1,0)</f>
        <v>0</v>
      </c>
      <c r="D65" s="59" t="n">
        <f aca="false">((LEN($L65)-LEN(SUBSTITUTE($L65,CHAR(10)&amp;"~ ","")))/3)+IF(LEFT(TRIM($L65),2)="~ ",1,0)</f>
        <v>0</v>
      </c>
      <c r="E65" s="59" t="n">
        <f aca="false">((LEN($L65)-LEN(SUBSTITUTE($L65,CHAR(10)&amp;"! ","")))/3)+IF(LEFT(TRIM($L65),2)="! ",1,0)</f>
        <v>0</v>
      </c>
      <c r="F65" s="59" t="n">
        <f aca="false">((LEN($L65)-LEN(SUBSTITUTE($L65,CHAR(10)&amp;"x ","")))/3)+IF(LEFT(TRIM($L65),2)="x ",1,0)</f>
        <v>0</v>
      </c>
      <c r="G65" s="59" t="n">
        <f aca="false">SUM(B65:F65)</f>
        <v>0</v>
      </c>
      <c r="H65" s="75"/>
      <c r="I65" s="64"/>
      <c r="J65" s="64"/>
      <c r="K65" s="64"/>
      <c r="L65" s="65"/>
      <c r="M65" s="60" t="str">
        <f aca="false">IF(J65="","",SUM(B65:E65))</f>
        <v/>
      </c>
      <c r="N65" s="66" t="str">
        <f aca="false">IF(J65="","",IF(G65&lt;&gt;0,(C65*0.5+F65)/G65,1))</f>
        <v/>
      </c>
      <c r="O65" s="64" t="s">
        <v>364</v>
      </c>
    </row>
    <row r="66" customFormat="false" ht="12.75" hidden="false" customHeight="true" outlineLevel="0" collapsed="false">
      <c r="A66" s="54"/>
      <c r="B66" s="59" t="n">
        <f aca="false">((LEN($L66)-LEN(SUBSTITUTE($L66,CHAR(10)&amp;". ","")))/3)+IF(LEFT(TRIM($L66),2)=". ",1,0)</f>
        <v>0</v>
      </c>
      <c r="C66" s="59" t="n">
        <f aca="false">((LEN($L66)-LEN(SUBSTITUTE($L66,CHAR(10)&amp;"/ ","")))/3)+IF(LEFT(TRIM($L66),2)="/ ",1,0)</f>
        <v>0</v>
      </c>
      <c r="D66" s="59" t="n">
        <f aca="false">((LEN($L66)-LEN(SUBSTITUTE($L66,CHAR(10)&amp;"~ ","")))/3)+IF(LEFT(TRIM($L66),2)="~ ",1,0)</f>
        <v>0</v>
      </c>
      <c r="E66" s="59" t="n">
        <f aca="false">((LEN($L66)-LEN(SUBSTITUTE($L66,CHAR(10)&amp;"! ","")))/3)+IF(LEFT(TRIM($L66),2)="! ",1,0)</f>
        <v>0</v>
      </c>
      <c r="F66" s="59" t="n">
        <f aca="false">((LEN($L66)-LEN(SUBSTITUTE($L66,CHAR(10)&amp;"x ","")))/3)+IF(LEFT(TRIM($L66),2)="x ",1,0)</f>
        <v>0</v>
      </c>
      <c r="G66" s="59" t="n">
        <f aca="false">SUM(B66:F66)</f>
        <v>0</v>
      </c>
      <c r="H66" s="75"/>
      <c r="I66" s="64"/>
      <c r="J66" s="64"/>
      <c r="K66" s="64"/>
      <c r="L66" s="64"/>
      <c r="M66" s="60" t="str">
        <f aca="false">IF(J66="","",SUM(B66:E66))</f>
        <v/>
      </c>
      <c r="N66" s="66" t="str">
        <f aca="false">IF(J66="","",IF(G66&lt;&gt;0,(C66*0.5+F66)/G66,1))</f>
        <v/>
      </c>
      <c r="O66" s="64" t="s">
        <v>364</v>
      </c>
    </row>
    <row r="67" customFormat="false" ht="12.75" hidden="false" customHeight="true" outlineLevel="0" collapsed="false">
      <c r="A67" s="54"/>
      <c r="B67" s="59" t="n">
        <f aca="false">((LEN($L67)-LEN(SUBSTITUTE($L67,CHAR(10)&amp;". ","")))/3)+IF(LEFT(TRIM($L67),2)=". ",1,0)</f>
        <v>0</v>
      </c>
      <c r="C67" s="59" t="n">
        <f aca="false">((LEN($L67)-LEN(SUBSTITUTE($L67,CHAR(10)&amp;"/ ","")))/3)+IF(LEFT(TRIM($L67),2)="/ ",1,0)</f>
        <v>0</v>
      </c>
      <c r="D67" s="59" t="n">
        <f aca="false">((LEN($L67)-LEN(SUBSTITUTE($L67,CHAR(10)&amp;"~ ","")))/3)+IF(LEFT(TRIM($L67),2)="~ ",1,0)</f>
        <v>0</v>
      </c>
      <c r="E67" s="59" t="n">
        <f aca="false">((LEN($L67)-LEN(SUBSTITUTE($L67,CHAR(10)&amp;"! ","")))/3)+IF(LEFT(TRIM($L67),2)="! ",1,0)</f>
        <v>0</v>
      </c>
      <c r="F67" s="59" t="n">
        <f aca="false">((LEN($L67)-LEN(SUBSTITUTE($L67,CHAR(10)&amp;"x ","")))/3)+IF(LEFT(TRIM($L67),2)="x ",1,0)</f>
        <v>0</v>
      </c>
      <c r="G67" s="59" t="n">
        <f aca="false">SUM(B67:F67)</f>
        <v>0</v>
      </c>
      <c r="H67" s="75"/>
      <c r="I67" s="64"/>
      <c r="J67" s="64"/>
      <c r="K67" s="64"/>
      <c r="L67" s="65"/>
      <c r="M67" s="60" t="str">
        <f aca="false">IF(J67="","",SUM(B67:E67))</f>
        <v/>
      </c>
      <c r="N67" s="66" t="str">
        <f aca="false">IF(J67="","",IF(G67&lt;&gt;0,(C67*0.5+F67)/G67,1))</f>
        <v/>
      </c>
      <c r="O67" s="64" t="s">
        <v>364</v>
      </c>
    </row>
    <row r="68" customFormat="false" ht="12.75" hidden="false" customHeight="true" outlineLevel="0" collapsed="false">
      <c r="A68" s="54"/>
      <c r="B68" s="59" t="n">
        <f aca="false">((LEN($L68)-LEN(SUBSTITUTE($L68,CHAR(10)&amp;". ","")))/3)+IF(LEFT(TRIM($L68),2)=". ",1,0)</f>
        <v>0</v>
      </c>
      <c r="C68" s="59" t="n">
        <f aca="false">((LEN($L68)-LEN(SUBSTITUTE($L68,CHAR(10)&amp;"/ ","")))/3)+IF(LEFT(TRIM($L68),2)="/ ",1,0)</f>
        <v>0</v>
      </c>
      <c r="D68" s="59" t="n">
        <f aca="false">((LEN($L68)-LEN(SUBSTITUTE($L68,CHAR(10)&amp;"~ ","")))/3)+IF(LEFT(TRIM($L68),2)="~ ",1,0)</f>
        <v>0</v>
      </c>
      <c r="E68" s="59" t="n">
        <f aca="false">((LEN($L68)-LEN(SUBSTITUTE($L68,CHAR(10)&amp;"! ","")))/3)+IF(LEFT(TRIM($L68),2)="! ",1,0)</f>
        <v>0</v>
      </c>
      <c r="F68" s="59" t="n">
        <f aca="false">((LEN($L68)-LEN(SUBSTITUTE($L68,CHAR(10)&amp;"x ","")))/3)+IF(LEFT(TRIM($L68),2)="x ",1,0)</f>
        <v>0</v>
      </c>
      <c r="G68" s="59" t="n">
        <f aca="false">SUM(B68:F68)</f>
        <v>0</v>
      </c>
      <c r="H68" s="75"/>
      <c r="I68" s="64"/>
      <c r="J68" s="64"/>
      <c r="K68" s="64"/>
      <c r="L68" s="65"/>
      <c r="M68" s="60" t="str">
        <f aca="false">IF(J68="","",SUM(B68:E68))</f>
        <v/>
      </c>
      <c r="N68" s="66" t="str">
        <f aca="false">IF(J68="","",IF(G68&lt;&gt;0,(C68*0.5+F68)/G68,1))</f>
        <v/>
      </c>
      <c r="O68" s="64" t="s">
        <v>364</v>
      </c>
    </row>
    <row r="69" customFormat="false" ht="12.75" hidden="false" customHeight="true" outlineLevel="0" collapsed="false">
      <c r="A69" s="54"/>
      <c r="B69" s="59" t="n">
        <f aca="false">((LEN($L69)-LEN(SUBSTITUTE($L69,CHAR(10)&amp;". ","")))/3)+IF(LEFT(TRIM($L69),2)=". ",1,0)</f>
        <v>0</v>
      </c>
      <c r="C69" s="59" t="n">
        <f aca="false">((LEN($L69)-LEN(SUBSTITUTE($L69,CHAR(10)&amp;"/ ","")))/3)+IF(LEFT(TRIM($L69),2)="/ ",1,0)</f>
        <v>0</v>
      </c>
      <c r="D69" s="59" t="n">
        <f aca="false">((LEN($L69)-LEN(SUBSTITUTE($L69,CHAR(10)&amp;"~ ","")))/3)+IF(LEFT(TRIM($L69),2)="~ ",1,0)</f>
        <v>0</v>
      </c>
      <c r="E69" s="59" t="n">
        <f aca="false">((LEN($L69)-LEN(SUBSTITUTE($L69,CHAR(10)&amp;"! ","")))/3)+IF(LEFT(TRIM($L69),2)="! ",1,0)</f>
        <v>0</v>
      </c>
      <c r="F69" s="59" t="n">
        <f aca="false">((LEN($L69)-LEN(SUBSTITUTE($L69,CHAR(10)&amp;"x ","")))/3)+IF(LEFT(TRIM($L69),2)="x ",1,0)</f>
        <v>0</v>
      </c>
      <c r="G69" s="59" t="n">
        <f aca="false">SUM(B69:F69)</f>
        <v>0</v>
      </c>
      <c r="H69" s="75"/>
      <c r="I69" s="64"/>
      <c r="J69" s="64"/>
      <c r="K69" s="64"/>
      <c r="L69" s="64"/>
      <c r="M69" s="60" t="str">
        <f aca="false">IF(J69="","",SUM(B69:E69))</f>
        <v/>
      </c>
      <c r="N69" s="66" t="str">
        <f aca="false">IF(J69="","",IF(G69&lt;&gt;0,(C69*0.5+F69)/G69,1))</f>
        <v/>
      </c>
      <c r="O69" s="64" t="s">
        <v>364</v>
      </c>
    </row>
    <row r="70" customFormat="false" ht="12.75" hidden="false" customHeight="true" outlineLevel="0" collapsed="false">
      <c r="A70" s="54"/>
      <c r="B70" s="59" t="n">
        <f aca="false">((LEN($L70)-LEN(SUBSTITUTE($L70,CHAR(10)&amp;". ","")))/3)+IF(LEFT(TRIM($L70),2)=". ",1,0)</f>
        <v>0</v>
      </c>
      <c r="C70" s="59" t="n">
        <f aca="false">((LEN($L70)-LEN(SUBSTITUTE($L70,CHAR(10)&amp;"/ ","")))/3)+IF(LEFT(TRIM($L70),2)="/ ",1,0)</f>
        <v>0</v>
      </c>
      <c r="D70" s="59" t="n">
        <f aca="false">((LEN($L70)-LEN(SUBSTITUTE($L70,CHAR(10)&amp;"~ ","")))/3)+IF(LEFT(TRIM($L70),2)="~ ",1,0)</f>
        <v>0</v>
      </c>
      <c r="E70" s="59" t="n">
        <f aca="false">((LEN($L70)-LEN(SUBSTITUTE($L70,CHAR(10)&amp;"! ","")))/3)+IF(LEFT(TRIM($L70),2)="! ",1,0)</f>
        <v>0</v>
      </c>
      <c r="F70" s="59" t="n">
        <f aca="false">((LEN($L70)-LEN(SUBSTITUTE($L70,CHAR(10)&amp;"x ","")))/3)+IF(LEFT(TRIM($L70),2)="x ",1,0)</f>
        <v>0</v>
      </c>
      <c r="G70" s="59" t="n">
        <f aca="false">SUM(B70:F70)</f>
        <v>0</v>
      </c>
      <c r="H70" s="75"/>
      <c r="I70" s="64"/>
      <c r="J70" s="64"/>
      <c r="K70" s="64"/>
      <c r="L70" s="65"/>
      <c r="M70" s="60" t="str">
        <f aca="false">IF(J70="","",SUM(B70:E70))</f>
        <v/>
      </c>
      <c r="N70" s="66" t="str">
        <f aca="false">IF(J70="","",IF(G70&lt;&gt;0,(C70*0.5+F70)/G70,1))</f>
        <v/>
      </c>
      <c r="O70" s="64" t="s">
        <v>364</v>
      </c>
    </row>
    <row r="71" customFormat="false" ht="12.75" hidden="false" customHeight="true" outlineLevel="0" collapsed="false">
      <c r="A71" s="54"/>
      <c r="B71" s="59" t="n">
        <f aca="false">((LEN($L71)-LEN(SUBSTITUTE($L71,CHAR(10)&amp;". ","")))/3)+IF(LEFT(TRIM($L71),2)=". ",1,0)</f>
        <v>0</v>
      </c>
      <c r="C71" s="59" t="n">
        <f aca="false">((LEN($L71)-LEN(SUBSTITUTE($L71,CHAR(10)&amp;"/ ","")))/3)+IF(LEFT(TRIM($L71),2)="/ ",1,0)</f>
        <v>0</v>
      </c>
      <c r="D71" s="59" t="n">
        <f aca="false">((LEN($L71)-LEN(SUBSTITUTE($L71,CHAR(10)&amp;"~ ","")))/3)+IF(LEFT(TRIM($L71),2)="~ ",1,0)</f>
        <v>0</v>
      </c>
      <c r="E71" s="59" t="n">
        <f aca="false">((LEN($L71)-LEN(SUBSTITUTE($L71,CHAR(10)&amp;"! ","")))/3)+IF(LEFT(TRIM($L71),2)="! ",1,0)</f>
        <v>0</v>
      </c>
      <c r="F71" s="59" t="n">
        <f aca="false">((LEN($L71)-LEN(SUBSTITUTE($L71,CHAR(10)&amp;"x ","")))/3)+IF(LEFT(TRIM($L71),2)="x ",1,0)</f>
        <v>0</v>
      </c>
      <c r="G71" s="59" t="n">
        <f aca="false">SUM(B71:F71)</f>
        <v>0</v>
      </c>
      <c r="H71" s="75"/>
      <c r="I71" s="64"/>
      <c r="J71" s="64"/>
      <c r="K71" s="64"/>
      <c r="L71" s="65"/>
      <c r="M71" s="60" t="str">
        <f aca="false">IF(J71="","",SUM(B71:E71))</f>
        <v/>
      </c>
      <c r="N71" s="66" t="str">
        <f aca="false">IF(J71="","",IF(G71&lt;&gt;0,(C71*0.5+F71)/G71,1))</f>
        <v/>
      </c>
      <c r="O71" s="64" t="s">
        <v>364</v>
      </c>
    </row>
    <row r="72" customFormat="false" ht="12.75" hidden="false" customHeight="true" outlineLevel="0" collapsed="false">
      <c r="B72" s="59" t="n">
        <f aca="false">((LEN($L72)-LEN(SUBSTITUTE($L72,CHAR(10)&amp;". ","")))/3)+IF(LEFT(TRIM($L72),2)=". ",1,0)</f>
        <v>0</v>
      </c>
      <c r="C72" s="59" t="n">
        <f aca="false">((LEN($L72)-LEN(SUBSTITUTE($L72,CHAR(10)&amp;"/ ","")))/3)+IF(LEFT(TRIM($L72),2)="/ ",1,0)</f>
        <v>0</v>
      </c>
      <c r="D72" s="59" t="n">
        <f aca="false">((LEN($L72)-LEN(SUBSTITUTE($L72,CHAR(10)&amp;"~ ","")))/3)+IF(LEFT(TRIM($L72),2)="~ ",1,0)</f>
        <v>0</v>
      </c>
      <c r="E72" s="59" t="n">
        <f aca="false">((LEN($L72)-LEN(SUBSTITUTE($L72,CHAR(10)&amp;"! ","")))/3)+IF(LEFT(TRIM($L72),2)="! ",1,0)</f>
        <v>0</v>
      </c>
      <c r="F72" s="59" t="n">
        <f aca="false">((LEN($L72)-LEN(SUBSTITUTE($L72,CHAR(10)&amp;"x ","")))/3)+IF(LEFT(TRIM($L72),2)="x ",1,0)</f>
        <v>0</v>
      </c>
      <c r="G72" s="59" t="n">
        <f aca="false">SUM(B72:F72)</f>
        <v>0</v>
      </c>
      <c r="H72" s="75"/>
      <c r="I72" s="64"/>
      <c r="J72" s="64"/>
      <c r="K72" s="65"/>
      <c r="L72" s="65"/>
      <c r="M72" s="60" t="str">
        <f aca="false">IF(J72="","",SUM(B72:E72))</f>
        <v/>
      </c>
      <c r="N72" s="66" t="str">
        <f aca="false">IF(J72="","",IF(G72&lt;&gt;0,(C72*0.5+F72)/G72,1))</f>
        <v/>
      </c>
      <c r="O72" s="64" t="s">
        <v>364</v>
      </c>
    </row>
    <row r="73" customFormat="false" ht="12.75" hidden="false" customHeight="true" outlineLevel="0" collapsed="false">
      <c r="A73" s="54"/>
      <c r="B73" s="59" t="n">
        <f aca="false">((LEN($L73)-LEN(SUBSTITUTE($L73,CHAR(10)&amp;". ","")))/3)+IF(LEFT(TRIM($L73),2)=". ",1,0)</f>
        <v>0</v>
      </c>
      <c r="C73" s="59" t="n">
        <f aca="false">((LEN($L73)-LEN(SUBSTITUTE($L73,CHAR(10)&amp;"/ ","")))/3)+IF(LEFT(TRIM($L73),2)="/ ",1,0)</f>
        <v>0</v>
      </c>
      <c r="D73" s="59" t="n">
        <f aca="false">((LEN($L73)-LEN(SUBSTITUTE($L73,CHAR(10)&amp;"~ ","")))/3)+IF(LEFT(TRIM($L73),2)="~ ",1,0)</f>
        <v>0</v>
      </c>
      <c r="E73" s="59" t="n">
        <f aca="false">((LEN($L73)-LEN(SUBSTITUTE($L73,CHAR(10)&amp;"! ","")))/3)+IF(LEFT(TRIM($L73),2)="! ",1,0)</f>
        <v>0</v>
      </c>
      <c r="F73" s="59" t="n">
        <f aca="false">((LEN($L73)-LEN(SUBSTITUTE($L73,CHAR(10)&amp;"x ","")))/3)+IF(LEFT(TRIM($L73),2)="x ",1,0)</f>
        <v>0</v>
      </c>
      <c r="G73" s="59" t="n">
        <f aca="false">SUM(B73:F73)</f>
        <v>0</v>
      </c>
      <c r="H73" s="75"/>
      <c r="I73" s="64"/>
      <c r="J73" s="64"/>
      <c r="K73" s="64"/>
      <c r="L73" s="65"/>
      <c r="M73" s="60" t="str">
        <f aca="false">IF(J73="","",SUM(B73:E73))</f>
        <v/>
      </c>
      <c r="N73" s="66" t="str">
        <f aca="false">IF(J73="","",IF(G73&lt;&gt;0,(C73*0.5+F73)/G73,1))</f>
        <v/>
      </c>
      <c r="O73" s="64" t="s">
        <v>364</v>
      </c>
    </row>
    <row r="74" customFormat="false" ht="12.75" hidden="false" customHeight="true" outlineLevel="0" collapsed="false">
      <c r="A74" s="54"/>
      <c r="B74" s="59" t="n">
        <f aca="false">((LEN($L74)-LEN(SUBSTITUTE($L74,CHAR(10)&amp;". ","")))/3)+IF(LEFT(TRIM($L74),2)=". ",1,0)</f>
        <v>0</v>
      </c>
      <c r="C74" s="59" t="n">
        <f aca="false">((LEN($L74)-LEN(SUBSTITUTE($L74,CHAR(10)&amp;"/ ","")))/3)+IF(LEFT(TRIM($L74),2)="/ ",1,0)</f>
        <v>0</v>
      </c>
      <c r="D74" s="59" t="n">
        <f aca="false">((LEN($L74)-LEN(SUBSTITUTE($L74,CHAR(10)&amp;"~ ","")))/3)+IF(LEFT(TRIM($L74),2)="~ ",1,0)</f>
        <v>0</v>
      </c>
      <c r="E74" s="59" t="n">
        <f aca="false">((LEN($L74)-LEN(SUBSTITUTE($L74,CHAR(10)&amp;"! ","")))/3)+IF(LEFT(TRIM($L74),2)="! ",1,0)</f>
        <v>0</v>
      </c>
      <c r="F74" s="59" t="n">
        <f aca="false">((LEN($L74)-LEN(SUBSTITUTE($L74,CHAR(10)&amp;"x ","")))/3)+IF(LEFT(TRIM($L74),2)="x ",1,0)</f>
        <v>0</v>
      </c>
      <c r="G74" s="59" t="n">
        <f aca="false">SUM(B74:F74)</f>
        <v>0</v>
      </c>
      <c r="H74" s="75"/>
      <c r="I74" s="64"/>
      <c r="J74" s="64"/>
      <c r="K74" s="64"/>
      <c r="L74" s="65"/>
      <c r="M74" s="60" t="str">
        <f aca="false">IF(J74="","",SUM(B74:E74))</f>
        <v/>
      </c>
      <c r="N74" s="66" t="str">
        <f aca="false">IF(J74="","",IF(G74&lt;&gt;0,(C74*0.5+F74)/G74,1))</f>
        <v/>
      </c>
      <c r="O74" s="64" t="s">
        <v>364</v>
      </c>
    </row>
    <row r="75" customFormat="false" ht="12.75" hidden="false" customHeight="true" outlineLevel="0" collapsed="false">
      <c r="A75" s="54"/>
      <c r="B75" s="59" t="n">
        <f aca="false">((LEN($L75)-LEN(SUBSTITUTE($L75,CHAR(10)&amp;". ","")))/3)+IF(LEFT(TRIM($L75),2)=". ",1,0)</f>
        <v>0</v>
      </c>
      <c r="C75" s="59" t="n">
        <f aca="false">((LEN($L75)-LEN(SUBSTITUTE($L75,CHAR(10)&amp;"/ ","")))/3)+IF(LEFT(TRIM($L75),2)="/ ",1,0)</f>
        <v>0</v>
      </c>
      <c r="D75" s="59" t="n">
        <f aca="false">((LEN($L75)-LEN(SUBSTITUTE($L75,CHAR(10)&amp;"~ ","")))/3)+IF(LEFT(TRIM($L75),2)="~ ",1,0)</f>
        <v>0</v>
      </c>
      <c r="E75" s="59" t="n">
        <f aca="false">((LEN($L75)-LEN(SUBSTITUTE($L75,CHAR(10)&amp;"! ","")))/3)+IF(LEFT(TRIM($L75),2)="! ",1,0)</f>
        <v>0</v>
      </c>
      <c r="F75" s="59" t="n">
        <f aca="false">((LEN($L75)-LEN(SUBSTITUTE($L75,CHAR(10)&amp;"x ","")))/3)+IF(LEFT(TRIM($L75),2)="x ",1,0)</f>
        <v>0</v>
      </c>
      <c r="G75" s="59" t="n">
        <f aca="false">SUM(B75:F75)</f>
        <v>0</v>
      </c>
      <c r="H75" s="75"/>
      <c r="I75" s="64"/>
      <c r="J75" s="64"/>
      <c r="K75" s="64"/>
      <c r="L75" s="65"/>
      <c r="M75" s="60" t="str">
        <f aca="false">IF(J75="","",SUM(B75:E75))</f>
        <v/>
      </c>
      <c r="N75" s="66" t="str">
        <f aca="false">IF(J75="","",IF(G75&lt;&gt;0,(C75*0.5+F75)/G75,1))</f>
        <v/>
      </c>
      <c r="O75" s="64" t="s">
        <v>364</v>
      </c>
    </row>
    <row r="76" customFormat="false" ht="12.75" hidden="false" customHeight="true" outlineLevel="0" collapsed="false">
      <c r="A76" s="54"/>
      <c r="B76" s="59" t="n">
        <f aca="false">((LEN($L76)-LEN(SUBSTITUTE($L76,CHAR(10)&amp;". ","")))/3)+IF(LEFT(TRIM($L76),2)=". ",1,0)</f>
        <v>0</v>
      </c>
      <c r="C76" s="59" t="n">
        <f aca="false">((LEN($L76)-LEN(SUBSTITUTE($L76,CHAR(10)&amp;"/ ","")))/3)+IF(LEFT(TRIM($L76),2)="/ ",1,0)</f>
        <v>0</v>
      </c>
      <c r="D76" s="59" t="n">
        <f aca="false">((LEN($L76)-LEN(SUBSTITUTE($L76,CHAR(10)&amp;"~ ","")))/3)+IF(LEFT(TRIM($L76),2)="~ ",1,0)</f>
        <v>0</v>
      </c>
      <c r="E76" s="59" t="n">
        <f aca="false">((LEN($L76)-LEN(SUBSTITUTE($L76,CHAR(10)&amp;"! ","")))/3)+IF(LEFT(TRIM($L76),2)="! ",1,0)</f>
        <v>0</v>
      </c>
      <c r="F76" s="59" t="n">
        <f aca="false">((LEN($L76)-LEN(SUBSTITUTE($L76,CHAR(10)&amp;"x ","")))/3)+IF(LEFT(TRIM($L76),2)="x ",1,0)</f>
        <v>0</v>
      </c>
      <c r="G76" s="59" t="n">
        <f aca="false">SUM(B76:F76)</f>
        <v>0</v>
      </c>
      <c r="H76" s="75"/>
      <c r="I76" s="64"/>
      <c r="J76" s="64"/>
      <c r="K76" s="64"/>
      <c r="L76" s="65"/>
      <c r="M76" s="60" t="str">
        <f aca="false">IF(J76="","",SUM(B76:E76))</f>
        <v/>
      </c>
      <c r="N76" s="66" t="str">
        <f aca="false">IF(J76="","",IF(G76&lt;&gt;0,(C76*0.5+F76)/G76,1))</f>
        <v/>
      </c>
      <c r="O76" s="64" t="s">
        <v>364</v>
      </c>
    </row>
    <row r="77" customFormat="false" ht="12.75" hidden="false" customHeight="true" outlineLevel="0" collapsed="false">
      <c r="A77" s="54"/>
      <c r="B77" s="59" t="n">
        <f aca="false">((LEN($L77)-LEN(SUBSTITUTE($L77,CHAR(10)&amp;". ","")))/3)+IF(LEFT(TRIM($L77),2)=". ",1,0)</f>
        <v>0</v>
      </c>
      <c r="C77" s="59" t="n">
        <f aca="false">((LEN($L77)-LEN(SUBSTITUTE($L77,CHAR(10)&amp;"/ ","")))/3)+IF(LEFT(TRIM($L77),2)="/ ",1,0)</f>
        <v>0</v>
      </c>
      <c r="D77" s="59" t="n">
        <f aca="false">((LEN($L77)-LEN(SUBSTITUTE($L77,CHAR(10)&amp;"~ ","")))/3)+IF(LEFT(TRIM($L77),2)="~ ",1,0)</f>
        <v>0</v>
      </c>
      <c r="E77" s="59" t="n">
        <f aca="false">((LEN($L77)-LEN(SUBSTITUTE($L77,CHAR(10)&amp;"! ","")))/3)+IF(LEFT(TRIM($L77),2)="! ",1,0)</f>
        <v>0</v>
      </c>
      <c r="F77" s="59" t="n">
        <f aca="false">((LEN($L77)-LEN(SUBSTITUTE($L77,CHAR(10)&amp;"x ","")))/3)+IF(LEFT(TRIM($L77),2)="x ",1,0)</f>
        <v>0</v>
      </c>
      <c r="G77" s="59" t="n">
        <f aca="false">SUM(B77:F77)</f>
        <v>0</v>
      </c>
      <c r="H77" s="75"/>
      <c r="I77" s="64"/>
      <c r="J77" s="64"/>
      <c r="K77" s="64"/>
      <c r="L77" s="65"/>
      <c r="M77" s="60" t="str">
        <f aca="false">IF(J77="","",SUM(B77:E77))</f>
        <v/>
      </c>
      <c r="N77" s="66" t="str">
        <f aca="false">IF(J77="","",IF(G77&lt;&gt;0,(C77*0.5+F77)/G77,1))</f>
        <v/>
      </c>
      <c r="O77" s="64" t="s">
        <v>364</v>
      </c>
    </row>
    <row r="78" customFormat="false" ht="12.75" hidden="false" customHeight="true" outlineLevel="0" collapsed="false">
      <c r="A78" s="54"/>
      <c r="B78" s="59" t="n">
        <f aca="false">((LEN($L78)-LEN(SUBSTITUTE($L78,CHAR(10)&amp;". ","")))/3)+IF(LEFT(TRIM($L78),2)=". ",1,0)</f>
        <v>0</v>
      </c>
      <c r="C78" s="59" t="n">
        <f aca="false">((LEN($L78)-LEN(SUBSTITUTE($L78,CHAR(10)&amp;"/ ","")))/3)+IF(LEFT(TRIM($L78),2)="/ ",1,0)</f>
        <v>0</v>
      </c>
      <c r="D78" s="59" t="n">
        <f aca="false">((LEN($L78)-LEN(SUBSTITUTE($L78,CHAR(10)&amp;"~ ","")))/3)+IF(LEFT(TRIM($L78),2)="~ ",1,0)</f>
        <v>0</v>
      </c>
      <c r="E78" s="59" t="n">
        <f aca="false">((LEN($L78)-LEN(SUBSTITUTE($L78,CHAR(10)&amp;"! ","")))/3)+IF(LEFT(TRIM($L78),2)="! ",1,0)</f>
        <v>0</v>
      </c>
      <c r="F78" s="59" t="n">
        <f aca="false">((LEN($L78)-LEN(SUBSTITUTE($L78,CHAR(10)&amp;"x ","")))/3)+IF(LEFT(TRIM($L78),2)="x ",1,0)</f>
        <v>0</v>
      </c>
      <c r="G78" s="59" t="n">
        <f aca="false">SUM(B78:F78)</f>
        <v>0</v>
      </c>
      <c r="H78" s="75"/>
      <c r="I78" s="64"/>
      <c r="J78" s="64"/>
      <c r="K78" s="64"/>
      <c r="L78" s="65"/>
      <c r="M78" s="60" t="str">
        <f aca="false">IF(J78="","",SUM(B78:E78))</f>
        <v/>
      </c>
      <c r="N78" s="66" t="str">
        <f aca="false">IF(J78="","",IF(G78&lt;&gt;0,(C78*0.5+F78)/G78,1))</f>
        <v/>
      </c>
      <c r="O78" s="64" t="s">
        <v>364</v>
      </c>
    </row>
    <row r="79" customFormat="false" ht="12.75" hidden="false" customHeight="true" outlineLevel="0" collapsed="false">
      <c r="A79" s="54"/>
      <c r="B79" s="59" t="n">
        <f aca="false">((LEN($L79)-LEN(SUBSTITUTE($L79,CHAR(10)&amp;". ","")))/3)+IF(LEFT(TRIM($L79),2)=". ",1,0)</f>
        <v>0</v>
      </c>
      <c r="C79" s="59" t="n">
        <f aca="false">((LEN($L79)-LEN(SUBSTITUTE($L79,CHAR(10)&amp;"/ ","")))/3)+IF(LEFT(TRIM($L79),2)="/ ",1,0)</f>
        <v>0</v>
      </c>
      <c r="D79" s="59" t="n">
        <f aca="false">((LEN($L79)-LEN(SUBSTITUTE($L79,CHAR(10)&amp;"~ ","")))/3)+IF(LEFT(TRIM($L79),2)="~ ",1,0)</f>
        <v>0</v>
      </c>
      <c r="E79" s="59" t="n">
        <f aca="false">((LEN($L79)-LEN(SUBSTITUTE($L79,CHAR(10)&amp;"! ","")))/3)+IF(LEFT(TRIM($L79),2)="! ",1,0)</f>
        <v>0</v>
      </c>
      <c r="F79" s="59" t="n">
        <f aca="false">((LEN($L79)-LEN(SUBSTITUTE($L79,CHAR(10)&amp;"x ","")))/3)+IF(LEFT(TRIM($L79),2)="x ",1,0)</f>
        <v>0</v>
      </c>
      <c r="G79" s="59" t="n">
        <f aca="false">SUM(B79:F79)</f>
        <v>0</v>
      </c>
      <c r="H79" s="75"/>
      <c r="I79" s="64"/>
      <c r="J79" s="64"/>
      <c r="K79" s="65"/>
      <c r="L79" s="64"/>
      <c r="M79" s="60" t="str">
        <f aca="false">IF(J79="","",SUM(B79:E79))</f>
        <v/>
      </c>
      <c r="N79" s="66" t="str">
        <f aca="false">IF(J79="","",IF(G79&lt;&gt;0,(C79*0.5+F79)/G79,1))</f>
        <v/>
      </c>
      <c r="O79" s="64" t="s">
        <v>364</v>
      </c>
    </row>
    <row r="80" customFormat="false" ht="12.75" hidden="false" customHeight="true" outlineLevel="0" collapsed="false">
      <c r="A80" s="54"/>
      <c r="B80" s="59" t="n">
        <f aca="false">((LEN($L80)-LEN(SUBSTITUTE($L80,CHAR(10)&amp;". ","")))/3)+IF(LEFT(TRIM($L80),2)=". ",1,0)</f>
        <v>0</v>
      </c>
      <c r="C80" s="59" t="n">
        <f aca="false">((LEN($L80)-LEN(SUBSTITUTE($L80,CHAR(10)&amp;"/ ","")))/3)+IF(LEFT(TRIM($L80),2)="/ ",1,0)</f>
        <v>0</v>
      </c>
      <c r="D80" s="59" t="n">
        <f aca="false">((LEN($L80)-LEN(SUBSTITUTE($L80,CHAR(10)&amp;"~ ","")))/3)+IF(LEFT(TRIM($L80),2)="~ ",1,0)</f>
        <v>0</v>
      </c>
      <c r="E80" s="59" t="n">
        <f aca="false">((LEN($L80)-LEN(SUBSTITUTE($L80,CHAR(10)&amp;"! ","")))/3)+IF(LEFT(TRIM($L80),2)="! ",1,0)</f>
        <v>0</v>
      </c>
      <c r="F80" s="59" t="n">
        <f aca="false">((LEN($L80)-LEN(SUBSTITUTE($L80,CHAR(10)&amp;"x ","")))/3)+IF(LEFT(TRIM($L80),2)="x ",1,0)</f>
        <v>0</v>
      </c>
      <c r="G80" s="59" t="n">
        <f aca="false">SUM(B80:F80)</f>
        <v>0</v>
      </c>
      <c r="H80" s="75"/>
      <c r="I80" s="64"/>
      <c r="J80" s="64"/>
      <c r="K80" s="64"/>
      <c r="L80" s="64"/>
      <c r="M80" s="60" t="str">
        <f aca="false">IF(J80="","",SUM(B80:E80))</f>
        <v/>
      </c>
      <c r="N80" s="66" t="str">
        <f aca="false">IF(J80="","",IF(G80&lt;&gt;0,(C80*0.5+F80)/G80,1))</f>
        <v/>
      </c>
      <c r="O80" s="64" t="s">
        <v>364</v>
      </c>
    </row>
    <row r="81" customFormat="false" ht="12.75" hidden="false" customHeight="true" outlineLevel="0" collapsed="false">
      <c r="B81" s="59" t="n">
        <f aca="false">((LEN($L81)-LEN(SUBSTITUTE($L81,CHAR(10)&amp;". ","")))/3)+IF(LEFT(TRIM($L81),2)=". ",1,0)</f>
        <v>0</v>
      </c>
      <c r="C81" s="59" t="n">
        <f aca="false">((LEN($L81)-LEN(SUBSTITUTE($L81,CHAR(10)&amp;"/ ","")))/3)+IF(LEFT(TRIM($L81),2)="/ ",1,0)</f>
        <v>0</v>
      </c>
      <c r="D81" s="59" t="n">
        <f aca="false">((LEN($L81)-LEN(SUBSTITUTE($L81,CHAR(10)&amp;"~ ","")))/3)+IF(LEFT(TRIM($L81),2)="~ ",1,0)</f>
        <v>0</v>
      </c>
      <c r="E81" s="59" t="n">
        <f aca="false">((LEN($L81)-LEN(SUBSTITUTE($L81,CHAR(10)&amp;"! ","")))/3)+IF(LEFT(TRIM($L81),2)="! ",1,0)</f>
        <v>0</v>
      </c>
      <c r="F81" s="59" t="n">
        <f aca="false">((LEN($L81)-LEN(SUBSTITUTE($L81,CHAR(10)&amp;"x ","")))/3)+IF(LEFT(TRIM($L81),2)="x ",1,0)</f>
        <v>0</v>
      </c>
      <c r="G81" s="59" t="n">
        <f aca="false">SUM(B81:F81)</f>
        <v>0</v>
      </c>
      <c r="H81" s="75"/>
      <c r="I81" s="64"/>
      <c r="J81" s="64"/>
      <c r="K81" s="64"/>
      <c r="L81" s="65"/>
      <c r="M81" s="60" t="str">
        <f aca="false">IF(J81="","",SUM(B81:E81))</f>
        <v/>
      </c>
      <c r="N81" s="66" t="str">
        <f aca="false">IF(J81="","",IF(G81&lt;&gt;0,(C81*0.5+F81)/G81,1))</f>
        <v/>
      </c>
      <c r="O81" s="64" t="s">
        <v>364</v>
      </c>
    </row>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sheetData>
  <autoFilter ref="A24:O81"/>
  <conditionalFormatting sqref="N25:N81">
    <cfRule type="colorScale" priority="2">
      <colorScale>
        <cfvo type="num" val="0"/>
        <cfvo type="num" val="1"/>
        <color rgb="FFFF0000"/>
        <color rgb="FF00A933"/>
      </colorScale>
    </cfRule>
  </conditionalFormatting>
  <dataValidations count="1">
    <dataValidation allowBlank="true" errorStyle="stop" operator="equal" showDropDown="false" showErrorMessage="true" showInputMessage="false" sqref="H25:H81" type="none">
      <formula1>Static!$D$5:$D$14</formula1>
      <formula2>0</formula2>
    </dataValidation>
  </dataValidation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ALY86"/>
  <sheetViews>
    <sheetView showFormulas="false" showGridLines="false" showRowColHeaders="true" showZeros="true" rightToLeft="false" tabSelected="false" showOutlineSymbols="true" defaultGridColor="true" view="normal" topLeftCell="A13" colorId="64" zoomScale="100" zoomScaleNormal="100" zoomScalePageLayoutView="100" workbookViewId="0">
      <selection pane="topLeft" activeCell="AK22" activeCellId="0" sqref="AK22"/>
    </sheetView>
  </sheetViews>
  <sheetFormatPr defaultColWidth="15.1015625" defaultRowHeight="12.8" zeroHeight="false" outlineLevelRow="1" outlineLevelCol="1"/>
  <cols>
    <col collapsed="false" customWidth="true" hidden="true" outlineLevel="1" max="1" min="1" style="3" width="1.8"/>
    <col collapsed="false" customWidth="true" hidden="true" outlineLevel="1" max="3" min="2" style="29" width="7.68"/>
    <col collapsed="false" customWidth="true" hidden="true" outlineLevel="1" max="4" min="4" style="29" width="10.49"/>
    <col collapsed="false" customWidth="true" hidden="true" outlineLevel="1" max="5" min="5" style="29" width="9.26"/>
    <col collapsed="false" customWidth="true" hidden="true" outlineLevel="1" max="6" min="6" style="29" width="6.21"/>
    <col collapsed="false" customWidth="true" hidden="true" outlineLevel="1" max="7" min="7" style="29" width="7.53"/>
    <col collapsed="false" customWidth="true" hidden="true" outlineLevel="1" max="8" min="8" style="29" width="9.2"/>
    <col collapsed="false" customWidth="true" hidden="true" outlineLevel="1" max="9" min="9" style="29" width="7.81"/>
    <col collapsed="false" customWidth="true" hidden="true" outlineLevel="1" max="14" min="10" style="29" width="6.21"/>
    <col collapsed="false" customWidth="true" hidden="true" outlineLevel="1" max="15" min="15" style="29" width="3.12"/>
    <col collapsed="false" customWidth="true" hidden="true" outlineLevel="1" max="16" min="16" style="29" width="2.92"/>
    <col collapsed="false" customWidth="true" hidden="true" outlineLevel="1" max="17" min="17" style="29" width="2.95"/>
    <col collapsed="false" customWidth="true" hidden="false" outlineLevel="0" max="19" min="18" style="29" width="2.95"/>
    <col collapsed="false" customWidth="true" hidden="false" outlineLevel="0" max="20" min="20" style="29" width="2.92"/>
    <col collapsed="false" customWidth="true" hidden="false" outlineLevel="0" max="21" min="21" style="29" width="2.95"/>
    <col collapsed="false" customWidth="true" hidden="false" outlineLevel="0" max="22" min="22" style="1" width="2.63"/>
    <col collapsed="false" customWidth="true" hidden="false" outlineLevel="0" max="23" min="23" style="29" width="4.73"/>
    <col collapsed="false" customWidth="true" hidden="false" outlineLevel="0" max="24" min="24" style="29" width="10.19"/>
    <col collapsed="false" customWidth="true" hidden="false" outlineLevel="0" max="25" min="25" style="29" width="3.21"/>
    <col collapsed="false" customWidth="true" hidden="false" outlineLevel="0" max="26" min="26" style="29" width="5.14"/>
    <col collapsed="false" customWidth="true" hidden="false" outlineLevel="0" max="27" min="27" style="29" width="12.5"/>
    <col collapsed="false" customWidth="true" hidden="false" outlineLevel="0" max="28" min="28" style="3" width="23.84"/>
    <col collapsed="false" customWidth="true" hidden="false" outlineLevel="0" max="29" min="29" style="29" width="28.38"/>
    <col collapsed="false" customWidth="true" hidden="false" outlineLevel="0" max="31" min="30" style="29" width="10.25"/>
    <col collapsed="false" customWidth="true" hidden="false" outlineLevel="0" max="33" min="32" style="29" width="6.72"/>
    <col collapsed="false" customWidth="true" hidden="false" outlineLevel="0" max="35" min="34" style="29" width="6.54"/>
    <col collapsed="false" customWidth="true" hidden="false" outlineLevel="0" max="36" min="36" style="29" width="5.99"/>
    <col collapsed="false" customWidth="true" hidden="false" outlineLevel="0" max="37" min="37" style="3" width="22.67"/>
    <col collapsed="false" customWidth="true" hidden="false" outlineLevel="0" max="39" min="38" style="29" width="16.38"/>
    <col collapsed="false" customWidth="true" hidden="false" outlineLevel="0" max="40" min="40" style="3" width="14.35"/>
    <col collapsed="false" customWidth="true" hidden="false" outlineLevel="0" max="41" min="41" style="29" width="7.81"/>
    <col collapsed="false" customWidth="true" hidden="false" outlineLevel="0" max="42" min="42" style="3" width="11.81"/>
    <col collapsed="false" customWidth="true" hidden="true" outlineLevel="1" max="44" min="43" style="3" width="14.06"/>
    <col collapsed="false" customWidth="true" hidden="true" outlineLevel="1" max="46" min="45" style="3" width="10.65"/>
    <col collapsed="false" customWidth="true" hidden="false" outlineLevel="0" max="47" min="47" style="1" width="2.54"/>
    <col collapsed="false" customWidth="false" hidden="true" outlineLevel="0" max="1013" min="48" style="1" width="15.08"/>
    <col collapsed="false" customWidth="true" hidden="false" outlineLevel="0" max="1024" min="1014" style="1" width="11.52"/>
  </cols>
  <sheetData>
    <row r="1" customFormat="false" ht="12.8" hidden="false" customHeight="true" outlineLevel="0" collapsed="false">
      <c r="A1" s="30"/>
      <c r="B1" s="33"/>
      <c r="C1" s="77" t="s">
        <v>569</v>
      </c>
      <c r="D1" s="33"/>
      <c r="E1" s="33"/>
      <c r="F1" s="33"/>
      <c r="G1" s="33"/>
      <c r="H1" s="33"/>
      <c r="I1" s="33"/>
      <c r="J1" s="33"/>
      <c r="K1" s="33"/>
      <c r="L1" s="33"/>
      <c r="M1" s="33"/>
      <c r="N1" s="33"/>
      <c r="O1" s="33"/>
      <c r="P1" s="33"/>
      <c r="Q1" s="33"/>
      <c r="R1" s="33"/>
      <c r="S1" s="33"/>
      <c r="T1" s="33"/>
      <c r="U1" s="33"/>
      <c r="V1" s="34"/>
      <c r="W1" s="33"/>
      <c r="X1" s="33"/>
      <c r="Y1" s="33"/>
      <c r="Z1" s="33"/>
      <c r="AA1" s="31"/>
      <c r="AB1" s="34"/>
      <c r="AC1" s="34"/>
      <c r="AD1" s="33"/>
      <c r="AE1" s="33"/>
      <c r="AF1" s="33"/>
      <c r="AG1" s="33"/>
      <c r="AH1" s="33"/>
      <c r="AI1" s="33"/>
      <c r="AJ1" s="33"/>
      <c r="AK1" s="31"/>
      <c r="AL1" s="34"/>
      <c r="AM1" s="31"/>
      <c r="AN1" s="31"/>
      <c r="AO1" s="33"/>
      <c r="AP1" s="31"/>
      <c r="AQ1" s="31"/>
      <c r="AR1" s="31"/>
      <c r="AS1" s="32"/>
      <c r="AT1" s="32"/>
      <c r="AU1" s="31" t="s">
        <v>364</v>
      </c>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c r="CT1" s="35"/>
      <c r="CU1" s="35"/>
      <c r="CV1" s="35"/>
      <c r="CW1" s="35"/>
      <c r="CX1" s="35"/>
      <c r="CY1" s="35"/>
      <c r="CZ1" s="35"/>
      <c r="DA1" s="35"/>
      <c r="DB1" s="35"/>
      <c r="DC1" s="35"/>
      <c r="DD1" s="35"/>
      <c r="DE1" s="35"/>
      <c r="DF1" s="35"/>
      <c r="DG1" s="35"/>
      <c r="DH1" s="35"/>
      <c r="DI1" s="35"/>
      <c r="DJ1" s="35"/>
      <c r="DK1" s="35"/>
      <c r="DL1" s="35"/>
      <c r="DM1" s="35"/>
      <c r="DN1" s="35"/>
      <c r="DO1" s="35"/>
      <c r="DP1" s="35"/>
      <c r="DQ1" s="35"/>
      <c r="DR1" s="35"/>
      <c r="DS1" s="35"/>
      <c r="DT1" s="35"/>
      <c r="DU1" s="35"/>
      <c r="DV1" s="35"/>
      <c r="DW1" s="35"/>
      <c r="DX1" s="35"/>
      <c r="DY1" s="35"/>
      <c r="DZ1" s="35"/>
      <c r="EA1" s="35"/>
      <c r="EB1" s="35"/>
      <c r="EC1" s="35"/>
      <c r="ED1" s="35"/>
      <c r="EE1" s="35"/>
      <c r="EF1" s="35"/>
      <c r="EG1" s="35"/>
      <c r="EH1" s="35"/>
      <c r="EI1" s="35"/>
      <c r="EJ1" s="35"/>
      <c r="EK1" s="35"/>
      <c r="EL1" s="35"/>
      <c r="EM1" s="35"/>
      <c r="EN1" s="35"/>
      <c r="EO1" s="35"/>
      <c r="EP1" s="35"/>
      <c r="EQ1" s="35"/>
      <c r="ER1" s="35"/>
      <c r="ES1" s="35"/>
      <c r="ET1" s="35"/>
      <c r="EU1" s="35"/>
      <c r="EV1" s="35"/>
      <c r="EW1" s="35"/>
      <c r="EX1" s="35"/>
      <c r="EY1" s="35"/>
      <c r="EZ1" s="35"/>
      <c r="FA1" s="35"/>
      <c r="FB1" s="35"/>
      <c r="FC1" s="35"/>
      <c r="FD1" s="35"/>
      <c r="FE1" s="35"/>
      <c r="FF1" s="35"/>
      <c r="FG1" s="35"/>
      <c r="FH1" s="35"/>
      <c r="FI1" s="35"/>
      <c r="FJ1" s="35"/>
      <c r="FK1" s="35"/>
      <c r="FL1" s="35"/>
      <c r="FM1" s="35"/>
      <c r="FN1" s="35"/>
      <c r="FO1" s="35"/>
      <c r="FP1" s="35"/>
      <c r="FQ1" s="35"/>
      <c r="FR1" s="35"/>
      <c r="FS1" s="35"/>
      <c r="FT1" s="35"/>
      <c r="FU1" s="35"/>
      <c r="FV1" s="35"/>
      <c r="FW1" s="35"/>
      <c r="FX1" s="35"/>
      <c r="FY1" s="35"/>
      <c r="FZ1" s="35"/>
      <c r="GA1" s="35"/>
      <c r="GB1" s="35"/>
      <c r="GC1" s="35"/>
      <c r="GD1" s="35"/>
      <c r="GE1" s="35"/>
      <c r="GF1" s="35"/>
      <c r="GG1" s="35"/>
      <c r="GH1" s="35"/>
      <c r="GI1" s="35"/>
      <c r="GJ1" s="35"/>
      <c r="GK1" s="35"/>
      <c r="GL1" s="35"/>
      <c r="GM1" s="35"/>
      <c r="GN1" s="35"/>
      <c r="GO1" s="35"/>
      <c r="GP1" s="35"/>
      <c r="GQ1" s="35"/>
      <c r="GR1" s="35"/>
      <c r="GS1" s="35"/>
      <c r="GT1" s="35"/>
      <c r="GU1" s="35"/>
      <c r="GV1" s="35"/>
      <c r="GW1" s="35"/>
      <c r="GX1" s="35"/>
      <c r="GY1" s="35"/>
      <c r="GZ1" s="35"/>
      <c r="HA1" s="35"/>
      <c r="HB1" s="35"/>
      <c r="HC1" s="35"/>
      <c r="HD1" s="35"/>
      <c r="HE1" s="35"/>
      <c r="HF1" s="35"/>
      <c r="HG1" s="35"/>
      <c r="HH1" s="35"/>
      <c r="HI1" s="35"/>
      <c r="HJ1" s="35"/>
      <c r="HK1" s="35"/>
      <c r="HL1" s="35"/>
      <c r="HM1" s="35"/>
      <c r="HN1" s="35"/>
      <c r="HO1" s="35"/>
      <c r="HP1" s="35"/>
      <c r="HQ1" s="35"/>
      <c r="HR1" s="35"/>
      <c r="HS1" s="35"/>
      <c r="HT1" s="35"/>
      <c r="HU1" s="35"/>
      <c r="HV1" s="35"/>
      <c r="HW1" s="35"/>
      <c r="HX1" s="35"/>
      <c r="HY1" s="35"/>
      <c r="HZ1" s="35"/>
      <c r="IA1" s="35"/>
      <c r="IB1" s="35"/>
      <c r="IC1" s="35"/>
      <c r="ID1" s="35"/>
      <c r="IE1" s="35"/>
      <c r="IF1" s="35"/>
      <c r="IG1" s="35"/>
      <c r="IH1" s="35"/>
      <c r="II1" s="35"/>
      <c r="IJ1" s="35"/>
      <c r="IK1" s="35"/>
      <c r="IL1" s="35"/>
      <c r="IM1" s="35"/>
      <c r="IN1" s="35"/>
      <c r="IO1" s="35"/>
      <c r="IP1" s="35"/>
      <c r="IQ1" s="35"/>
      <c r="IR1" s="35"/>
      <c r="IS1" s="35"/>
      <c r="IT1" s="35"/>
      <c r="IU1" s="35"/>
      <c r="IV1" s="35"/>
      <c r="IW1" s="35"/>
      <c r="IX1" s="35"/>
      <c r="IY1" s="35"/>
      <c r="IZ1" s="35"/>
      <c r="JA1" s="35"/>
      <c r="JB1" s="35"/>
      <c r="JC1" s="35"/>
      <c r="JD1" s="35"/>
      <c r="JE1" s="35"/>
      <c r="JF1" s="35"/>
      <c r="JG1" s="35"/>
      <c r="JH1" s="35"/>
      <c r="JI1" s="35"/>
      <c r="JJ1" s="35"/>
      <c r="JK1" s="35"/>
      <c r="JL1" s="35"/>
      <c r="JM1" s="35"/>
      <c r="JN1" s="35"/>
      <c r="JO1" s="35"/>
      <c r="JP1" s="35"/>
      <c r="JQ1" s="35"/>
      <c r="JR1" s="35"/>
      <c r="JS1" s="35"/>
      <c r="JT1" s="35"/>
      <c r="JU1" s="35"/>
      <c r="JV1" s="35"/>
      <c r="JW1" s="35"/>
      <c r="JX1" s="35"/>
      <c r="JY1" s="35"/>
      <c r="JZ1" s="35"/>
      <c r="KA1" s="35"/>
      <c r="KB1" s="35"/>
      <c r="KC1" s="35"/>
      <c r="KD1" s="35"/>
      <c r="KE1" s="35"/>
      <c r="KF1" s="35"/>
      <c r="KG1" s="35"/>
      <c r="KH1" s="35"/>
      <c r="KI1" s="35"/>
      <c r="KJ1" s="35"/>
      <c r="KK1" s="35"/>
      <c r="KL1" s="35"/>
      <c r="KM1" s="35"/>
      <c r="KN1" s="35"/>
      <c r="KO1" s="35"/>
      <c r="KP1" s="35"/>
      <c r="KQ1" s="35"/>
      <c r="KR1" s="35"/>
      <c r="KS1" s="35"/>
      <c r="KT1" s="35"/>
      <c r="KU1" s="35"/>
      <c r="KV1" s="35"/>
      <c r="KW1" s="35"/>
      <c r="KX1" s="35"/>
      <c r="KY1" s="35"/>
      <c r="KZ1" s="35"/>
      <c r="LA1" s="35"/>
      <c r="LB1" s="35"/>
      <c r="LC1" s="35"/>
      <c r="LD1" s="35"/>
      <c r="LE1" s="35"/>
      <c r="LF1" s="35"/>
      <c r="LG1" s="35"/>
      <c r="LH1" s="35"/>
      <c r="LI1" s="35"/>
      <c r="LJ1" s="35"/>
      <c r="LK1" s="35"/>
      <c r="LL1" s="35"/>
      <c r="LM1" s="35"/>
      <c r="LN1" s="35"/>
      <c r="LO1" s="35"/>
      <c r="LP1" s="35"/>
      <c r="LQ1" s="35"/>
      <c r="LR1" s="35"/>
      <c r="LS1" s="35"/>
      <c r="LT1" s="35"/>
      <c r="LU1" s="35"/>
      <c r="LV1" s="35"/>
      <c r="LW1" s="35"/>
      <c r="LX1" s="35"/>
      <c r="LY1" s="35"/>
      <c r="LZ1" s="35"/>
      <c r="MA1" s="35"/>
      <c r="MB1" s="35"/>
      <c r="MC1" s="35"/>
      <c r="MD1" s="35"/>
      <c r="ME1" s="35"/>
      <c r="MF1" s="35"/>
      <c r="MG1" s="35"/>
      <c r="MH1" s="35"/>
      <c r="MI1" s="35"/>
      <c r="MJ1" s="35"/>
      <c r="MK1" s="35"/>
      <c r="ML1" s="35"/>
      <c r="MM1" s="35"/>
      <c r="MN1" s="35"/>
      <c r="MO1" s="35"/>
      <c r="MP1" s="35"/>
      <c r="MQ1" s="35"/>
      <c r="MR1" s="35"/>
      <c r="MS1" s="35"/>
      <c r="MT1" s="35"/>
      <c r="MU1" s="35"/>
      <c r="MV1" s="35"/>
      <c r="MW1" s="35"/>
      <c r="MX1" s="35"/>
      <c r="MY1" s="35"/>
      <c r="MZ1" s="35"/>
      <c r="NA1" s="35"/>
      <c r="NB1" s="35"/>
      <c r="NC1" s="35"/>
      <c r="ND1" s="35"/>
      <c r="NE1" s="35"/>
      <c r="NF1" s="35"/>
      <c r="NG1" s="35"/>
      <c r="NH1" s="35"/>
      <c r="NI1" s="35"/>
      <c r="NJ1" s="35"/>
      <c r="NK1" s="35"/>
      <c r="NL1" s="35"/>
      <c r="NM1" s="35"/>
      <c r="NN1" s="35"/>
      <c r="NO1" s="35"/>
      <c r="NP1" s="35"/>
      <c r="NQ1" s="35"/>
      <c r="NR1" s="35"/>
      <c r="NS1" s="35"/>
      <c r="NT1" s="35"/>
      <c r="NU1" s="35"/>
      <c r="NV1" s="35"/>
      <c r="NW1" s="35"/>
      <c r="NX1" s="35"/>
      <c r="NY1" s="35"/>
      <c r="NZ1" s="35"/>
      <c r="OA1" s="35"/>
      <c r="OB1" s="35"/>
      <c r="OC1" s="35"/>
      <c r="OD1" s="35"/>
      <c r="OE1" s="35"/>
      <c r="OF1" s="35"/>
      <c r="OG1" s="35"/>
      <c r="OH1" s="35"/>
      <c r="OI1" s="35"/>
      <c r="OJ1" s="35"/>
      <c r="OK1" s="35"/>
      <c r="OL1" s="35"/>
      <c r="OM1" s="35"/>
      <c r="ON1" s="35"/>
      <c r="OO1" s="35"/>
      <c r="OP1" s="35"/>
      <c r="OQ1" s="35"/>
      <c r="OR1" s="35"/>
      <c r="OS1" s="35"/>
      <c r="OT1" s="35"/>
      <c r="OU1" s="35"/>
      <c r="OV1" s="35"/>
      <c r="OW1" s="35"/>
      <c r="OX1" s="35"/>
      <c r="OY1" s="35"/>
      <c r="OZ1" s="35"/>
      <c r="PA1" s="35"/>
      <c r="PB1" s="35"/>
      <c r="PC1" s="35"/>
      <c r="PD1" s="35"/>
      <c r="PE1" s="35"/>
      <c r="PF1" s="35"/>
      <c r="PG1" s="35"/>
      <c r="PH1" s="35"/>
      <c r="PI1" s="35"/>
      <c r="PJ1" s="35"/>
      <c r="PK1" s="35"/>
      <c r="PL1" s="35"/>
      <c r="PM1" s="35"/>
      <c r="PN1" s="35"/>
      <c r="PO1" s="35"/>
      <c r="PP1" s="35"/>
      <c r="PQ1" s="35"/>
      <c r="PR1" s="35"/>
      <c r="PS1" s="35"/>
      <c r="PT1" s="35"/>
      <c r="PU1" s="35"/>
      <c r="PV1" s="35"/>
      <c r="PW1" s="35"/>
      <c r="PX1" s="35"/>
      <c r="PY1" s="35"/>
      <c r="PZ1" s="35"/>
      <c r="QA1" s="35"/>
      <c r="QB1" s="35"/>
      <c r="QC1" s="35"/>
      <c r="QD1" s="35"/>
      <c r="QE1" s="35"/>
      <c r="QF1" s="35"/>
      <c r="QG1" s="35"/>
      <c r="QH1" s="35"/>
      <c r="QI1" s="35"/>
      <c r="QJ1" s="35"/>
      <c r="QK1" s="35"/>
      <c r="QL1" s="35"/>
      <c r="QM1" s="35"/>
      <c r="QN1" s="35"/>
      <c r="QO1" s="35"/>
      <c r="QP1" s="35"/>
      <c r="QQ1" s="35"/>
      <c r="QR1" s="35"/>
      <c r="QS1" s="35"/>
      <c r="QT1" s="35"/>
      <c r="QU1" s="35"/>
      <c r="QV1" s="35"/>
      <c r="QW1" s="35"/>
      <c r="QX1" s="35"/>
      <c r="QY1" s="35"/>
      <c r="QZ1" s="35"/>
      <c r="RA1" s="35"/>
      <c r="RB1" s="35"/>
      <c r="RC1" s="35"/>
      <c r="RD1" s="35"/>
      <c r="RE1" s="35"/>
      <c r="RF1" s="35"/>
      <c r="RG1" s="35"/>
      <c r="RH1" s="35"/>
      <c r="RI1" s="35"/>
      <c r="RJ1" s="35"/>
      <c r="RK1" s="35"/>
      <c r="RL1" s="35"/>
      <c r="RM1" s="35"/>
      <c r="RN1" s="35"/>
      <c r="RO1" s="35"/>
      <c r="RP1" s="35"/>
      <c r="RQ1" s="35"/>
      <c r="RR1" s="35"/>
      <c r="RS1" s="35"/>
      <c r="RT1" s="35"/>
      <c r="RU1" s="35"/>
      <c r="RV1" s="35"/>
      <c r="RW1" s="35"/>
      <c r="RX1" s="35"/>
      <c r="RY1" s="35"/>
      <c r="RZ1" s="35"/>
      <c r="SA1" s="35"/>
      <c r="SB1" s="35"/>
      <c r="SC1" s="35"/>
      <c r="SD1" s="35"/>
      <c r="SE1" s="35"/>
      <c r="SF1" s="35"/>
      <c r="SG1" s="35"/>
      <c r="SH1" s="35"/>
      <c r="SI1" s="35"/>
      <c r="SJ1" s="35"/>
      <c r="SK1" s="35"/>
      <c r="SL1" s="35"/>
      <c r="SM1" s="35"/>
      <c r="SN1" s="35"/>
      <c r="SO1" s="35"/>
      <c r="SP1" s="35"/>
      <c r="SQ1" s="35"/>
      <c r="SR1" s="35"/>
      <c r="SS1" s="35"/>
      <c r="ST1" s="35"/>
      <c r="SU1" s="35"/>
      <c r="SV1" s="35"/>
      <c r="SW1" s="35"/>
      <c r="SX1" s="35"/>
      <c r="SY1" s="35"/>
      <c r="SZ1" s="35"/>
      <c r="TA1" s="35"/>
      <c r="TB1" s="35"/>
      <c r="TC1" s="35"/>
      <c r="TD1" s="35"/>
      <c r="TE1" s="35"/>
      <c r="TF1" s="35"/>
      <c r="TG1" s="35"/>
      <c r="TH1" s="35"/>
      <c r="TI1" s="35"/>
      <c r="TJ1" s="35"/>
      <c r="TK1" s="35"/>
      <c r="TL1" s="35"/>
      <c r="TM1" s="35"/>
      <c r="TN1" s="35"/>
      <c r="TO1" s="35"/>
      <c r="TP1" s="35"/>
      <c r="TQ1" s="35"/>
      <c r="TR1" s="35"/>
      <c r="TS1" s="35"/>
      <c r="TT1" s="35"/>
      <c r="TU1" s="35"/>
      <c r="TV1" s="35"/>
      <c r="TW1" s="35"/>
      <c r="TX1" s="35"/>
      <c r="TY1" s="35"/>
      <c r="TZ1" s="35"/>
      <c r="UA1" s="35"/>
      <c r="UB1" s="35"/>
      <c r="UC1" s="35"/>
      <c r="UD1" s="35"/>
      <c r="UE1" s="35"/>
      <c r="UF1" s="35"/>
      <c r="UG1" s="35"/>
      <c r="UH1" s="35"/>
      <c r="UI1" s="35"/>
      <c r="UJ1" s="35"/>
      <c r="UK1" s="35"/>
      <c r="UL1" s="35"/>
      <c r="UM1" s="35"/>
      <c r="UN1" s="35"/>
      <c r="UO1" s="35"/>
      <c r="UP1" s="35"/>
      <c r="UQ1" s="35"/>
      <c r="UR1" s="35"/>
      <c r="US1" s="35"/>
      <c r="UT1" s="35"/>
      <c r="UU1" s="35"/>
      <c r="UV1" s="35"/>
      <c r="UW1" s="35"/>
      <c r="UX1" s="35"/>
      <c r="UY1" s="35"/>
      <c r="UZ1" s="35"/>
      <c r="VA1" s="35"/>
      <c r="VB1" s="35"/>
      <c r="VC1" s="35"/>
      <c r="VD1" s="35"/>
      <c r="VE1" s="35"/>
      <c r="VF1" s="35"/>
      <c r="VG1" s="35"/>
      <c r="VH1" s="35"/>
      <c r="VI1" s="35"/>
      <c r="VJ1" s="35"/>
      <c r="VK1" s="35"/>
      <c r="VL1" s="35"/>
      <c r="VM1" s="35"/>
      <c r="VN1" s="35"/>
      <c r="VO1" s="35"/>
      <c r="VP1" s="35"/>
      <c r="VQ1" s="35"/>
      <c r="VR1" s="35"/>
      <c r="VS1" s="35"/>
      <c r="VT1" s="35"/>
      <c r="VU1" s="35"/>
      <c r="VV1" s="35"/>
      <c r="VW1" s="35"/>
      <c r="VX1" s="35"/>
      <c r="VY1" s="35"/>
      <c r="VZ1" s="35"/>
      <c r="WA1" s="35"/>
      <c r="WB1" s="35"/>
      <c r="WC1" s="35"/>
      <c r="WD1" s="35"/>
      <c r="WE1" s="35"/>
      <c r="WF1" s="35"/>
      <c r="WG1" s="35"/>
      <c r="WH1" s="35"/>
      <c r="WI1" s="35"/>
      <c r="WJ1" s="35"/>
      <c r="WK1" s="35"/>
      <c r="WL1" s="35"/>
      <c r="WM1" s="35"/>
      <c r="WN1" s="35"/>
      <c r="WO1" s="35"/>
      <c r="WP1" s="35"/>
      <c r="WQ1" s="35"/>
      <c r="WR1" s="35"/>
      <c r="WS1" s="35"/>
      <c r="WT1" s="35"/>
      <c r="WU1" s="35"/>
      <c r="WV1" s="35"/>
      <c r="WW1" s="35"/>
      <c r="WX1" s="35"/>
      <c r="WY1" s="35"/>
      <c r="WZ1" s="35"/>
      <c r="XA1" s="35"/>
      <c r="XB1" s="35"/>
      <c r="XC1" s="35"/>
      <c r="XD1" s="35"/>
      <c r="XE1" s="35"/>
      <c r="XF1" s="35"/>
      <c r="XG1" s="35"/>
      <c r="XH1" s="35"/>
      <c r="XI1" s="35"/>
      <c r="XJ1" s="35"/>
      <c r="XK1" s="35"/>
      <c r="XL1" s="35"/>
      <c r="XM1" s="35"/>
      <c r="XN1" s="35"/>
      <c r="XO1" s="35"/>
      <c r="XP1" s="35"/>
      <c r="XQ1" s="35"/>
      <c r="XR1" s="35"/>
      <c r="XS1" s="35"/>
      <c r="XT1" s="35"/>
      <c r="XU1" s="35"/>
      <c r="XV1" s="35"/>
      <c r="XW1" s="35"/>
      <c r="XX1" s="35"/>
      <c r="XY1" s="35"/>
      <c r="XZ1" s="35"/>
      <c r="YA1" s="35"/>
      <c r="YB1" s="35"/>
      <c r="YC1" s="35"/>
      <c r="YD1" s="35"/>
      <c r="YE1" s="35"/>
      <c r="YF1" s="35"/>
      <c r="YG1" s="35"/>
      <c r="YH1" s="35"/>
      <c r="YI1" s="35"/>
      <c r="YJ1" s="35"/>
      <c r="YK1" s="35"/>
      <c r="YL1" s="35"/>
      <c r="YM1" s="35"/>
      <c r="YN1" s="35"/>
      <c r="YO1" s="35"/>
      <c r="YP1" s="35"/>
      <c r="YQ1" s="35"/>
      <c r="YR1" s="35"/>
      <c r="YS1" s="35"/>
      <c r="YT1" s="35"/>
      <c r="YU1" s="35"/>
      <c r="YV1" s="35"/>
      <c r="YW1" s="35"/>
      <c r="YX1" s="35"/>
      <c r="YY1" s="35"/>
      <c r="YZ1" s="35"/>
      <c r="ZA1" s="35"/>
      <c r="ZB1" s="35"/>
      <c r="ZC1" s="35"/>
      <c r="ZD1" s="35"/>
      <c r="ZE1" s="35"/>
      <c r="ZF1" s="35"/>
      <c r="ZG1" s="35"/>
      <c r="ZH1" s="35"/>
      <c r="ZI1" s="35"/>
      <c r="ZJ1" s="35"/>
      <c r="ZK1" s="35"/>
      <c r="ZL1" s="35"/>
      <c r="ZM1" s="35"/>
      <c r="ZN1" s="35"/>
      <c r="ZO1" s="35"/>
      <c r="ZP1" s="35"/>
      <c r="ZQ1" s="35"/>
      <c r="ZR1" s="35"/>
      <c r="ZS1" s="35"/>
      <c r="ZT1" s="35"/>
      <c r="ZU1" s="35"/>
      <c r="ZV1" s="35"/>
      <c r="ZW1" s="35"/>
      <c r="ZX1" s="35"/>
      <c r="ZY1" s="35"/>
      <c r="ZZ1" s="35"/>
      <c r="AAA1" s="35"/>
      <c r="AAB1" s="35"/>
      <c r="AAC1" s="35"/>
      <c r="AAD1" s="35"/>
      <c r="AAE1" s="35"/>
      <c r="AAF1" s="35"/>
      <c r="AAG1" s="35"/>
      <c r="AAH1" s="35"/>
      <c r="AAI1" s="35"/>
      <c r="AAJ1" s="35"/>
      <c r="AAK1" s="35"/>
      <c r="AAL1" s="35"/>
      <c r="AAM1" s="35"/>
      <c r="AAN1" s="35"/>
      <c r="AAO1" s="35"/>
      <c r="AAP1" s="35"/>
      <c r="AAQ1" s="35"/>
      <c r="AAR1" s="35"/>
      <c r="AAS1" s="35"/>
      <c r="AAT1" s="35"/>
      <c r="AAU1" s="35"/>
      <c r="AAV1" s="35"/>
      <c r="AAW1" s="35"/>
      <c r="AAX1" s="35"/>
      <c r="AAY1" s="35"/>
      <c r="AAZ1" s="35"/>
      <c r="ABA1" s="35"/>
      <c r="ABB1" s="35"/>
      <c r="ABC1" s="35"/>
      <c r="ABD1" s="35"/>
      <c r="ABE1" s="35"/>
      <c r="ABF1" s="35"/>
      <c r="ABG1" s="35"/>
      <c r="ABH1" s="35"/>
      <c r="ABI1" s="35"/>
      <c r="ABJ1" s="35"/>
      <c r="ABK1" s="35"/>
      <c r="ABL1" s="35"/>
      <c r="ABM1" s="35"/>
      <c r="ABN1" s="35"/>
      <c r="ABO1" s="35"/>
      <c r="ABP1" s="35"/>
      <c r="ABQ1" s="35"/>
      <c r="ABR1" s="35"/>
      <c r="ABS1" s="35"/>
      <c r="ABT1" s="35"/>
      <c r="ABU1" s="35"/>
      <c r="ABV1" s="35"/>
      <c r="ABW1" s="35"/>
      <c r="ABX1" s="35"/>
      <c r="ABY1" s="35"/>
      <c r="ABZ1" s="35"/>
      <c r="ACA1" s="35"/>
      <c r="ACB1" s="35"/>
      <c r="ACC1" s="35"/>
      <c r="ACD1" s="35"/>
      <c r="ACE1" s="35"/>
      <c r="ACF1" s="35"/>
      <c r="ACG1" s="35"/>
      <c r="ACH1" s="35"/>
      <c r="ACI1" s="35"/>
      <c r="ACJ1" s="35"/>
      <c r="ACK1" s="35"/>
      <c r="ACL1" s="35"/>
      <c r="ACM1" s="35"/>
      <c r="ACN1" s="35"/>
      <c r="ACO1" s="35"/>
      <c r="ACP1" s="35"/>
      <c r="ACQ1" s="35"/>
      <c r="ACR1" s="35"/>
      <c r="ACS1" s="35"/>
      <c r="ACT1" s="35"/>
      <c r="ACU1" s="35"/>
      <c r="ACV1" s="35"/>
      <c r="ACW1" s="35"/>
      <c r="ACX1" s="35"/>
      <c r="ACY1" s="35"/>
      <c r="ACZ1" s="35"/>
      <c r="ADA1" s="35"/>
      <c r="ADB1" s="35"/>
      <c r="ADC1" s="35"/>
      <c r="ADD1" s="35"/>
      <c r="ADE1" s="35"/>
      <c r="ADF1" s="35"/>
      <c r="ADG1" s="35"/>
      <c r="ADH1" s="35"/>
      <c r="ADI1" s="35"/>
      <c r="ADJ1" s="35"/>
      <c r="ADK1" s="35"/>
      <c r="ADL1" s="35"/>
      <c r="ADM1" s="35"/>
      <c r="ADN1" s="35"/>
      <c r="ADO1" s="35"/>
      <c r="ADP1" s="35"/>
      <c r="ADQ1" s="35"/>
      <c r="ADR1" s="35"/>
      <c r="ADS1" s="35"/>
      <c r="ADT1" s="35"/>
      <c r="ADU1" s="35"/>
      <c r="ADV1" s="35"/>
      <c r="ADW1" s="35"/>
      <c r="ADX1" s="35"/>
      <c r="ADY1" s="35"/>
      <c r="ADZ1" s="35"/>
      <c r="AEA1" s="35"/>
      <c r="AEB1" s="35"/>
      <c r="AEC1" s="35"/>
      <c r="AED1" s="35"/>
      <c r="AEE1" s="35"/>
      <c r="AEF1" s="35"/>
      <c r="AEG1" s="35"/>
      <c r="AEH1" s="35"/>
      <c r="AEI1" s="35"/>
      <c r="AEJ1" s="35"/>
      <c r="AEK1" s="35"/>
      <c r="AEL1" s="35"/>
      <c r="AEM1" s="35"/>
      <c r="AEN1" s="35"/>
      <c r="AEO1" s="35"/>
      <c r="AEP1" s="35"/>
      <c r="AEQ1" s="35"/>
      <c r="AER1" s="35"/>
      <c r="AES1" s="35"/>
      <c r="AET1" s="35"/>
      <c r="AEU1" s="35"/>
      <c r="AEV1" s="35"/>
      <c r="AEW1" s="35"/>
      <c r="AEX1" s="35"/>
      <c r="AEY1" s="35"/>
      <c r="AEZ1" s="35"/>
      <c r="AFA1" s="35"/>
      <c r="AFB1" s="35"/>
      <c r="AFC1" s="35"/>
      <c r="AFD1" s="35"/>
      <c r="AFE1" s="35"/>
      <c r="AFF1" s="35"/>
      <c r="AFG1" s="35"/>
      <c r="AFH1" s="35"/>
      <c r="AFI1" s="35"/>
      <c r="AFJ1" s="35"/>
      <c r="AFK1" s="35"/>
      <c r="AFL1" s="35"/>
      <c r="AFM1" s="35"/>
      <c r="AFN1" s="35"/>
      <c r="AFO1" s="35"/>
      <c r="AFP1" s="35"/>
      <c r="AFQ1" s="35"/>
      <c r="AFR1" s="35"/>
      <c r="AFS1" s="35"/>
      <c r="AFT1" s="35"/>
      <c r="AFU1" s="35"/>
      <c r="AFV1" s="35"/>
      <c r="AFW1" s="35"/>
      <c r="AFX1" s="35"/>
      <c r="AFY1" s="35"/>
      <c r="AFZ1" s="35"/>
      <c r="AGA1" s="35"/>
      <c r="AGB1" s="35"/>
      <c r="AGC1" s="35"/>
      <c r="AGD1" s="35"/>
      <c r="AGE1" s="35"/>
      <c r="AGF1" s="35"/>
      <c r="AGG1" s="35"/>
      <c r="AGH1" s="35"/>
      <c r="AGI1" s="35"/>
      <c r="AGJ1" s="35"/>
      <c r="AGK1" s="35"/>
      <c r="AGL1" s="35"/>
      <c r="AGM1" s="35"/>
      <c r="AGN1" s="35"/>
      <c r="AGO1" s="35"/>
      <c r="AGP1" s="35"/>
      <c r="AGQ1" s="35"/>
      <c r="AGR1" s="35"/>
      <c r="AGS1" s="35"/>
      <c r="AGT1" s="35"/>
      <c r="AGU1" s="35"/>
      <c r="AGV1" s="35"/>
      <c r="AGW1" s="35"/>
      <c r="AGX1" s="35"/>
      <c r="AGY1" s="35"/>
      <c r="AGZ1" s="35"/>
      <c r="AHA1" s="35"/>
      <c r="AHB1" s="35"/>
      <c r="AHC1" s="35"/>
      <c r="AHD1" s="35"/>
      <c r="AHE1" s="35"/>
      <c r="AHF1" s="35"/>
      <c r="AHG1" s="35"/>
      <c r="AHH1" s="35"/>
      <c r="AHI1" s="35"/>
      <c r="AHJ1" s="35"/>
      <c r="AHK1" s="35"/>
      <c r="AHL1" s="35"/>
      <c r="AHM1" s="35"/>
      <c r="AHN1" s="35"/>
      <c r="AHO1" s="35"/>
      <c r="AHP1" s="35"/>
      <c r="AHQ1" s="35"/>
      <c r="AHR1" s="35"/>
      <c r="AHS1" s="35"/>
      <c r="AHT1" s="35"/>
      <c r="AHU1" s="35"/>
      <c r="AHV1" s="35"/>
      <c r="AHW1" s="35"/>
      <c r="AHX1" s="35"/>
      <c r="AHY1" s="35"/>
      <c r="AHZ1" s="35"/>
      <c r="AIA1" s="35"/>
      <c r="AIB1" s="35"/>
      <c r="AIC1" s="35"/>
      <c r="AID1" s="35"/>
      <c r="AIE1" s="35"/>
      <c r="AIF1" s="35"/>
      <c r="AIG1" s="35"/>
      <c r="AIH1" s="35"/>
      <c r="AII1" s="35"/>
      <c r="AIJ1" s="35"/>
      <c r="AIK1" s="35"/>
      <c r="AIL1" s="35"/>
      <c r="AIM1" s="35"/>
      <c r="AIN1" s="35"/>
      <c r="AIO1" s="35"/>
      <c r="AIP1" s="35"/>
      <c r="AIQ1" s="35"/>
      <c r="AIR1" s="35"/>
      <c r="AIS1" s="35"/>
      <c r="AIT1" s="35"/>
      <c r="AIU1" s="35"/>
      <c r="AIV1" s="35"/>
      <c r="AIW1" s="35"/>
      <c r="AIX1" s="35"/>
      <c r="AIY1" s="35"/>
      <c r="AIZ1" s="35"/>
      <c r="AJA1" s="35"/>
      <c r="AJB1" s="35"/>
      <c r="AJC1" s="35"/>
      <c r="AJD1" s="35"/>
      <c r="AJE1" s="35"/>
      <c r="AJF1" s="35"/>
      <c r="AJG1" s="35"/>
      <c r="AJH1" s="35"/>
      <c r="AJI1" s="35"/>
      <c r="AJJ1" s="35"/>
      <c r="AJK1" s="35"/>
      <c r="AJL1" s="35"/>
      <c r="AJM1" s="35"/>
      <c r="AJN1" s="35"/>
      <c r="AJO1" s="35"/>
      <c r="AJP1" s="35"/>
      <c r="AJQ1" s="35"/>
      <c r="AJR1" s="35"/>
      <c r="AJS1" s="35"/>
      <c r="AJT1" s="35"/>
      <c r="AJU1" s="35"/>
      <c r="AJV1" s="35"/>
      <c r="AJW1" s="35"/>
      <c r="AJX1" s="35"/>
      <c r="AJY1" s="35"/>
      <c r="AJZ1" s="35"/>
      <c r="AKA1" s="35"/>
      <c r="AKB1" s="35"/>
      <c r="AKC1" s="35"/>
      <c r="AKD1" s="35"/>
      <c r="AKE1" s="35"/>
      <c r="AKF1" s="35"/>
      <c r="AKG1" s="35"/>
      <c r="AKH1" s="35"/>
      <c r="AKI1" s="35"/>
      <c r="AKJ1" s="35"/>
      <c r="AKK1" s="35"/>
      <c r="AKL1" s="35"/>
      <c r="AKM1" s="35"/>
      <c r="AKN1" s="35"/>
      <c r="AKO1" s="35"/>
      <c r="AKP1" s="35"/>
      <c r="AKQ1" s="35"/>
      <c r="AKR1" s="35"/>
      <c r="AKS1" s="35"/>
      <c r="AKT1" s="35"/>
      <c r="AKU1" s="35"/>
      <c r="AKV1" s="35"/>
      <c r="AKW1" s="35"/>
      <c r="AKX1" s="35"/>
      <c r="AKY1" s="35"/>
      <c r="AKZ1" s="35"/>
      <c r="ALA1" s="35"/>
      <c r="ALB1" s="35"/>
      <c r="ALC1" s="35"/>
      <c r="ALD1" s="35"/>
      <c r="ALE1" s="35"/>
      <c r="ALF1" s="35"/>
      <c r="ALG1" s="35"/>
      <c r="ALH1" s="35"/>
      <c r="ALI1" s="35"/>
      <c r="ALJ1" s="35"/>
      <c r="ALK1" s="35"/>
      <c r="ALL1" s="35"/>
      <c r="ALM1" s="35"/>
      <c r="ALN1" s="35"/>
      <c r="ALO1" s="35"/>
      <c r="ALP1" s="35"/>
      <c r="ALQ1" s="35"/>
      <c r="ALR1" s="35"/>
      <c r="ALS1" s="35"/>
      <c r="ALT1" s="35"/>
      <c r="ALU1" s="35"/>
      <c r="ALV1" s="35"/>
      <c r="ALW1" s="35"/>
      <c r="ALX1" s="35"/>
      <c r="ALY1" s="35"/>
    </row>
    <row r="2" customFormat="false" ht="12.8" hidden="false" customHeight="true" outlineLevel="0" collapsed="false">
      <c r="A2" s="30"/>
      <c r="B2" s="33"/>
      <c r="C2" s="77" t="s">
        <v>570</v>
      </c>
      <c r="D2" s="33"/>
      <c r="E2" s="33"/>
      <c r="F2" s="33"/>
      <c r="G2" s="33"/>
      <c r="H2" s="33"/>
      <c r="I2" s="33"/>
      <c r="J2" s="33"/>
      <c r="K2" s="33"/>
      <c r="L2" s="33"/>
      <c r="M2" s="33"/>
      <c r="N2" s="33"/>
      <c r="O2" s="33"/>
      <c r="P2" s="33"/>
      <c r="Q2" s="33"/>
      <c r="R2" s="33"/>
      <c r="S2" s="33"/>
      <c r="T2" s="33"/>
      <c r="U2" s="33"/>
      <c r="V2" s="34"/>
      <c r="W2" s="33"/>
      <c r="X2" s="33"/>
      <c r="Y2" s="33"/>
      <c r="Z2" s="33"/>
      <c r="AA2" s="31"/>
      <c r="AB2" s="34"/>
      <c r="AC2" s="34"/>
      <c r="AD2" s="33"/>
      <c r="AE2" s="33"/>
      <c r="AF2" s="33"/>
      <c r="AG2" s="33"/>
      <c r="AH2" s="33"/>
      <c r="AI2" s="33"/>
      <c r="AJ2" s="33"/>
      <c r="AK2" s="31"/>
      <c r="AL2" s="34"/>
      <c r="AM2" s="31"/>
      <c r="AN2" s="31"/>
      <c r="AO2" s="33"/>
      <c r="AP2" s="31"/>
      <c r="AQ2" s="31"/>
      <c r="AR2" s="31"/>
      <c r="AS2" s="32"/>
      <c r="AT2" s="32"/>
      <c r="AU2" s="31" t="s">
        <v>364</v>
      </c>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c r="CF2" s="35"/>
      <c r="CG2" s="35"/>
      <c r="CH2" s="35"/>
      <c r="CI2" s="35"/>
      <c r="CJ2" s="35"/>
      <c r="CK2" s="35"/>
      <c r="CL2" s="35"/>
      <c r="CM2" s="35"/>
      <c r="CN2" s="35"/>
      <c r="CO2" s="35"/>
      <c r="CP2" s="35"/>
      <c r="CQ2" s="35"/>
      <c r="CR2" s="35"/>
      <c r="CS2" s="35"/>
      <c r="CT2" s="35"/>
      <c r="CU2" s="35"/>
      <c r="CV2" s="35"/>
      <c r="CW2" s="35"/>
      <c r="CX2" s="35"/>
      <c r="CY2" s="35"/>
      <c r="CZ2" s="35"/>
      <c r="DA2" s="35"/>
      <c r="DB2" s="35"/>
      <c r="DC2" s="35"/>
      <c r="DD2" s="35"/>
      <c r="DE2" s="35"/>
      <c r="DF2" s="35"/>
      <c r="DG2" s="35"/>
      <c r="DH2" s="35"/>
      <c r="DI2" s="35"/>
      <c r="DJ2" s="35"/>
      <c r="DK2" s="35"/>
      <c r="DL2" s="35"/>
      <c r="DM2" s="35"/>
      <c r="DN2" s="35"/>
      <c r="DO2" s="35"/>
      <c r="DP2" s="35"/>
      <c r="DQ2" s="35"/>
      <c r="DR2" s="35"/>
      <c r="DS2" s="35"/>
      <c r="DT2" s="35"/>
      <c r="DU2" s="35"/>
      <c r="DV2" s="35"/>
      <c r="DW2" s="35"/>
      <c r="DX2" s="35"/>
      <c r="DY2" s="35"/>
      <c r="DZ2" s="35"/>
      <c r="EA2" s="35"/>
      <c r="EB2" s="35"/>
      <c r="EC2" s="35"/>
      <c r="ED2" s="35"/>
      <c r="EE2" s="35"/>
      <c r="EF2" s="35"/>
      <c r="EG2" s="35"/>
      <c r="EH2" s="35"/>
      <c r="EI2" s="35"/>
      <c r="EJ2" s="35"/>
      <c r="EK2" s="35"/>
      <c r="EL2" s="35"/>
      <c r="EM2" s="35"/>
      <c r="EN2" s="35"/>
      <c r="EO2" s="35"/>
      <c r="EP2" s="35"/>
      <c r="EQ2" s="35"/>
      <c r="ER2" s="35"/>
      <c r="ES2" s="35"/>
      <c r="ET2" s="35"/>
      <c r="EU2" s="35"/>
      <c r="EV2" s="35"/>
      <c r="EW2" s="35"/>
      <c r="EX2" s="35"/>
      <c r="EY2" s="35"/>
      <c r="EZ2" s="35"/>
      <c r="FA2" s="35"/>
      <c r="FB2" s="35"/>
      <c r="FC2" s="35"/>
      <c r="FD2" s="35"/>
      <c r="FE2" s="35"/>
      <c r="FF2" s="35"/>
      <c r="FG2" s="35"/>
      <c r="FH2" s="35"/>
      <c r="FI2" s="35"/>
      <c r="FJ2" s="35"/>
      <c r="FK2" s="35"/>
      <c r="FL2" s="35"/>
      <c r="FM2" s="35"/>
      <c r="FN2" s="35"/>
      <c r="FO2" s="35"/>
      <c r="FP2" s="35"/>
      <c r="FQ2" s="35"/>
      <c r="FR2" s="35"/>
      <c r="FS2" s="35"/>
      <c r="FT2" s="35"/>
      <c r="FU2" s="35"/>
      <c r="FV2" s="35"/>
      <c r="FW2" s="35"/>
      <c r="FX2" s="35"/>
      <c r="FY2" s="35"/>
      <c r="FZ2" s="35"/>
      <c r="GA2" s="35"/>
      <c r="GB2" s="35"/>
      <c r="GC2" s="35"/>
      <c r="GD2" s="35"/>
      <c r="GE2" s="35"/>
      <c r="GF2" s="35"/>
      <c r="GG2" s="35"/>
      <c r="GH2" s="35"/>
      <c r="GI2" s="35"/>
      <c r="GJ2" s="35"/>
      <c r="GK2" s="35"/>
      <c r="GL2" s="35"/>
      <c r="GM2" s="35"/>
      <c r="GN2" s="35"/>
      <c r="GO2" s="35"/>
      <c r="GP2" s="35"/>
      <c r="GQ2" s="35"/>
      <c r="GR2" s="35"/>
      <c r="GS2" s="35"/>
      <c r="GT2" s="35"/>
      <c r="GU2" s="35"/>
      <c r="GV2" s="35"/>
      <c r="GW2" s="35"/>
      <c r="GX2" s="35"/>
      <c r="GY2" s="35"/>
      <c r="GZ2" s="35"/>
      <c r="HA2" s="35"/>
      <c r="HB2" s="35"/>
      <c r="HC2" s="35"/>
      <c r="HD2" s="35"/>
      <c r="HE2" s="35"/>
      <c r="HF2" s="35"/>
      <c r="HG2" s="35"/>
      <c r="HH2" s="35"/>
      <c r="HI2" s="35"/>
      <c r="HJ2" s="35"/>
      <c r="HK2" s="35"/>
      <c r="HL2" s="35"/>
      <c r="HM2" s="35"/>
      <c r="HN2" s="35"/>
      <c r="HO2" s="35"/>
      <c r="HP2" s="35"/>
      <c r="HQ2" s="35"/>
      <c r="HR2" s="35"/>
      <c r="HS2" s="35"/>
      <c r="HT2" s="35"/>
      <c r="HU2" s="35"/>
      <c r="HV2" s="35"/>
      <c r="HW2" s="35"/>
      <c r="HX2" s="35"/>
      <c r="HY2" s="35"/>
      <c r="HZ2" s="35"/>
      <c r="IA2" s="35"/>
      <c r="IB2" s="35"/>
      <c r="IC2" s="35"/>
      <c r="ID2" s="35"/>
      <c r="IE2" s="35"/>
      <c r="IF2" s="35"/>
      <c r="IG2" s="35"/>
      <c r="IH2" s="35"/>
      <c r="II2" s="35"/>
      <c r="IJ2" s="35"/>
      <c r="IK2" s="35"/>
      <c r="IL2" s="35"/>
      <c r="IM2" s="35"/>
      <c r="IN2" s="35"/>
      <c r="IO2" s="35"/>
      <c r="IP2" s="35"/>
      <c r="IQ2" s="35"/>
      <c r="IR2" s="35"/>
      <c r="IS2" s="35"/>
      <c r="IT2" s="35"/>
      <c r="IU2" s="35"/>
      <c r="IV2" s="35"/>
      <c r="IW2" s="35"/>
      <c r="IX2" s="35"/>
      <c r="IY2" s="35"/>
      <c r="IZ2" s="35"/>
      <c r="JA2" s="35"/>
      <c r="JB2" s="35"/>
      <c r="JC2" s="35"/>
      <c r="JD2" s="35"/>
      <c r="JE2" s="35"/>
      <c r="JF2" s="35"/>
      <c r="JG2" s="35"/>
      <c r="JH2" s="35"/>
      <c r="JI2" s="35"/>
      <c r="JJ2" s="35"/>
      <c r="JK2" s="35"/>
      <c r="JL2" s="35"/>
      <c r="JM2" s="35"/>
      <c r="JN2" s="35"/>
      <c r="JO2" s="35"/>
      <c r="JP2" s="35"/>
      <c r="JQ2" s="35"/>
      <c r="JR2" s="35"/>
      <c r="JS2" s="35"/>
      <c r="JT2" s="35"/>
      <c r="JU2" s="35"/>
      <c r="JV2" s="35"/>
      <c r="JW2" s="35"/>
      <c r="JX2" s="35"/>
      <c r="JY2" s="35"/>
      <c r="JZ2" s="35"/>
      <c r="KA2" s="35"/>
      <c r="KB2" s="35"/>
      <c r="KC2" s="35"/>
      <c r="KD2" s="35"/>
      <c r="KE2" s="35"/>
      <c r="KF2" s="35"/>
      <c r="KG2" s="35"/>
      <c r="KH2" s="35"/>
      <c r="KI2" s="35"/>
      <c r="KJ2" s="35"/>
      <c r="KK2" s="35"/>
      <c r="KL2" s="35"/>
      <c r="KM2" s="35"/>
      <c r="KN2" s="35"/>
      <c r="KO2" s="35"/>
      <c r="KP2" s="35"/>
      <c r="KQ2" s="35"/>
      <c r="KR2" s="35"/>
      <c r="KS2" s="35"/>
      <c r="KT2" s="35"/>
      <c r="KU2" s="35"/>
      <c r="KV2" s="35"/>
      <c r="KW2" s="35"/>
      <c r="KX2" s="35"/>
      <c r="KY2" s="35"/>
      <c r="KZ2" s="35"/>
      <c r="LA2" s="35"/>
      <c r="LB2" s="35"/>
      <c r="LC2" s="35"/>
      <c r="LD2" s="35"/>
      <c r="LE2" s="35"/>
      <c r="LF2" s="35"/>
      <c r="LG2" s="35"/>
      <c r="LH2" s="35"/>
      <c r="LI2" s="35"/>
      <c r="LJ2" s="35"/>
      <c r="LK2" s="35"/>
      <c r="LL2" s="35"/>
      <c r="LM2" s="35"/>
      <c r="LN2" s="35"/>
      <c r="LO2" s="35"/>
      <c r="LP2" s="35"/>
      <c r="LQ2" s="35"/>
      <c r="LR2" s="35"/>
      <c r="LS2" s="35"/>
      <c r="LT2" s="35"/>
      <c r="LU2" s="35"/>
      <c r="LV2" s="35"/>
      <c r="LW2" s="35"/>
      <c r="LX2" s="35"/>
      <c r="LY2" s="35"/>
      <c r="LZ2" s="35"/>
      <c r="MA2" s="35"/>
      <c r="MB2" s="35"/>
      <c r="MC2" s="35"/>
      <c r="MD2" s="35"/>
      <c r="ME2" s="35"/>
      <c r="MF2" s="35"/>
      <c r="MG2" s="35"/>
      <c r="MH2" s="35"/>
      <c r="MI2" s="35"/>
      <c r="MJ2" s="35"/>
      <c r="MK2" s="35"/>
      <c r="ML2" s="35"/>
      <c r="MM2" s="35"/>
      <c r="MN2" s="35"/>
      <c r="MO2" s="35"/>
      <c r="MP2" s="35"/>
      <c r="MQ2" s="35"/>
      <c r="MR2" s="35"/>
      <c r="MS2" s="35"/>
      <c r="MT2" s="35"/>
      <c r="MU2" s="35"/>
      <c r="MV2" s="35"/>
      <c r="MW2" s="35"/>
      <c r="MX2" s="35"/>
      <c r="MY2" s="35"/>
      <c r="MZ2" s="35"/>
      <c r="NA2" s="35"/>
      <c r="NB2" s="35"/>
      <c r="NC2" s="35"/>
      <c r="ND2" s="35"/>
      <c r="NE2" s="35"/>
      <c r="NF2" s="35"/>
      <c r="NG2" s="35"/>
      <c r="NH2" s="35"/>
      <c r="NI2" s="35"/>
      <c r="NJ2" s="35"/>
      <c r="NK2" s="35"/>
      <c r="NL2" s="35"/>
      <c r="NM2" s="35"/>
      <c r="NN2" s="35"/>
      <c r="NO2" s="35"/>
      <c r="NP2" s="35"/>
      <c r="NQ2" s="35"/>
      <c r="NR2" s="35"/>
      <c r="NS2" s="35"/>
      <c r="NT2" s="35"/>
      <c r="NU2" s="35"/>
      <c r="NV2" s="35"/>
      <c r="NW2" s="35"/>
      <c r="NX2" s="35"/>
      <c r="NY2" s="35"/>
      <c r="NZ2" s="35"/>
      <c r="OA2" s="35"/>
      <c r="OB2" s="35"/>
      <c r="OC2" s="35"/>
      <c r="OD2" s="35"/>
      <c r="OE2" s="35"/>
      <c r="OF2" s="35"/>
      <c r="OG2" s="35"/>
      <c r="OH2" s="35"/>
      <c r="OI2" s="35"/>
      <c r="OJ2" s="35"/>
      <c r="OK2" s="35"/>
      <c r="OL2" s="35"/>
      <c r="OM2" s="35"/>
      <c r="ON2" s="35"/>
      <c r="OO2" s="35"/>
      <c r="OP2" s="35"/>
      <c r="OQ2" s="35"/>
      <c r="OR2" s="35"/>
      <c r="OS2" s="35"/>
      <c r="OT2" s="35"/>
      <c r="OU2" s="35"/>
      <c r="OV2" s="35"/>
      <c r="OW2" s="35"/>
      <c r="OX2" s="35"/>
      <c r="OY2" s="35"/>
      <c r="OZ2" s="35"/>
      <c r="PA2" s="35"/>
      <c r="PB2" s="35"/>
      <c r="PC2" s="35"/>
      <c r="PD2" s="35"/>
      <c r="PE2" s="35"/>
      <c r="PF2" s="35"/>
      <c r="PG2" s="35"/>
      <c r="PH2" s="35"/>
      <c r="PI2" s="35"/>
      <c r="PJ2" s="35"/>
      <c r="PK2" s="35"/>
      <c r="PL2" s="35"/>
      <c r="PM2" s="35"/>
      <c r="PN2" s="35"/>
      <c r="PO2" s="35"/>
      <c r="PP2" s="35"/>
      <c r="PQ2" s="35"/>
      <c r="PR2" s="35"/>
      <c r="PS2" s="35"/>
      <c r="PT2" s="35"/>
      <c r="PU2" s="35"/>
      <c r="PV2" s="35"/>
      <c r="PW2" s="35"/>
      <c r="PX2" s="35"/>
      <c r="PY2" s="35"/>
      <c r="PZ2" s="35"/>
      <c r="QA2" s="35"/>
      <c r="QB2" s="35"/>
      <c r="QC2" s="35"/>
      <c r="QD2" s="35"/>
      <c r="QE2" s="35"/>
      <c r="QF2" s="35"/>
      <c r="QG2" s="35"/>
      <c r="QH2" s="35"/>
      <c r="QI2" s="35"/>
      <c r="QJ2" s="35"/>
      <c r="QK2" s="35"/>
      <c r="QL2" s="35"/>
      <c r="QM2" s="35"/>
      <c r="QN2" s="35"/>
      <c r="QO2" s="35"/>
      <c r="QP2" s="35"/>
      <c r="QQ2" s="35"/>
      <c r="QR2" s="35"/>
      <c r="QS2" s="35"/>
      <c r="QT2" s="35"/>
      <c r="QU2" s="35"/>
      <c r="QV2" s="35"/>
      <c r="QW2" s="35"/>
      <c r="QX2" s="35"/>
      <c r="QY2" s="35"/>
      <c r="QZ2" s="35"/>
      <c r="RA2" s="35"/>
      <c r="RB2" s="35"/>
      <c r="RC2" s="35"/>
      <c r="RD2" s="35"/>
      <c r="RE2" s="35"/>
      <c r="RF2" s="35"/>
      <c r="RG2" s="35"/>
      <c r="RH2" s="35"/>
      <c r="RI2" s="35"/>
      <c r="RJ2" s="35"/>
      <c r="RK2" s="35"/>
      <c r="RL2" s="35"/>
      <c r="RM2" s="35"/>
      <c r="RN2" s="35"/>
      <c r="RO2" s="35"/>
      <c r="RP2" s="35"/>
      <c r="RQ2" s="35"/>
      <c r="RR2" s="35"/>
      <c r="RS2" s="35"/>
      <c r="RT2" s="35"/>
      <c r="RU2" s="35"/>
      <c r="RV2" s="35"/>
      <c r="RW2" s="35"/>
      <c r="RX2" s="35"/>
      <c r="RY2" s="35"/>
      <c r="RZ2" s="35"/>
      <c r="SA2" s="35"/>
      <c r="SB2" s="35"/>
      <c r="SC2" s="35"/>
      <c r="SD2" s="35"/>
      <c r="SE2" s="35"/>
      <c r="SF2" s="35"/>
      <c r="SG2" s="35"/>
      <c r="SH2" s="35"/>
      <c r="SI2" s="35"/>
      <c r="SJ2" s="35"/>
      <c r="SK2" s="35"/>
      <c r="SL2" s="35"/>
      <c r="SM2" s="35"/>
      <c r="SN2" s="35"/>
      <c r="SO2" s="35"/>
      <c r="SP2" s="35"/>
      <c r="SQ2" s="35"/>
      <c r="SR2" s="35"/>
      <c r="SS2" s="35"/>
      <c r="ST2" s="35"/>
      <c r="SU2" s="35"/>
      <c r="SV2" s="35"/>
      <c r="SW2" s="35"/>
      <c r="SX2" s="35"/>
      <c r="SY2" s="35"/>
      <c r="SZ2" s="35"/>
      <c r="TA2" s="35"/>
      <c r="TB2" s="35"/>
      <c r="TC2" s="35"/>
      <c r="TD2" s="35"/>
      <c r="TE2" s="35"/>
      <c r="TF2" s="35"/>
      <c r="TG2" s="35"/>
      <c r="TH2" s="35"/>
      <c r="TI2" s="35"/>
      <c r="TJ2" s="35"/>
      <c r="TK2" s="35"/>
      <c r="TL2" s="35"/>
      <c r="TM2" s="35"/>
      <c r="TN2" s="35"/>
      <c r="TO2" s="35"/>
      <c r="TP2" s="35"/>
      <c r="TQ2" s="35"/>
      <c r="TR2" s="35"/>
      <c r="TS2" s="35"/>
      <c r="TT2" s="35"/>
      <c r="TU2" s="35"/>
      <c r="TV2" s="35"/>
      <c r="TW2" s="35"/>
      <c r="TX2" s="35"/>
      <c r="TY2" s="35"/>
      <c r="TZ2" s="35"/>
      <c r="UA2" s="35"/>
      <c r="UB2" s="35"/>
      <c r="UC2" s="35"/>
      <c r="UD2" s="35"/>
      <c r="UE2" s="35"/>
      <c r="UF2" s="35"/>
      <c r="UG2" s="35"/>
      <c r="UH2" s="35"/>
      <c r="UI2" s="35"/>
      <c r="UJ2" s="35"/>
      <c r="UK2" s="35"/>
      <c r="UL2" s="35"/>
      <c r="UM2" s="35"/>
      <c r="UN2" s="35"/>
      <c r="UO2" s="35"/>
      <c r="UP2" s="35"/>
      <c r="UQ2" s="35"/>
      <c r="UR2" s="35"/>
      <c r="US2" s="35"/>
      <c r="UT2" s="35"/>
      <c r="UU2" s="35"/>
      <c r="UV2" s="35"/>
      <c r="UW2" s="35"/>
      <c r="UX2" s="35"/>
      <c r="UY2" s="35"/>
      <c r="UZ2" s="35"/>
      <c r="VA2" s="35"/>
      <c r="VB2" s="35"/>
      <c r="VC2" s="35"/>
      <c r="VD2" s="35"/>
      <c r="VE2" s="35"/>
      <c r="VF2" s="35"/>
      <c r="VG2" s="35"/>
      <c r="VH2" s="35"/>
      <c r="VI2" s="35"/>
      <c r="VJ2" s="35"/>
      <c r="VK2" s="35"/>
      <c r="VL2" s="35"/>
      <c r="VM2" s="35"/>
      <c r="VN2" s="35"/>
      <c r="VO2" s="35"/>
      <c r="VP2" s="35"/>
      <c r="VQ2" s="35"/>
      <c r="VR2" s="35"/>
      <c r="VS2" s="35"/>
      <c r="VT2" s="35"/>
      <c r="VU2" s="35"/>
      <c r="VV2" s="35"/>
      <c r="VW2" s="35"/>
      <c r="VX2" s="35"/>
      <c r="VY2" s="35"/>
      <c r="VZ2" s="35"/>
      <c r="WA2" s="35"/>
      <c r="WB2" s="35"/>
      <c r="WC2" s="35"/>
      <c r="WD2" s="35"/>
      <c r="WE2" s="35"/>
      <c r="WF2" s="35"/>
      <c r="WG2" s="35"/>
      <c r="WH2" s="35"/>
      <c r="WI2" s="35"/>
      <c r="WJ2" s="35"/>
      <c r="WK2" s="35"/>
      <c r="WL2" s="35"/>
      <c r="WM2" s="35"/>
      <c r="WN2" s="35"/>
      <c r="WO2" s="35"/>
      <c r="WP2" s="35"/>
      <c r="WQ2" s="35"/>
      <c r="WR2" s="35"/>
      <c r="WS2" s="35"/>
      <c r="WT2" s="35"/>
      <c r="WU2" s="35"/>
      <c r="WV2" s="35"/>
      <c r="WW2" s="35"/>
      <c r="WX2" s="35"/>
      <c r="WY2" s="35"/>
      <c r="WZ2" s="35"/>
      <c r="XA2" s="35"/>
      <c r="XB2" s="35"/>
      <c r="XC2" s="35"/>
      <c r="XD2" s="35"/>
      <c r="XE2" s="35"/>
      <c r="XF2" s="35"/>
      <c r="XG2" s="35"/>
      <c r="XH2" s="35"/>
      <c r="XI2" s="35"/>
      <c r="XJ2" s="35"/>
      <c r="XK2" s="35"/>
      <c r="XL2" s="35"/>
      <c r="XM2" s="35"/>
      <c r="XN2" s="35"/>
      <c r="XO2" s="35"/>
      <c r="XP2" s="35"/>
      <c r="XQ2" s="35"/>
      <c r="XR2" s="35"/>
      <c r="XS2" s="35"/>
      <c r="XT2" s="35"/>
      <c r="XU2" s="35"/>
      <c r="XV2" s="35"/>
      <c r="XW2" s="35"/>
      <c r="XX2" s="35"/>
      <c r="XY2" s="35"/>
      <c r="XZ2" s="35"/>
      <c r="YA2" s="35"/>
      <c r="YB2" s="35"/>
      <c r="YC2" s="35"/>
      <c r="YD2" s="35"/>
      <c r="YE2" s="35"/>
      <c r="YF2" s="35"/>
      <c r="YG2" s="35"/>
      <c r="YH2" s="35"/>
      <c r="YI2" s="35"/>
      <c r="YJ2" s="35"/>
      <c r="YK2" s="35"/>
      <c r="YL2" s="35"/>
      <c r="YM2" s="35"/>
      <c r="YN2" s="35"/>
      <c r="YO2" s="35"/>
      <c r="YP2" s="35"/>
      <c r="YQ2" s="35"/>
      <c r="YR2" s="35"/>
      <c r="YS2" s="35"/>
      <c r="YT2" s="35"/>
      <c r="YU2" s="35"/>
      <c r="YV2" s="35"/>
      <c r="YW2" s="35"/>
      <c r="YX2" s="35"/>
      <c r="YY2" s="35"/>
      <c r="YZ2" s="35"/>
      <c r="ZA2" s="35"/>
      <c r="ZB2" s="35"/>
      <c r="ZC2" s="35"/>
      <c r="ZD2" s="35"/>
      <c r="ZE2" s="35"/>
      <c r="ZF2" s="35"/>
      <c r="ZG2" s="35"/>
      <c r="ZH2" s="35"/>
      <c r="ZI2" s="35"/>
      <c r="ZJ2" s="35"/>
      <c r="ZK2" s="35"/>
      <c r="ZL2" s="35"/>
      <c r="ZM2" s="35"/>
      <c r="ZN2" s="35"/>
      <c r="ZO2" s="35"/>
      <c r="ZP2" s="35"/>
      <c r="ZQ2" s="35"/>
      <c r="ZR2" s="35"/>
      <c r="ZS2" s="35"/>
      <c r="ZT2" s="35"/>
      <c r="ZU2" s="35"/>
      <c r="ZV2" s="35"/>
      <c r="ZW2" s="35"/>
      <c r="ZX2" s="35"/>
      <c r="ZY2" s="35"/>
      <c r="ZZ2" s="35"/>
      <c r="AAA2" s="35"/>
      <c r="AAB2" s="35"/>
      <c r="AAC2" s="35"/>
      <c r="AAD2" s="35"/>
      <c r="AAE2" s="35"/>
      <c r="AAF2" s="35"/>
      <c r="AAG2" s="35"/>
      <c r="AAH2" s="35"/>
      <c r="AAI2" s="35"/>
      <c r="AAJ2" s="35"/>
      <c r="AAK2" s="35"/>
      <c r="AAL2" s="35"/>
      <c r="AAM2" s="35"/>
      <c r="AAN2" s="35"/>
      <c r="AAO2" s="35"/>
      <c r="AAP2" s="35"/>
      <c r="AAQ2" s="35"/>
      <c r="AAR2" s="35"/>
      <c r="AAS2" s="35"/>
      <c r="AAT2" s="35"/>
      <c r="AAU2" s="35"/>
      <c r="AAV2" s="35"/>
      <c r="AAW2" s="35"/>
      <c r="AAX2" s="35"/>
      <c r="AAY2" s="35"/>
      <c r="AAZ2" s="35"/>
      <c r="ABA2" s="35"/>
      <c r="ABB2" s="35"/>
      <c r="ABC2" s="35"/>
      <c r="ABD2" s="35"/>
      <c r="ABE2" s="35"/>
      <c r="ABF2" s="35"/>
      <c r="ABG2" s="35"/>
      <c r="ABH2" s="35"/>
      <c r="ABI2" s="35"/>
      <c r="ABJ2" s="35"/>
      <c r="ABK2" s="35"/>
      <c r="ABL2" s="35"/>
      <c r="ABM2" s="35"/>
      <c r="ABN2" s="35"/>
      <c r="ABO2" s="35"/>
      <c r="ABP2" s="35"/>
      <c r="ABQ2" s="35"/>
      <c r="ABR2" s="35"/>
      <c r="ABS2" s="35"/>
      <c r="ABT2" s="35"/>
      <c r="ABU2" s="35"/>
      <c r="ABV2" s="35"/>
      <c r="ABW2" s="35"/>
      <c r="ABX2" s="35"/>
      <c r="ABY2" s="35"/>
      <c r="ABZ2" s="35"/>
      <c r="ACA2" s="35"/>
      <c r="ACB2" s="35"/>
      <c r="ACC2" s="35"/>
      <c r="ACD2" s="35"/>
      <c r="ACE2" s="35"/>
      <c r="ACF2" s="35"/>
      <c r="ACG2" s="35"/>
      <c r="ACH2" s="35"/>
      <c r="ACI2" s="35"/>
      <c r="ACJ2" s="35"/>
      <c r="ACK2" s="35"/>
      <c r="ACL2" s="35"/>
      <c r="ACM2" s="35"/>
      <c r="ACN2" s="35"/>
      <c r="ACO2" s="35"/>
      <c r="ACP2" s="35"/>
      <c r="ACQ2" s="35"/>
      <c r="ACR2" s="35"/>
      <c r="ACS2" s="35"/>
      <c r="ACT2" s="35"/>
      <c r="ACU2" s="35"/>
      <c r="ACV2" s="35"/>
      <c r="ACW2" s="35"/>
      <c r="ACX2" s="35"/>
      <c r="ACY2" s="35"/>
      <c r="ACZ2" s="35"/>
      <c r="ADA2" s="35"/>
      <c r="ADB2" s="35"/>
      <c r="ADC2" s="35"/>
      <c r="ADD2" s="35"/>
      <c r="ADE2" s="35"/>
      <c r="ADF2" s="35"/>
      <c r="ADG2" s="35"/>
      <c r="ADH2" s="35"/>
      <c r="ADI2" s="35"/>
      <c r="ADJ2" s="35"/>
      <c r="ADK2" s="35"/>
      <c r="ADL2" s="35"/>
      <c r="ADM2" s="35"/>
      <c r="ADN2" s="35"/>
      <c r="ADO2" s="35"/>
      <c r="ADP2" s="35"/>
      <c r="ADQ2" s="35"/>
      <c r="ADR2" s="35"/>
      <c r="ADS2" s="35"/>
      <c r="ADT2" s="35"/>
      <c r="ADU2" s="35"/>
      <c r="ADV2" s="35"/>
      <c r="ADW2" s="35"/>
      <c r="ADX2" s="35"/>
      <c r="ADY2" s="35"/>
      <c r="ADZ2" s="35"/>
      <c r="AEA2" s="35"/>
      <c r="AEB2" s="35"/>
      <c r="AEC2" s="35"/>
      <c r="AED2" s="35"/>
      <c r="AEE2" s="35"/>
      <c r="AEF2" s="35"/>
      <c r="AEG2" s="35"/>
      <c r="AEH2" s="35"/>
      <c r="AEI2" s="35"/>
      <c r="AEJ2" s="35"/>
      <c r="AEK2" s="35"/>
      <c r="AEL2" s="35"/>
      <c r="AEM2" s="35"/>
      <c r="AEN2" s="35"/>
      <c r="AEO2" s="35"/>
      <c r="AEP2" s="35"/>
      <c r="AEQ2" s="35"/>
      <c r="AER2" s="35"/>
      <c r="AES2" s="35"/>
      <c r="AET2" s="35"/>
      <c r="AEU2" s="35"/>
      <c r="AEV2" s="35"/>
      <c r="AEW2" s="35"/>
      <c r="AEX2" s="35"/>
      <c r="AEY2" s="35"/>
      <c r="AEZ2" s="35"/>
      <c r="AFA2" s="35"/>
      <c r="AFB2" s="35"/>
      <c r="AFC2" s="35"/>
      <c r="AFD2" s="35"/>
      <c r="AFE2" s="35"/>
      <c r="AFF2" s="35"/>
      <c r="AFG2" s="35"/>
      <c r="AFH2" s="35"/>
      <c r="AFI2" s="35"/>
      <c r="AFJ2" s="35"/>
      <c r="AFK2" s="35"/>
      <c r="AFL2" s="35"/>
      <c r="AFM2" s="35"/>
      <c r="AFN2" s="35"/>
      <c r="AFO2" s="35"/>
      <c r="AFP2" s="35"/>
      <c r="AFQ2" s="35"/>
      <c r="AFR2" s="35"/>
      <c r="AFS2" s="35"/>
      <c r="AFT2" s="35"/>
      <c r="AFU2" s="35"/>
      <c r="AFV2" s="35"/>
      <c r="AFW2" s="35"/>
      <c r="AFX2" s="35"/>
      <c r="AFY2" s="35"/>
      <c r="AFZ2" s="35"/>
      <c r="AGA2" s="35"/>
      <c r="AGB2" s="35"/>
      <c r="AGC2" s="35"/>
      <c r="AGD2" s="35"/>
      <c r="AGE2" s="35"/>
      <c r="AGF2" s="35"/>
      <c r="AGG2" s="35"/>
      <c r="AGH2" s="35"/>
      <c r="AGI2" s="35"/>
      <c r="AGJ2" s="35"/>
      <c r="AGK2" s="35"/>
      <c r="AGL2" s="35"/>
      <c r="AGM2" s="35"/>
      <c r="AGN2" s="35"/>
      <c r="AGO2" s="35"/>
      <c r="AGP2" s="35"/>
      <c r="AGQ2" s="35"/>
      <c r="AGR2" s="35"/>
      <c r="AGS2" s="35"/>
      <c r="AGT2" s="35"/>
      <c r="AGU2" s="35"/>
      <c r="AGV2" s="35"/>
      <c r="AGW2" s="35"/>
      <c r="AGX2" s="35"/>
      <c r="AGY2" s="35"/>
      <c r="AGZ2" s="35"/>
      <c r="AHA2" s="35"/>
      <c r="AHB2" s="35"/>
      <c r="AHC2" s="35"/>
      <c r="AHD2" s="35"/>
      <c r="AHE2" s="35"/>
      <c r="AHF2" s="35"/>
      <c r="AHG2" s="35"/>
      <c r="AHH2" s="35"/>
      <c r="AHI2" s="35"/>
      <c r="AHJ2" s="35"/>
      <c r="AHK2" s="35"/>
      <c r="AHL2" s="35"/>
      <c r="AHM2" s="35"/>
      <c r="AHN2" s="35"/>
      <c r="AHO2" s="35"/>
      <c r="AHP2" s="35"/>
      <c r="AHQ2" s="35"/>
      <c r="AHR2" s="35"/>
      <c r="AHS2" s="35"/>
      <c r="AHT2" s="35"/>
      <c r="AHU2" s="35"/>
      <c r="AHV2" s="35"/>
      <c r="AHW2" s="35"/>
      <c r="AHX2" s="35"/>
      <c r="AHY2" s="35"/>
      <c r="AHZ2" s="35"/>
      <c r="AIA2" s="35"/>
      <c r="AIB2" s="35"/>
      <c r="AIC2" s="35"/>
      <c r="AID2" s="35"/>
      <c r="AIE2" s="35"/>
      <c r="AIF2" s="35"/>
      <c r="AIG2" s="35"/>
      <c r="AIH2" s="35"/>
      <c r="AII2" s="35"/>
      <c r="AIJ2" s="35"/>
      <c r="AIK2" s="35"/>
      <c r="AIL2" s="35"/>
      <c r="AIM2" s="35"/>
      <c r="AIN2" s="35"/>
      <c r="AIO2" s="35"/>
      <c r="AIP2" s="35"/>
      <c r="AIQ2" s="35"/>
      <c r="AIR2" s="35"/>
      <c r="AIS2" s="35"/>
      <c r="AIT2" s="35"/>
      <c r="AIU2" s="35"/>
      <c r="AIV2" s="35"/>
      <c r="AIW2" s="35"/>
      <c r="AIX2" s="35"/>
      <c r="AIY2" s="35"/>
      <c r="AIZ2" s="35"/>
      <c r="AJA2" s="35"/>
      <c r="AJB2" s="35"/>
      <c r="AJC2" s="35"/>
      <c r="AJD2" s="35"/>
      <c r="AJE2" s="35"/>
      <c r="AJF2" s="35"/>
      <c r="AJG2" s="35"/>
      <c r="AJH2" s="35"/>
      <c r="AJI2" s="35"/>
      <c r="AJJ2" s="35"/>
      <c r="AJK2" s="35"/>
      <c r="AJL2" s="35"/>
      <c r="AJM2" s="35"/>
      <c r="AJN2" s="35"/>
      <c r="AJO2" s="35"/>
      <c r="AJP2" s="35"/>
      <c r="AJQ2" s="35"/>
      <c r="AJR2" s="35"/>
      <c r="AJS2" s="35"/>
      <c r="AJT2" s="35"/>
      <c r="AJU2" s="35"/>
      <c r="AJV2" s="35"/>
      <c r="AJW2" s="35"/>
      <c r="AJX2" s="35"/>
      <c r="AJY2" s="35"/>
      <c r="AJZ2" s="35"/>
      <c r="AKA2" s="35"/>
      <c r="AKB2" s="35"/>
      <c r="AKC2" s="35"/>
      <c r="AKD2" s="35"/>
      <c r="AKE2" s="35"/>
      <c r="AKF2" s="35"/>
      <c r="AKG2" s="35"/>
      <c r="AKH2" s="35"/>
      <c r="AKI2" s="35"/>
      <c r="AKJ2" s="35"/>
      <c r="AKK2" s="35"/>
      <c r="AKL2" s="35"/>
      <c r="AKM2" s="35"/>
      <c r="AKN2" s="35"/>
      <c r="AKO2" s="35"/>
      <c r="AKP2" s="35"/>
      <c r="AKQ2" s="35"/>
      <c r="AKR2" s="35"/>
      <c r="AKS2" s="35"/>
      <c r="AKT2" s="35"/>
      <c r="AKU2" s="35"/>
      <c r="AKV2" s="35"/>
      <c r="AKW2" s="35"/>
      <c r="AKX2" s="35"/>
      <c r="AKY2" s="35"/>
      <c r="AKZ2" s="35"/>
      <c r="ALA2" s="35"/>
      <c r="ALB2" s="35"/>
      <c r="ALC2" s="35"/>
      <c r="ALD2" s="35"/>
      <c r="ALE2" s="35"/>
      <c r="ALF2" s="35"/>
      <c r="ALG2" s="35"/>
      <c r="ALH2" s="35"/>
      <c r="ALI2" s="35"/>
      <c r="ALJ2" s="35"/>
      <c r="ALK2" s="35"/>
      <c r="ALL2" s="35"/>
      <c r="ALM2" s="35"/>
      <c r="ALN2" s="35"/>
      <c r="ALO2" s="35"/>
      <c r="ALP2" s="35"/>
      <c r="ALQ2" s="35"/>
      <c r="ALR2" s="35"/>
      <c r="ALS2" s="35"/>
      <c r="ALT2" s="35"/>
      <c r="ALU2" s="35"/>
      <c r="ALV2" s="35"/>
      <c r="ALW2" s="35"/>
      <c r="ALX2" s="35"/>
      <c r="ALY2" s="35"/>
    </row>
    <row r="3" customFormat="false" ht="12.8" hidden="false" customHeight="true" outlineLevel="0" collapsed="false">
      <c r="A3" s="30"/>
      <c r="B3" s="33"/>
      <c r="C3" s="33"/>
      <c r="D3" s="33"/>
      <c r="E3" s="33"/>
      <c r="F3" s="33"/>
      <c r="G3" s="33"/>
      <c r="H3" s="33"/>
      <c r="I3" s="33"/>
      <c r="J3" s="33"/>
      <c r="K3" s="33"/>
      <c r="L3" s="33"/>
      <c r="M3" s="33"/>
      <c r="N3" s="33"/>
      <c r="O3" s="33"/>
      <c r="P3" s="33"/>
      <c r="Q3" s="33"/>
      <c r="R3" s="33"/>
      <c r="S3" s="33"/>
      <c r="T3" s="33"/>
      <c r="U3" s="33"/>
      <c r="V3" s="34"/>
      <c r="W3" s="33"/>
      <c r="X3" s="33"/>
      <c r="Y3" s="33"/>
      <c r="Z3" s="33"/>
      <c r="AA3" s="31"/>
      <c r="AB3" s="34"/>
      <c r="AC3" s="34"/>
      <c r="AD3" s="33"/>
      <c r="AE3" s="33"/>
      <c r="AF3" s="33"/>
      <c r="AG3" s="33"/>
      <c r="AH3" s="33"/>
      <c r="AI3" s="33"/>
      <c r="AJ3" s="33"/>
      <c r="AK3" s="31"/>
      <c r="AL3" s="34"/>
      <c r="AM3" s="31"/>
      <c r="AN3" s="31"/>
      <c r="AO3" s="33"/>
      <c r="AP3" s="31"/>
      <c r="AQ3" s="31"/>
      <c r="AR3" s="31"/>
      <c r="AS3" s="32"/>
      <c r="AT3" s="32"/>
      <c r="AU3" s="31" t="s">
        <v>364</v>
      </c>
      <c r="AV3" s="35"/>
      <c r="AW3" s="35"/>
      <c r="AX3" s="35"/>
      <c r="AY3" s="35"/>
      <c r="AZ3" s="35"/>
      <c r="BA3" s="35"/>
      <c r="BB3" s="35"/>
      <c r="BC3" s="35"/>
      <c r="BD3" s="35"/>
      <c r="BE3" s="35"/>
      <c r="BF3" s="35"/>
      <c r="BG3" s="35"/>
      <c r="BH3" s="35"/>
      <c r="BI3" s="35"/>
      <c r="BJ3" s="35"/>
      <c r="BK3" s="35"/>
      <c r="BL3" s="35"/>
      <c r="BM3" s="35"/>
      <c r="BN3" s="35"/>
      <c r="BO3" s="35"/>
      <c r="BP3" s="35"/>
      <c r="BQ3" s="35"/>
      <c r="BR3" s="35"/>
      <c r="BS3" s="35"/>
      <c r="BT3" s="35"/>
      <c r="BU3" s="35"/>
      <c r="BV3" s="35"/>
      <c r="BW3" s="35"/>
      <c r="BX3" s="35"/>
      <c r="BY3" s="35"/>
      <c r="BZ3" s="35"/>
      <c r="CA3" s="35"/>
      <c r="CB3" s="35"/>
      <c r="CC3" s="35"/>
      <c r="CD3" s="35"/>
      <c r="CE3" s="35"/>
      <c r="CF3" s="35"/>
      <c r="CG3" s="35"/>
      <c r="CH3" s="35"/>
      <c r="CI3" s="35"/>
      <c r="CJ3" s="35"/>
      <c r="CK3" s="35"/>
      <c r="CL3" s="35"/>
      <c r="CM3" s="35"/>
      <c r="CN3" s="35"/>
      <c r="CO3" s="35"/>
      <c r="CP3" s="35"/>
      <c r="CQ3" s="35"/>
      <c r="CR3" s="35"/>
      <c r="CS3" s="35"/>
      <c r="CT3" s="35"/>
      <c r="CU3" s="35"/>
      <c r="CV3" s="35"/>
      <c r="CW3" s="35"/>
      <c r="CX3" s="35"/>
      <c r="CY3" s="35"/>
      <c r="CZ3" s="35"/>
      <c r="DA3" s="35"/>
      <c r="DB3" s="35"/>
      <c r="DC3" s="35"/>
      <c r="DD3" s="35"/>
      <c r="DE3" s="35"/>
      <c r="DF3" s="35"/>
      <c r="DG3" s="35"/>
      <c r="DH3" s="35"/>
      <c r="DI3" s="35"/>
      <c r="DJ3" s="35"/>
      <c r="DK3" s="35"/>
      <c r="DL3" s="35"/>
      <c r="DM3" s="35"/>
      <c r="DN3" s="35"/>
      <c r="DO3" s="35"/>
      <c r="DP3" s="35"/>
      <c r="DQ3" s="35"/>
      <c r="DR3" s="35"/>
      <c r="DS3" s="35"/>
      <c r="DT3" s="35"/>
      <c r="DU3" s="35"/>
      <c r="DV3" s="35"/>
      <c r="DW3" s="35"/>
      <c r="DX3" s="35"/>
      <c r="DY3" s="35"/>
      <c r="DZ3" s="35"/>
      <c r="EA3" s="35"/>
      <c r="EB3" s="35"/>
      <c r="EC3" s="35"/>
      <c r="ED3" s="35"/>
      <c r="EE3" s="35"/>
      <c r="EF3" s="35"/>
      <c r="EG3" s="35"/>
      <c r="EH3" s="35"/>
      <c r="EI3" s="35"/>
      <c r="EJ3" s="35"/>
      <c r="EK3" s="35"/>
      <c r="EL3" s="35"/>
      <c r="EM3" s="35"/>
      <c r="EN3" s="35"/>
      <c r="EO3" s="35"/>
      <c r="EP3" s="35"/>
      <c r="EQ3" s="35"/>
      <c r="ER3" s="35"/>
      <c r="ES3" s="35"/>
      <c r="ET3" s="35"/>
      <c r="EU3" s="35"/>
      <c r="EV3" s="35"/>
      <c r="EW3" s="35"/>
      <c r="EX3" s="35"/>
      <c r="EY3" s="35"/>
      <c r="EZ3" s="35"/>
      <c r="FA3" s="35"/>
      <c r="FB3" s="35"/>
      <c r="FC3" s="35"/>
      <c r="FD3" s="35"/>
      <c r="FE3" s="35"/>
      <c r="FF3" s="35"/>
      <c r="FG3" s="35"/>
      <c r="FH3" s="35"/>
      <c r="FI3" s="35"/>
      <c r="FJ3" s="35"/>
      <c r="FK3" s="35"/>
      <c r="FL3" s="35"/>
      <c r="FM3" s="35"/>
      <c r="FN3" s="35"/>
      <c r="FO3" s="35"/>
      <c r="FP3" s="35"/>
      <c r="FQ3" s="35"/>
      <c r="FR3" s="35"/>
      <c r="FS3" s="35"/>
      <c r="FT3" s="35"/>
      <c r="FU3" s="35"/>
      <c r="FV3" s="35"/>
      <c r="FW3" s="35"/>
      <c r="FX3" s="35"/>
      <c r="FY3" s="35"/>
      <c r="FZ3" s="35"/>
      <c r="GA3" s="35"/>
      <c r="GB3" s="35"/>
      <c r="GC3" s="35"/>
      <c r="GD3" s="35"/>
      <c r="GE3" s="35"/>
      <c r="GF3" s="35"/>
      <c r="GG3" s="35"/>
      <c r="GH3" s="35"/>
      <c r="GI3" s="35"/>
      <c r="GJ3" s="35"/>
      <c r="GK3" s="35"/>
      <c r="GL3" s="35"/>
      <c r="GM3" s="35"/>
      <c r="GN3" s="35"/>
      <c r="GO3" s="35"/>
      <c r="GP3" s="35"/>
      <c r="GQ3" s="35"/>
      <c r="GR3" s="35"/>
      <c r="GS3" s="35"/>
      <c r="GT3" s="35"/>
      <c r="GU3" s="35"/>
      <c r="GV3" s="35"/>
      <c r="GW3" s="35"/>
      <c r="GX3" s="35"/>
      <c r="GY3" s="35"/>
      <c r="GZ3" s="35"/>
      <c r="HA3" s="35"/>
      <c r="HB3" s="35"/>
      <c r="HC3" s="35"/>
      <c r="HD3" s="35"/>
      <c r="HE3" s="35"/>
      <c r="HF3" s="35"/>
      <c r="HG3" s="35"/>
      <c r="HH3" s="35"/>
      <c r="HI3" s="35"/>
      <c r="HJ3" s="35"/>
      <c r="HK3" s="35"/>
      <c r="HL3" s="35"/>
      <c r="HM3" s="35"/>
      <c r="HN3" s="35"/>
      <c r="HO3" s="35"/>
      <c r="HP3" s="35"/>
      <c r="HQ3" s="35"/>
      <c r="HR3" s="35"/>
      <c r="HS3" s="35"/>
      <c r="HT3" s="35"/>
      <c r="HU3" s="35"/>
      <c r="HV3" s="35"/>
      <c r="HW3" s="35"/>
      <c r="HX3" s="35"/>
      <c r="HY3" s="35"/>
      <c r="HZ3" s="35"/>
      <c r="IA3" s="35"/>
      <c r="IB3" s="35"/>
      <c r="IC3" s="35"/>
      <c r="ID3" s="35"/>
      <c r="IE3" s="35"/>
      <c r="IF3" s="35"/>
      <c r="IG3" s="35"/>
      <c r="IH3" s="35"/>
      <c r="II3" s="35"/>
      <c r="IJ3" s="35"/>
      <c r="IK3" s="35"/>
      <c r="IL3" s="35"/>
      <c r="IM3" s="35"/>
      <c r="IN3" s="35"/>
      <c r="IO3" s="35"/>
      <c r="IP3" s="35"/>
      <c r="IQ3" s="35"/>
      <c r="IR3" s="35"/>
      <c r="IS3" s="35"/>
      <c r="IT3" s="35"/>
      <c r="IU3" s="35"/>
      <c r="IV3" s="35"/>
      <c r="IW3" s="35"/>
      <c r="IX3" s="35"/>
      <c r="IY3" s="35"/>
      <c r="IZ3" s="35"/>
      <c r="JA3" s="35"/>
      <c r="JB3" s="35"/>
      <c r="JC3" s="35"/>
      <c r="JD3" s="35"/>
      <c r="JE3" s="35"/>
      <c r="JF3" s="35"/>
      <c r="JG3" s="35"/>
      <c r="JH3" s="35"/>
      <c r="JI3" s="35"/>
      <c r="JJ3" s="35"/>
      <c r="JK3" s="35"/>
      <c r="JL3" s="35"/>
      <c r="JM3" s="35"/>
      <c r="JN3" s="35"/>
      <c r="JO3" s="35"/>
      <c r="JP3" s="35"/>
      <c r="JQ3" s="35"/>
      <c r="JR3" s="35"/>
      <c r="JS3" s="35"/>
      <c r="JT3" s="35"/>
      <c r="JU3" s="35"/>
      <c r="JV3" s="35"/>
      <c r="JW3" s="35"/>
      <c r="JX3" s="35"/>
      <c r="JY3" s="35"/>
      <c r="JZ3" s="35"/>
      <c r="KA3" s="35"/>
      <c r="KB3" s="35"/>
      <c r="KC3" s="35"/>
      <c r="KD3" s="35"/>
      <c r="KE3" s="35"/>
      <c r="KF3" s="35"/>
      <c r="KG3" s="35"/>
      <c r="KH3" s="35"/>
      <c r="KI3" s="35"/>
      <c r="KJ3" s="35"/>
      <c r="KK3" s="35"/>
      <c r="KL3" s="35"/>
      <c r="KM3" s="35"/>
      <c r="KN3" s="35"/>
      <c r="KO3" s="35"/>
      <c r="KP3" s="35"/>
      <c r="KQ3" s="35"/>
      <c r="KR3" s="35"/>
      <c r="KS3" s="35"/>
      <c r="KT3" s="35"/>
      <c r="KU3" s="35"/>
      <c r="KV3" s="35"/>
      <c r="KW3" s="35"/>
      <c r="KX3" s="35"/>
      <c r="KY3" s="35"/>
      <c r="KZ3" s="35"/>
      <c r="LA3" s="35"/>
      <c r="LB3" s="35"/>
      <c r="LC3" s="35"/>
      <c r="LD3" s="35"/>
      <c r="LE3" s="35"/>
      <c r="LF3" s="35"/>
      <c r="LG3" s="35"/>
      <c r="LH3" s="35"/>
      <c r="LI3" s="35"/>
      <c r="LJ3" s="35"/>
      <c r="LK3" s="35"/>
      <c r="LL3" s="35"/>
      <c r="LM3" s="35"/>
      <c r="LN3" s="35"/>
      <c r="LO3" s="35"/>
      <c r="LP3" s="35"/>
      <c r="LQ3" s="35"/>
      <c r="LR3" s="35"/>
      <c r="LS3" s="35"/>
      <c r="LT3" s="35"/>
      <c r="LU3" s="35"/>
      <c r="LV3" s="35"/>
      <c r="LW3" s="35"/>
      <c r="LX3" s="35"/>
      <c r="LY3" s="35"/>
      <c r="LZ3" s="35"/>
      <c r="MA3" s="35"/>
      <c r="MB3" s="35"/>
      <c r="MC3" s="35"/>
      <c r="MD3" s="35"/>
      <c r="ME3" s="35"/>
      <c r="MF3" s="35"/>
      <c r="MG3" s="35"/>
      <c r="MH3" s="35"/>
      <c r="MI3" s="35"/>
      <c r="MJ3" s="35"/>
      <c r="MK3" s="35"/>
      <c r="ML3" s="35"/>
      <c r="MM3" s="35"/>
      <c r="MN3" s="35"/>
      <c r="MO3" s="35"/>
      <c r="MP3" s="35"/>
      <c r="MQ3" s="35"/>
      <c r="MR3" s="35"/>
      <c r="MS3" s="35"/>
      <c r="MT3" s="35"/>
      <c r="MU3" s="35"/>
      <c r="MV3" s="35"/>
      <c r="MW3" s="35"/>
      <c r="MX3" s="35"/>
      <c r="MY3" s="35"/>
      <c r="MZ3" s="35"/>
      <c r="NA3" s="35"/>
      <c r="NB3" s="35"/>
      <c r="NC3" s="35"/>
      <c r="ND3" s="35"/>
      <c r="NE3" s="35"/>
      <c r="NF3" s="35"/>
      <c r="NG3" s="35"/>
      <c r="NH3" s="35"/>
      <c r="NI3" s="35"/>
      <c r="NJ3" s="35"/>
      <c r="NK3" s="35"/>
      <c r="NL3" s="35"/>
      <c r="NM3" s="35"/>
      <c r="NN3" s="35"/>
      <c r="NO3" s="35"/>
      <c r="NP3" s="35"/>
      <c r="NQ3" s="35"/>
      <c r="NR3" s="35"/>
      <c r="NS3" s="35"/>
      <c r="NT3" s="35"/>
      <c r="NU3" s="35"/>
      <c r="NV3" s="35"/>
      <c r="NW3" s="35"/>
      <c r="NX3" s="35"/>
      <c r="NY3" s="35"/>
      <c r="NZ3" s="35"/>
      <c r="OA3" s="35"/>
      <c r="OB3" s="35"/>
      <c r="OC3" s="35"/>
      <c r="OD3" s="35"/>
      <c r="OE3" s="35"/>
      <c r="OF3" s="35"/>
      <c r="OG3" s="35"/>
      <c r="OH3" s="35"/>
      <c r="OI3" s="35"/>
      <c r="OJ3" s="35"/>
      <c r="OK3" s="35"/>
      <c r="OL3" s="35"/>
      <c r="OM3" s="35"/>
      <c r="ON3" s="35"/>
      <c r="OO3" s="35"/>
      <c r="OP3" s="35"/>
      <c r="OQ3" s="35"/>
      <c r="OR3" s="35"/>
      <c r="OS3" s="35"/>
      <c r="OT3" s="35"/>
      <c r="OU3" s="35"/>
      <c r="OV3" s="35"/>
      <c r="OW3" s="35"/>
      <c r="OX3" s="35"/>
      <c r="OY3" s="35"/>
      <c r="OZ3" s="35"/>
      <c r="PA3" s="35"/>
      <c r="PB3" s="35"/>
      <c r="PC3" s="35"/>
      <c r="PD3" s="35"/>
      <c r="PE3" s="35"/>
      <c r="PF3" s="35"/>
      <c r="PG3" s="35"/>
      <c r="PH3" s="35"/>
      <c r="PI3" s="35"/>
      <c r="PJ3" s="35"/>
      <c r="PK3" s="35"/>
      <c r="PL3" s="35"/>
      <c r="PM3" s="35"/>
      <c r="PN3" s="35"/>
      <c r="PO3" s="35"/>
      <c r="PP3" s="35"/>
      <c r="PQ3" s="35"/>
      <c r="PR3" s="35"/>
      <c r="PS3" s="35"/>
      <c r="PT3" s="35"/>
      <c r="PU3" s="35"/>
      <c r="PV3" s="35"/>
      <c r="PW3" s="35"/>
      <c r="PX3" s="35"/>
      <c r="PY3" s="35"/>
      <c r="PZ3" s="35"/>
      <c r="QA3" s="35"/>
      <c r="QB3" s="35"/>
      <c r="QC3" s="35"/>
      <c r="QD3" s="35"/>
      <c r="QE3" s="35"/>
      <c r="QF3" s="35"/>
      <c r="QG3" s="35"/>
      <c r="QH3" s="35"/>
      <c r="QI3" s="35"/>
      <c r="QJ3" s="35"/>
      <c r="QK3" s="35"/>
      <c r="QL3" s="35"/>
      <c r="QM3" s="35"/>
      <c r="QN3" s="35"/>
      <c r="QO3" s="35"/>
      <c r="QP3" s="35"/>
      <c r="QQ3" s="35"/>
      <c r="QR3" s="35"/>
      <c r="QS3" s="35"/>
      <c r="QT3" s="35"/>
      <c r="QU3" s="35"/>
      <c r="QV3" s="35"/>
      <c r="QW3" s="35"/>
      <c r="QX3" s="35"/>
      <c r="QY3" s="35"/>
      <c r="QZ3" s="35"/>
      <c r="RA3" s="35"/>
      <c r="RB3" s="35"/>
      <c r="RC3" s="35"/>
      <c r="RD3" s="35"/>
      <c r="RE3" s="35"/>
      <c r="RF3" s="35"/>
      <c r="RG3" s="35"/>
      <c r="RH3" s="35"/>
      <c r="RI3" s="35"/>
      <c r="RJ3" s="35"/>
      <c r="RK3" s="35"/>
      <c r="RL3" s="35"/>
      <c r="RM3" s="35"/>
      <c r="RN3" s="35"/>
      <c r="RO3" s="35"/>
      <c r="RP3" s="35"/>
      <c r="RQ3" s="35"/>
      <c r="RR3" s="35"/>
      <c r="RS3" s="35"/>
      <c r="RT3" s="35"/>
      <c r="RU3" s="35"/>
      <c r="RV3" s="35"/>
      <c r="RW3" s="35"/>
      <c r="RX3" s="35"/>
      <c r="RY3" s="35"/>
      <c r="RZ3" s="35"/>
      <c r="SA3" s="35"/>
      <c r="SB3" s="35"/>
      <c r="SC3" s="35"/>
      <c r="SD3" s="35"/>
      <c r="SE3" s="35"/>
      <c r="SF3" s="35"/>
      <c r="SG3" s="35"/>
      <c r="SH3" s="35"/>
      <c r="SI3" s="35"/>
      <c r="SJ3" s="35"/>
      <c r="SK3" s="35"/>
      <c r="SL3" s="35"/>
      <c r="SM3" s="35"/>
      <c r="SN3" s="35"/>
      <c r="SO3" s="35"/>
      <c r="SP3" s="35"/>
      <c r="SQ3" s="35"/>
      <c r="SR3" s="35"/>
      <c r="SS3" s="35"/>
      <c r="ST3" s="35"/>
      <c r="SU3" s="35"/>
      <c r="SV3" s="35"/>
      <c r="SW3" s="35"/>
      <c r="SX3" s="35"/>
      <c r="SY3" s="35"/>
      <c r="SZ3" s="35"/>
      <c r="TA3" s="35"/>
      <c r="TB3" s="35"/>
      <c r="TC3" s="35"/>
      <c r="TD3" s="35"/>
      <c r="TE3" s="35"/>
      <c r="TF3" s="35"/>
      <c r="TG3" s="35"/>
      <c r="TH3" s="35"/>
      <c r="TI3" s="35"/>
      <c r="TJ3" s="35"/>
      <c r="TK3" s="35"/>
      <c r="TL3" s="35"/>
      <c r="TM3" s="35"/>
      <c r="TN3" s="35"/>
      <c r="TO3" s="35"/>
      <c r="TP3" s="35"/>
      <c r="TQ3" s="35"/>
      <c r="TR3" s="35"/>
      <c r="TS3" s="35"/>
      <c r="TT3" s="35"/>
      <c r="TU3" s="35"/>
      <c r="TV3" s="35"/>
      <c r="TW3" s="35"/>
      <c r="TX3" s="35"/>
      <c r="TY3" s="35"/>
      <c r="TZ3" s="35"/>
      <c r="UA3" s="35"/>
      <c r="UB3" s="35"/>
      <c r="UC3" s="35"/>
      <c r="UD3" s="35"/>
      <c r="UE3" s="35"/>
      <c r="UF3" s="35"/>
      <c r="UG3" s="35"/>
      <c r="UH3" s="35"/>
      <c r="UI3" s="35"/>
      <c r="UJ3" s="35"/>
      <c r="UK3" s="35"/>
      <c r="UL3" s="35"/>
      <c r="UM3" s="35"/>
      <c r="UN3" s="35"/>
      <c r="UO3" s="35"/>
      <c r="UP3" s="35"/>
      <c r="UQ3" s="35"/>
      <c r="UR3" s="35"/>
      <c r="US3" s="35"/>
      <c r="UT3" s="35"/>
      <c r="UU3" s="35"/>
      <c r="UV3" s="35"/>
      <c r="UW3" s="35"/>
      <c r="UX3" s="35"/>
      <c r="UY3" s="35"/>
      <c r="UZ3" s="35"/>
      <c r="VA3" s="35"/>
      <c r="VB3" s="35"/>
      <c r="VC3" s="35"/>
      <c r="VD3" s="35"/>
      <c r="VE3" s="35"/>
      <c r="VF3" s="35"/>
      <c r="VG3" s="35"/>
      <c r="VH3" s="35"/>
      <c r="VI3" s="35"/>
      <c r="VJ3" s="35"/>
      <c r="VK3" s="35"/>
      <c r="VL3" s="35"/>
      <c r="VM3" s="35"/>
      <c r="VN3" s="35"/>
      <c r="VO3" s="35"/>
      <c r="VP3" s="35"/>
      <c r="VQ3" s="35"/>
      <c r="VR3" s="35"/>
      <c r="VS3" s="35"/>
      <c r="VT3" s="35"/>
      <c r="VU3" s="35"/>
      <c r="VV3" s="35"/>
      <c r="VW3" s="35"/>
      <c r="VX3" s="35"/>
      <c r="VY3" s="35"/>
      <c r="VZ3" s="35"/>
      <c r="WA3" s="35"/>
      <c r="WB3" s="35"/>
      <c r="WC3" s="35"/>
      <c r="WD3" s="35"/>
      <c r="WE3" s="35"/>
      <c r="WF3" s="35"/>
      <c r="WG3" s="35"/>
      <c r="WH3" s="35"/>
      <c r="WI3" s="35"/>
      <c r="WJ3" s="35"/>
      <c r="WK3" s="35"/>
      <c r="WL3" s="35"/>
      <c r="WM3" s="35"/>
      <c r="WN3" s="35"/>
      <c r="WO3" s="35"/>
      <c r="WP3" s="35"/>
      <c r="WQ3" s="35"/>
      <c r="WR3" s="35"/>
      <c r="WS3" s="35"/>
      <c r="WT3" s="35"/>
      <c r="WU3" s="35"/>
      <c r="WV3" s="35"/>
      <c r="WW3" s="35"/>
      <c r="WX3" s="35"/>
      <c r="WY3" s="35"/>
      <c r="WZ3" s="35"/>
      <c r="XA3" s="35"/>
      <c r="XB3" s="35"/>
      <c r="XC3" s="35"/>
      <c r="XD3" s="35"/>
      <c r="XE3" s="35"/>
      <c r="XF3" s="35"/>
      <c r="XG3" s="35"/>
      <c r="XH3" s="35"/>
      <c r="XI3" s="35"/>
      <c r="XJ3" s="35"/>
      <c r="XK3" s="35"/>
      <c r="XL3" s="35"/>
      <c r="XM3" s="35"/>
      <c r="XN3" s="35"/>
      <c r="XO3" s="35"/>
      <c r="XP3" s="35"/>
      <c r="XQ3" s="35"/>
      <c r="XR3" s="35"/>
      <c r="XS3" s="35"/>
      <c r="XT3" s="35"/>
      <c r="XU3" s="35"/>
      <c r="XV3" s="35"/>
      <c r="XW3" s="35"/>
      <c r="XX3" s="35"/>
      <c r="XY3" s="35"/>
      <c r="XZ3" s="35"/>
      <c r="YA3" s="35"/>
      <c r="YB3" s="35"/>
      <c r="YC3" s="35"/>
      <c r="YD3" s="35"/>
      <c r="YE3" s="35"/>
      <c r="YF3" s="35"/>
      <c r="YG3" s="35"/>
      <c r="YH3" s="35"/>
      <c r="YI3" s="35"/>
      <c r="YJ3" s="35"/>
      <c r="YK3" s="35"/>
      <c r="YL3" s="35"/>
      <c r="YM3" s="35"/>
      <c r="YN3" s="35"/>
      <c r="YO3" s="35"/>
      <c r="YP3" s="35"/>
      <c r="YQ3" s="35"/>
      <c r="YR3" s="35"/>
      <c r="YS3" s="35"/>
      <c r="YT3" s="35"/>
      <c r="YU3" s="35"/>
      <c r="YV3" s="35"/>
      <c r="YW3" s="35"/>
      <c r="YX3" s="35"/>
      <c r="YY3" s="35"/>
      <c r="YZ3" s="35"/>
      <c r="ZA3" s="35"/>
      <c r="ZB3" s="35"/>
      <c r="ZC3" s="35"/>
      <c r="ZD3" s="35"/>
      <c r="ZE3" s="35"/>
      <c r="ZF3" s="35"/>
      <c r="ZG3" s="35"/>
      <c r="ZH3" s="35"/>
      <c r="ZI3" s="35"/>
      <c r="ZJ3" s="35"/>
      <c r="ZK3" s="35"/>
      <c r="ZL3" s="35"/>
      <c r="ZM3" s="35"/>
      <c r="ZN3" s="35"/>
      <c r="ZO3" s="35"/>
      <c r="ZP3" s="35"/>
      <c r="ZQ3" s="35"/>
      <c r="ZR3" s="35"/>
      <c r="ZS3" s="35"/>
      <c r="ZT3" s="35"/>
      <c r="ZU3" s="35"/>
      <c r="ZV3" s="35"/>
      <c r="ZW3" s="35"/>
      <c r="ZX3" s="35"/>
      <c r="ZY3" s="35"/>
      <c r="ZZ3" s="35"/>
      <c r="AAA3" s="35"/>
      <c r="AAB3" s="35"/>
      <c r="AAC3" s="35"/>
      <c r="AAD3" s="35"/>
      <c r="AAE3" s="35"/>
      <c r="AAF3" s="35"/>
      <c r="AAG3" s="35"/>
      <c r="AAH3" s="35"/>
      <c r="AAI3" s="35"/>
      <c r="AAJ3" s="35"/>
      <c r="AAK3" s="35"/>
      <c r="AAL3" s="35"/>
      <c r="AAM3" s="35"/>
      <c r="AAN3" s="35"/>
      <c r="AAO3" s="35"/>
      <c r="AAP3" s="35"/>
      <c r="AAQ3" s="35"/>
      <c r="AAR3" s="35"/>
      <c r="AAS3" s="35"/>
      <c r="AAT3" s="35"/>
      <c r="AAU3" s="35"/>
      <c r="AAV3" s="35"/>
      <c r="AAW3" s="35"/>
      <c r="AAX3" s="35"/>
      <c r="AAY3" s="35"/>
      <c r="AAZ3" s="35"/>
      <c r="ABA3" s="35"/>
      <c r="ABB3" s="35"/>
      <c r="ABC3" s="35"/>
      <c r="ABD3" s="35"/>
      <c r="ABE3" s="35"/>
      <c r="ABF3" s="35"/>
      <c r="ABG3" s="35"/>
      <c r="ABH3" s="35"/>
      <c r="ABI3" s="35"/>
      <c r="ABJ3" s="35"/>
      <c r="ABK3" s="35"/>
      <c r="ABL3" s="35"/>
      <c r="ABM3" s="35"/>
      <c r="ABN3" s="35"/>
      <c r="ABO3" s="35"/>
      <c r="ABP3" s="35"/>
      <c r="ABQ3" s="35"/>
      <c r="ABR3" s="35"/>
      <c r="ABS3" s="35"/>
      <c r="ABT3" s="35"/>
      <c r="ABU3" s="35"/>
      <c r="ABV3" s="35"/>
      <c r="ABW3" s="35"/>
      <c r="ABX3" s="35"/>
      <c r="ABY3" s="35"/>
      <c r="ABZ3" s="35"/>
      <c r="ACA3" s="35"/>
      <c r="ACB3" s="35"/>
      <c r="ACC3" s="35"/>
      <c r="ACD3" s="35"/>
      <c r="ACE3" s="35"/>
      <c r="ACF3" s="35"/>
      <c r="ACG3" s="35"/>
      <c r="ACH3" s="35"/>
      <c r="ACI3" s="35"/>
      <c r="ACJ3" s="35"/>
      <c r="ACK3" s="35"/>
      <c r="ACL3" s="35"/>
      <c r="ACM3" s="35"/>
      <c r="ACN3" s="35"/>
      <c r="ACO3" s="35"/>
      <c r="ACP3" s="35"/>
      <c r="ACQ3" s="35"/>
      <c r="ACR3" s="35"/>
      <c r="ACS3" s="35"/>
      <c r="ACT3" s="35"/>
      <c r="ACU3" s="35"/>
      <c r="ACV3" s="35"/>
      <c r="ACW3" s="35"/>
      <c r="ACX3" s="35"/>
      <c r="ACY3" s="35"/>
      <c r="ACZ3" s="35"/>
      <c r="ADA3" s="35"/>
      <c r="ADB3" s="35"/>
      <c r="ADC3" s="35"/>
      <c r="ADD3" s="35"/>
      <c r="ADE3" s="35"/>
      <c r="ADF3" s="35"/>
      <c r="ADG3" s="35"/>
      <c r="ADH3" s="35"/>
      <c r="ADI3" s="35"/>
      <c r="ADJ3" s="35"/>
      <c r="ADK3" s="35"/>
      <c r="ADL3" s="35"/>
      <c r="ADM3" s="35"/>
      <c r="ADN3" s="35"/>
      <c r="ADO3" s="35"/>
      <c r="ADP3" s="35"/>
      <c r="ADQ3" s="35"/>
      <c r="ADR3" s="35"/>
      <c r="ADS3" s="35"/>
      <c r="ADT3" s="35"/>
      <c r="ADU3" s="35"/>
      <c r="ADV3" s="35"/>
      <c r="ADW3" s="35"/>
      <c r="ADX3" s="35"/>
      <c r="ADY3" s="35"/>
      <c r="ADZ3" s="35"/>
      <c r="AEA3" s="35"/>
      <c r="AEB3" s="35"/>
      <c r="AEC3" s="35"/>
      <c r="AED3" s="35"/>
      <c r="AEE3" s="35"/>
      <c r="AEF3" s="35"/>
      <c r="AEG3" s="35"/>
      <c r="AEH3" s="35"/>
      <c r="AEI3" s="35"/>
      <c r="AEJ3" s="35"/>
      <c r="AEK3" s="35"/>
      <c r="AEL3" s="35"/>
      <c r="AEM3" s="35"/>
      <c r="AEN3" s="35"/>
      <c r="AEO3" s="35"/>
      <c r="AEP3" s="35"/>
      <c r="AEQ3" s="35"/>
      <c r="AER3" s="35"/>
      <c r="AES3" s="35"/>
      <c r="AET3" s="35"/>
      <c r="AEU3" s="35"/>
      <c r="AEV3" s="35"/>
      <c r="AEW3" s="35"/>
      <c r="AEX3" s="35"/>
      <c r="AEY3" s="35"/>
      <c r="AEZ3" s="35"/>
      <c r="AFA3" s="35"/>
      <c r="AFB3" s="35"/>
      <c r="AFC3" s="35"/>
      <c r="AFD3" s="35"/>
      <c r="AFE3" s="35"/>
      <c r="AFF3" s="35"/>
      <c r="AFG3" s="35"/>
      <c r="AFH3" s="35"/>
      <c r="AFI3" s="35"/>
      <c r="AFJ3" s="35"/>
      <c r="AFK3" s="35"/>
      <c r="AFL3" s="35"/>
      <c r="AFM3" s="35"/>
      <c r="AFN3" s="35"/>
      <c r="AFO3" s="35"/>
      <c r="AFP3" s="35"/>
      <c r="AFQ3" s="35"/>
      <c r="AFR3" s="35"/>
      <c r="AFS3" s="35"/>
      <c r="AFT3" s="35"/>
      <c r="AFU3" s="35"/>
      <c r="AFV3" s="35"/>
      <c r="AFW3" s="35"/>
      <c r="AFX3" s="35"/>
      <c r="AFY3" s="35"/>
      <c r="AFZ3" s="35"/>
      <c r="AGA3" s="35"/>
      <c r="AGB3" s="35"/>
      <c r="AGC3" s="35"/>
      <c r="AGD3" s="35"/>
      <c r="AGE3" s="35"/>
      <c r="AGF3" s="35"/>
      <c r="AGG3" s="35"/>
      <c r="AGH3" s="35"/>
      <c r="AGI3" s="35"/>
      <c r="AGJ3" s="35"/>
      <c r="AGK3" s="35"/>
      <c r="AGL3" s="35"/>
      <c r="AGM3" s="35"/>
      <c r="AGN3" s="35"/>
      <c r="AGO3" s="35"/>
      <c r="AGP3" s="35"/>
      <c r="AGQ3" s="35"/>
      <c r="AGR3" s="35"/>
      <c r="AGS3" s="35"/>
      <c r="AGT3" s="35"/>
      <c r="AGU3" s="35"/>
      <c r="AGV3" s="35"/>
      <c r="AGW3" s="35"/>
      <c r="AGX3" s="35"/>
      <c r="AGY3" s="35"/>
      <c r="AGZ3" s="35"/>
      <c r="AHA3" s="35"/>
      <c r="AHB3" s="35"/>
      <c r="AHC3" s="35"/>
      <c r="AHD3" s="35"/>
      <c r="AHE3" s="35"/>
      <c r="AHF3" s="35"/>
      <c r="AHG3" s="35"/>
      <c r="AHH3" s="35"/>
      <c r="AHI3" s="35"/>
      <c r="AHJ3" s="35"/>
      <c r="AHK3" s="35"/>
      <c r="AHL3" s="35"/>
      <c r="AHM3" s="35"/>
      <c r="AHN3" s="35"/>
      <c r="AHO3" s="35"/>
      <c r="AHP3" s="35"/>
      <c r="AHQ3" s="35"/>
      <c r="AHR3" s="35"/>
      <c r="AHS3" s="35"/>
      <c r="AHT3" s="35"/>
      <c r="AHU3" s="35"/>
      <c r="AHV3" s="35"/>
      <c r="AHW3" s="35"/>
      <c r="AHX3" s="35"/>
      <c r="AHY3" s="35"/>
      <c r="AHZ3" s="35"/>
      <c r="AIA3" s="35"/>
      <c r="AIB3" s="35"/>
      <c r="AIC3" s="35"/>
      <c r="AID3" s="35"/>
      <c r="AIE3" s="35"/>
      <c r="AIF3" s="35"/>
      <c r="AIG3" s="35"/>
      <c r="AIH3" s="35"/>
      <c r="AII3" s="35"/>
      <c r="AIJ3" s="35"/>
      <c r="AIK3" s="35"/>
      <c r="AIL3" s="35"/>
      <c r="AIM3" s="35"/>
      <c r="AIN3" s="35"/>
      <c r="AIO3" s="35"/>
      <c r="AIP3" s="35"/>
      <c r="AIQ3" s="35"/>
      <c r="AIR3" s="35"/>
      <c r="AIS3" s="35"/>
      <c r="AIT3" s="35"/>
      <c r="AIU3" s="35"/>
      <c r="AIV3" s="35"/>
      <c r="AIW3" s="35"/>
      <c r="AIX3" s="35"/>
      <c r="AIY3" s="35"/>
      <c r="AIZ3" s="35"/>
      <c r="AJA3" s="35"/>
      <c r="AJB3" s="35"/>
      <c r="AJC3" s="35"/>
      <c r="AJD3" s="35"/>
      <c r="AJE3" s="35"/>
      <c r="AJF3" s="35"/>
      <c r="AJG3" s="35"/>
      <c r="AJH3" s="35"/>
      <c r="AJI3" s="35"/>
      <c r="AJJ3" s="35"/>
      <c r="AJK3" s="35"/>
      <c r="AJL3" s="35"/>
      <c r="AJM3" s="35"/>
      <c r="AJN3" s="35"/>
      <c r="AJO3" s="35"/>
      <c r="AJP3" s="35"/>
      <c r="AJQ3" s="35"/>
      <c r="AJR3" s="35"/>
      <c r="AJS3" s="35"/>
      <c r="AJT3" s="35"/>
      <c r="AJU3" s="35"/>
      <c r="AJV3" s="35"/>
      <c r="AJW3" s="35"/>
      <c r="AJX3" s="35"/>
      <c r="AJY3" s="35"/>
      <c r="AJZ3" s="35"/>
      <c r="AKA3" s="35"/>
      <c r="AKB3" s="35"/>
      <c r="AKC3" s="35"/>
      <c r="AKD3" s="35"/>
      <c r="AKE3" s="35"/>
      <c r="AKF3" s="35"/>
      <c r="AKG3" s="35"/>
      <c r="AKH3" s="35"/>
      <c r="AKI3" s="35"/>
      <c r="AKJ3" s="35"/>
      <c r="AKK3" s="35"/>
      <c r="AKL3" s="35"/>
      <c r="AKM3" s="35"/>
      <c r="AKN3" s="35"/>
      <c r="AKO3" s="35"/>
      <c r="AKP3" s="35"/>
      <c r="AKQ3" s="35"/>
      <c r="AKR3" s="35"/>
      <c r="AKS3" s="35"/>
      <c r="AKT3" s="35"/>
      <c r="AKU3" s="35"/>
      <c r="AKV3" s="35"/>
      <c r="AKW3" s="35"/>
      <c r="AKX3" s="35"/>
      <c r="AKY3" s="35"/>
      <c r="AKZ3" s="35"/>
      <c r="ALA3" s="35"/>
      <c r="ALB3" s="35"/>
      <c r="ALC3" s="35"/>
      <c r="ALD3" s="35"/>
      <c r="ALE3" s="35"/>
      <c r="ALF3" s="35"/>
      <c r="ALG3" s="35"/>
      <c r="ALH3" s="35"/>
      <c r="ALI3" s="35"/>
      <c r="ALJ3" s="35"/>
      <c r="ALK3" s="35"/>
      <c r="ALL3" s="35"/>
      <c r="ALM3" s="35"/>
      <c r="ALN3" s="35"/>
      <c r="ALO3" s="35"/>
      <c r="ALP3" s="35"/>
      <c r="ALQ3" s="35"/>
      <c r="ALR3" s="35"/>
      <c r="ALS3" s="35"/>
      <c r="ALT3" s="35"/>
      <c r="ALU3" s="35"/>
      <c r="ALV3" s="35"/>
      <c r="ALW3" s="35"/>
      <c r="ALX3" s="35"/>
      <c r="ALY3" s="35"/>
    </row>
    <row r="4" customFormat="false" ht="7.85" hidden="false" customHeight="true" outlineLevel="0" collapsed="false">
      <c r="A4" s="36" t="n">
        <f aca="false">A3</f>
        <v>0</v>
      </c>
      <c r="B4" s="37" t="n">
        <f aca="false">B3</f>
        <v>0</v>
      </c>
      <c r="C4" s="37" t="n">
        <f aca="false">C3</f>
        <v>0</v>
      </c>
      <c r="D4" s="37" t="n">
        <f aca="false">D3</f>
        <v>0</v>
      </c>
      <c r="E4" s="37" t="n">
        <f aca="false">E3</f>
        <v>0</v>
      </c>
      <c r="F4" s="37" t="n">
        <f aca="false">F3</f>
        <v>0</v>
      </c>
      <c r="G4" s="37" t="n">
        <f aca="false">G3</f>
        <v>0</v>
      </c>
      <c r="H4" s="37" t="n">
        <f aca="false">H3</f>
        <v>0</v>
      </c>
      <c r="I4" s="37" t="n">
        <f aca="false">I3</f>
        <v>0</v>
      </c>
      <c r="J4" s="37" t="n">
        <f aca="false">J3</f>
        <v>0</v>
      </c>
      <c r="K4" s="37" t="n">
        <f aca="false">K3</f>
        <v>0</v>
      </c>
      <c r="L4" s="37" t="n">
        <f aca="false">L3</f>
        <v>0</v>
      </c>
      <c r="M4" s="37" t="n">
        <f aca="false">M3</f>
        <v>0</v>
      </c>
      <c r="N4" s="37" t="n">
        <f aca="false">N3</f>
        <v>0</v>
      </c>
      <c r="O4" s="37" t="n">
        <f aca="false">O3</f>
        <v>0</v>
      </c>
      <c r="P4" s="37" t="n">
        <f aca="false">P3</f>
        <v>0</v>
      </c>
      <c r="Q4" s="37" t="n">
        <f aca="false">Q3</f>
        <v>0</v>
      </c>
      <c r="R4" s="37" t="n">
        <f aca="false">R3</f>
        <v>0</v>
      </c>
      <c r="S4" s="37" t="n">
        <f aca="false">S3</f>
        <v>0</v>
      </c>
      <c r="T4" s="37" t="n">
        <f aca="false">T3</f>
        <v>0</v>
      </c>
      <c r="U4" s="37" t="n">
        <f aca="false">U3</f>
        <v>0</v>
      </c>
      <c r="V4" s="37" t="n">
        <f aca="false">V3</f>
        <v>0</v>
      </c>
      <c r="W4" s="37" t="n">
        <f aca="false">W3</f>
        <v>0</v>
      </c>
      <c r="X4" s="37" t="n">
        <f aca="false">X3</f>
        <v>0</v>
      </c>
      <c r="Y4" s="37" t="n">
        <f aca="false">Y3</f>
        <v>0</v>
      </c>
      <c r="Z4" s="37" t="n">
        <f aca="false">Z3</f>
        <v>0</v>
      </c>
      <c r="AA4" s="37" t="n">
        <f aca="false">AA3</f>
        <v>0</v>
      </c>
      <c r="AB4" s="37" t="n">
        <f aca="false">AB3</f>
        <v>0</v>
      </c>
      <c r="AC4" s="37" t="n">
        <f aca="false">AC3</f>
        <v>0</v>
      </c>
      <c r="AD4" s="37" t="n">
        <f aca="false">AD3</f>
        <v>0</v>
      </c>
      <c r="AE4" s="37" t="n">
        <f aca="false">AE3</f>
        <v>0</v>
      </c>
      <c r="AF4" s="37" t="n">
        <f aca="false">AF3</f>
        <v>0</v>
      </c>
      <c r="AG4" s="37" t="n">
        <f aca="false">AG3</f>
        <v>0</v>
      </c>
      <c r="AH4" s="37" t="n">
        <f aca="false">AH3</f>
        <v>0</v>
      </c>
      <c r="AI4" s="37" t="n">
        <f aca="false">AI3</f>
        <v>0</v>
      </c>
      <c r="AJ4" s="37" t="n">
        <f aca="false">AJ3</f>
        <v>0</v>
      </c>
      <c r="AK4" s="39"/>
      <c r="AL4" s="37" t="n">
        <f aca="false">AL3</f>
        <v>0</v>
      </c>
      <c r="AM4" s="37" t="n">
        <f aca="false">AM3</f>
        <v>0</v>
      </c>
      <c r="AN4" s="37" t="n">
        <f aca="false">AN3</f>
        <v>0</v>
      </c>
      <c r="AO4" s="37" t="n">
        <f aca="false">AO3</f>
        <v>0</v>
      </c>
      <c r="AP4" s="37" t="n">
        <f aca="false">AP3</f>
        <v>0</v>
      </c>
      <c r="AQ4" s="37" t="n">
        <f aca="false">AQ3</f>
        <v>0</v>
      </c>
      <c r="AR4" s="37" t="n">
        <f aca="false">AR3</f>
        <v>0</v>
      </c>
      <c r="AS4" s="38" t="n">
        <f aca="false">AS3</f>
        <v>0</v>
      </c>
      <c r="AT4" s="38" t="n">
        <f aca="false">AT3</f>
        <v>0</v>
      </c>
      <c r="AU4" s="37" t="str">
        <f aca="false">AU3</f>
        <v>x</v>
      </c>
      <c r="AV4" s="35"/>
      <c r="AW4" s="35"/>
      <c r="AX4" s="35"/>
      <c r="AY4" s="35"/>
      <c r="AZ4" s="35"/>
      <c r="BA4" s="35"/>
      <c r="BB4" s="35"/>
      <c r="BC4" s="35"/>
      <c r="BD4" s="35"/>
      <c r="BE4" s="35"/>
      <c r="BF4" s="35"/>
      <c r="BG4" s="35"/>
      <c r="BH4" s="35"/>
      <c r="BI4" s="35"/>
      <c r="BJ4" s="35"/>
      <c r="BK4" s="35"/>
      <c r="BL4" s="35"/>
      <c r="BM4" s="35"/>
      <c r="BN4" s="35"/>
      <c r="BO4" s="35"/>
      <c r="BP4" s="35"/>
      <c r="BQ4" s="35"/>
      <c r="BR4" s="35"/>
      <c r="BS4" s="35"/>
      <c r="BT4" s="35"/>
      <c r="BU4" s="35"/>
      <c r="BV4" s="35"/>
      <c r="BW4" s="35"/>
      <c r="BX4" s="35"/>
      <c r="BY4" s="35"/>
      <c r="BZ4" s="35"/>
      <c r="CA4" s="35"/>
      <c r="CB4" s="35"/>
      <c r="CC4" s="35"/>
      <c r="CD4" s="35"/>
      <c r="CE4" s="35"/>
      <c r="CF4" s="35"/>
      <c r="CG4" s="35"/>
      <c r="CH4" s="35"/>
      <c r="CI4" s="35"/>
      <c r="CJ4" s="35"/>
      <c r="CK4" s="35"/>
      <c r="CL4" s="35"/>
      <c r="CM4" s="35"/>
      <c r="CN4" s="35"/>
      <c r="CO4" s="35"/>
      <c r="CP4" s="35"/>
      <c r="CQ4" s="35"/>
      <c r="CR4" s="35"/>
      <c r="CS4" s="35"/>
      <c r="CT4" s="35"/>
      <c r="CU4" s="35"/>
      <c r="CV4" s="35"/>
      <c r="CW4" s="35"/>
      <c r="CX4" s="35"/>
      <c r="CY4" s="35"/>
      <c r="CZ4" s="35"/>
      <c r="DA4" s="35"/>
      <c r="DB4" s="35"/>
      <c r="DC4" s="35"/>
      <c r="DD4" s="35"/>
      <c r="DE4" s="35"/>
      <c r="DF4" s="35"/>
      <c r="DG4" s="35"/>
      <c r="DH4" s="35"/>
      <c r="DI4" s="35"/>
      <c r="DJ4" s="35"/>
      <c r="DK4" s="35"/>
      <c r="DL4" s="35"/>
      <c r="DM4" s="35"/>
      <c r="DN4" s="35"/>
      <c r="DO4" s="35"/>
      <c r="DP4" s="35"/>
      <c r="DQ4" s="35"/>
      <c r="DR4" s="35"/>
      <c r="DS4" s="35"/>
      <c r="DT4" s="35"/>
      <c r="DU4" s="35"/>
      <c r="DV4" s="35"/>
      <c r="DW4" s="35"/>
      <c r="DX4" s="35"/>
      <c r="DY4" s="35"/>
      <c r="DZ4" s="35"/>
      <c r="EA4" s="35"/>
      <c r="EB4" s="35"/>
      <c r="EC4" s="35"/>
      <c r="ED4" s="35"/>
      <c r="EE4" s="35"/>
      <c r="EF4" s="35"/>
      <c r="EG4" s="35"/>
      <c r="EH4" s="35"/>
      <c r="EI4" s="35"/>
      <c r="EJ4" s="35"/>
      <c r="EK4" s="35"/>
      <c r="EL4" s="35"/>
      <c r="EM4" s="35"/>
      <c r="EN4" s="35"/>
      <c r="EO4" s="35"/>
      <c r="EP4" s="35"/>
      <c r="EQ4" s="35"/>
      <c r="ER4" s="35"/>
      <c r="ES4" s="35"/>
      <c r="ET4" s="35"/>
      <c r="EU4" s="35"/>
      <c r="EV4" s="35"/>
      <c r="EW4" s="35"/>
      <c r="EX4" s="35"/>
      <c r="EY4" s="35"/>
      <c r="EZ4" s="35"/>
      <c r="FA4" s="35"/>
      <c r="FB4" s="35"/>
      <c r="FC4" s="35"/>
      <c r="FD4" s="35"/>
      <c r="FE4" s="35"/>
      <c r="FF4" s="35"/>
      <c r="FG4" s="35"/>
      <c r="FH4" s="35"/>
      <c r="FI4" s="35"/>
      <c r="FJ4" s="35"/>
      <c r="FK4" s="35"/>
      <c r="FL4" s="35"/>
      <c r="FM4" s="35"/>
      <c r="FN4" s="35"/>
      <c r="FO4" s="35"/>
      <c r="FP4" s="35"/>
      <c r="FQ4" s="35"/>
      <c r="FR4" s="35"/>
      <c r="FS4" s="35"/>
      <c r="FT4" s="35"/>
      <c r="FU4" s="35"/>
      <c r="FV4" s="35"/>
      <c r="FW4" s="35"/>
      <c r="FX4" s="35"/>
      <c r="FY4" s="35"/>
      <c r="FZ4" s="35"/>
      <c r="GA4" s="35"/>
      <c r="GB4" s="35"/>
      <c r="GC4" s="35"/>
      <c r="GD4" s="35"/>
      <c r="GE4" s="35"/>
      <c r="GF4" s="35"/>
      <c r="GG4" s="35"/>
      <c r="GH4" s="35"/>
      <c r="GI4" s="35"/>
      <c r="GJ4" s="35"/>
      <c r="GK4" s="35"/>
      <c r="GL4" s="35"/>
      <c r="GM4" s="35"/>
      <c r="GN4" s="35"/>
      <c r="GO4" s="35"/>
      <c r="GP4" s="35"/>
      <c r="GQ4" s="35"/>
      <c r="GR4" s="35"/>
      <c r="GS4" s="35"/>
      <c r="GT4" s="35"/>
      <c r="GU4" s="35"/>
      <c r="GV4" s="35"/>
      <c r="GW4" s="35"/>
      <c r="GX4" s="35"/>
      <c r="GY4" s="35"/>
      <c r="GZ4" s="35"/>
      <c r="HA4" s="35"/>
      <c r="HB4" s="35"/>
      <c r="HC4" s="35"/>
      <c r="HD4" s="35"/>
      <c r="HE4" s="35"/>
      <c r="HF4" s="35"/>
      <c r="HG4" s="35"/>
      <c r="HH4" s="35"/>
      <c r="HI4" s="35"/>
      <c r="HJ4" s="35"/>
      <c r="HK4" s="35"/>
      <c r="HL4" s="35"/>
      <c r="HM4" s="35"/>
      <c r="HN4" s="35"/>
      <c r="HO4" s="35"/>
      <c r="HP4" s="35"/>
      <c r="HQ4" s="35"/>
      <c r="HR4" s="35"/>
      <c r="HS4" s="35"/>
      <c r="HT4" s="35"/>
      <c r="HU4" s="35"/>
      <c r="HV4" s="35"/>
      <c r="HW4" s="35"/>
      <c r="HX4" s="35"/>
      <c r="HY4" s="35"/>
      <c r="HZ4" s="35"/>
      <c r="IA4" s="35"/>
      <c r="IB4" s="35"/>
      <c r="IC4" s="35"/>
      <c r="ID4" s="35"/>
      <c r="IE4" s="35"/>
      <c r="IF4" s="35"/>
      <c r="IG4" s="35"/>
      <c r="IH4" s="35"/>
      <c r="II4" s="35"/>
      <c r="IJ4" s="35"/>
      <c r="IK4" s="35"/>
      <c r="IL4" s="35"/>
      <c r="IM4" s="35"/>
      <c r="IN4" s="35"/>
      <c r="IO4" s="35"/>
      <c r="IP4" s="35"/>
      <c r="IQ4" s="35"/>
      <c r="IR4" s="35"/>
      <c r="IS4" s="35"/>
      <c r="IT4" s="35"/>
      <c r="IU4" s="35"/>
      <c r="IV4" s="35"/>
      <c r="IW4" s="35"/>
      <c r="IX4" s="35"/>
      <c r="IY4" s="35"/>
      <c r="IZ4" s="35"/>
      <c r="JA4" s="35"/>
      <c r="JB4" s="35"/>
      <c r="JC4" s="35"/>
      <c r="JD4" s="35"/>
      <c r="JE4" s="35"/>
      <c r="JF4" s="35"/>
      <c r="JG4" s="35"/>
      <c r="JH4" s="35"/>
      <c r="JI4" s="35"/>
      <c r="JJ4" s="35"/>
      <c r="JK4" s="35"/>
      <c r="JL4" s="35"/>
      <c r="JM4" s="35"/>
      <c r="JN4" s="35"/>
      <c r="JO4" s="35"/>
      <c r="JP4" s="35"/>
      <c r="JQ4" s="35"/>
      <c r="JR4" s="35"/>
      <c r="JS4" s="35"/>
      <c r="JT4" s="35"/>
      <c r="JU4" s="35"/>
      <c r="JV4" s="35"/>
      <c r="JW4" s="35"/>
      <c r="JX4" s="35"/>
      <c r="JY4" s="35"/>
      <c r="JZ4" s="35"/>
      <c r="KA4" s="35"/>
      <c r="KB4" s="35"/>
      <c r="KC4" s="35"/>
      <c r="KD4" s="35"/>
      <c r="KE4" s="35"/>
      <c r="KF4" s="35"/>
      <c r="KG4" s="35"/>
      <c r="KH4" s="35"/>
      <c r="KI4" s="35"/>
      <c r="KJ4" s="35"/>
      <c r="KK4" s="35"/>
      <c r="KL4" s="35"/>
      <c r="KM4" s="35"/>
      <c r="KN4" s="35"/>
      <c r="KO4" s="35"/>
      <c r="KP4" s="35"/>
      <c r="KQ4" s="35"/>
      <c r="KR4" s="35"/>
      <c r="KS4" s="35"/>
      <c r="KT4" s="35"/>
      <c r="KU4" s="35"/>
      <c r="KV4" s="35"/>
      <c r="KW4" s="35"/>
      <c r="KX4" s="35"/>
      <c r="KY4" s="35"/>
      <c r="KZ4" s="35"/>
      <c r="LA4" s="35"/>
      <c r="LB4" s="35"/>
      <c r="LC4" s="35"/>
      <c r="LD4" s="35"/>
      <c r="LE4" s="35"/>
      <c r="LF4" s="35"/>
      <c r="LG4" s="35"/>
      <c r="LH4" s="35"/>
      <c r="LI4" s="35"/>
      <c r="LJ4" s="35"/>
      <c r="LK4" s="35"/>
      <c r="LL4" s="35"/>
      <c r="LM4" s="35"/>
      <c r="LN4" s="35"/>
      <c r="LO4" s="35"/>
      <c r="LP4" s="35"/>
      <c r="LQ4" s="35"/>
      <c r="LR4" s="35"/>
      <c r="LS4" s="35"/>
      <c r="LT4" s="35"/>
      <c r="LU4" s="35"/>
      <c r="LV4" s="35"/>
      <c r="LW4" s="35"/>
      <c r="LX4" s="35"/>
      <c r="LY4" s="35"/>
      <c r="LZ4" s="35"/>
      <c r="MA4" s="35"/>
      <c r="MB4" s="35"/>
      <c r="MC4" s="35"/>
      <c r="MD4" s="35"/>
      <c r="ME4" s="35"/>
      <c r="MF4" s="35"/>
      <c r="MG4" s="35"/>
      <c r="MH4" s="35"/>
      <c r="MI4" s="35"/>
      <c r="MJ4" s="35"/>
      <c r="MK4" s="35"/>
      <c r="ML4" s="35"/>
      <c r="MM4" s="35"/>
      <c r="MN4" s="35"/>
      <c r="MO4" s="35"/>
      <c r="MP4" s="35"/>
      <c r="MQ4" s="35"/>
      <c r="MR4" s="35"/>
      <c r="MS4" s="35"/>
      <c r="MT4" s="35"/>
      <c r="MU4" s="35"/>
      <c r="MV4" s="35"/>
      <c r="MW4" s="35"/>
      <c r="MX4" s="35"/>
      <c r="MY4" s="35"/>
      <c r="MZ4" s="35"/>
      <c r="NA4" s="35"/>
      <c r="NB4" s="35"/>
      <c r="NC4" s="35"/>
      <c r="ND4" s="35"/>
      <c r="NE4" s="35"/>
      <c r="NF4" s="35"/>
      <c r="NG4" s="35"/>
      <c r="NH4" s="35"/>
      <c r="NI4" s="35"/>
      <c r="NJ4" s="35"/>
      <c r="NK4" s="35"/>
      <c r="NL4" s="35"/>
      <c r="NM4" s="35"/>
      <c r="NN4" s="35"/>
      <c r="NO4" s="35"/>
      <c r="NP4" s="35"/>
      <c r="NQ4" s="35"/>
      <c r="NR4" s="35"/>
      <c r="NS4" s="35"/>
      <c r="NT4" s="35"/>
      <c r="NU4" s="35"/>
      <c r="NV4" s="35"/>
      <c r="NW4" s="35"/>
      <c r="NX4" s="35"/>
      <c r="NY4" s="35"/>
      <c r="NZ4" s="35"/>
      <c r="OA4" s="35"/>
      <c r="OB4" s="35"/>
      <c r="OC4" s="35"/>
      <c r="OD4" s="35"/>
      <c r="OE4" s="35"/>
      <c r="OF4" s="35"/>
      <c r="OG4" s="35"/>
      <c r="OH4" s="35"/>
      <c r="OI4" s="35"/>
      <c r="OJ4" s="35"/>
      <c r="OK4" s="35"/>
      <c r="OL4" s="35"/>
      <c r="OM4" s="35"/>
      <c r="ON4" s="35"/>
      <c r="OO4" s="35"/>
      <c r="OP4" s="35"/>
      <c r="OQ4" s="35"/>
      <c r="OR4" s="35"/>
      <c r="OS4" s="35"/>
      <c r="OT4" s="35"/>
      <c r="OU4" s="35"/>
      <c r="OV4" s="35"/>
      <c r="OW4" s="35"/>
      <c r="OX4" s="35"/>
      <c r="OY4" s="35"/>
      <c r="OZ4" s="35"/>
      <c r="PA4" s="35"/>
      <c r="PB4" s="35"/>
      <c r="PC4" s="35"/>
      <c r="PD4" s="35"/>
      <c r="PE4" s="35"/>
      <c r="PF4" s="35"/>
      <c r="PG4" s="35"/>
      <c r="PH4" s="35"/>
      <c r="PI4" s="35"/>
      <c r="PJ4" s="35"/>
      <c r="PK4" s="35"/>
      <c r="PL4" s="35"/>
      <c r="PM4" s="35"/>
      <c r="PN4" s="35"/>
      <c r="PO4" s="35"/>
      <c r="PP4" s="35"/>
      <c r="PQ4" s="35"/>
      <c r="PR4" s="35"/>
      <c r="PS4" s="35"/>
      <c r="PT4" s="35"/>
      <c r="PU4" s="35"/>
      <c r="PV4" s="35"/>
      <c r="PW4" s="35"/>
      <c r="PX4" s="35"/>
      <c r="PY4" s="35"/>
      <c r="PZ4" s="35"/>
      <c r="QA4" s="35"/>
      <c r="QB4" s="35"/>
      <c r="QC4" s="35"/>
      <c r="QD4" s="35"/>
      <c r="QE4" s="35"/>
      <c r="QF4" s="35"/>
      <c r="QG4" s="35"/>
      <c r="QH4" s="35"/>
      <c r="QI4" s="35"/>
      <c r="QJ4" s="35"/>
      <c r="QK4" s="35"/>
      <c r="QL4" s="35"/>
      <c r="QM4" s="35"/>
      <c r="QN4" s="35"/>
      <c r="QO4" s="35"/>
      <c r="QP4" s="35"/>
      <c r="QQ4" s="35"/>
      <c r="QR4" s="35"/>
      <c r="QS4" s="35"/>
      <c r="QT4" s="35"/>
      <c r="QU4" s="35"/>
      <c r="QV4" s="35"/>
      <c r="QW4" s="35"/>
      <c r="QX4" s="35"/>
      <c r="QY4" s="35"/>
      <c r="QZ4" s="35"/>
      <c r="RA4" s="35"/>
      <c r="RB4" s="35"/>
      <c r="RC4" s="35"/>
      <c r="RD4" s="35"/>
      <c r="RE4" s="35"/>
      <c r="RF4" s="35"/>
      <c r="RG4" s="35"/>
      <c r="RH4" s="35"/>
      <c r="RI4" s="35"/>
      <c r="RJ4" s="35"/>
      <c r="RK4" s="35"/>
      <c r="RL4" s="35"/>
      <c r="RM4" s="35"/>
      <c r="RN4" s="35"/>
      <c r="RO4" s="35"/>
      <c r="RP4" s="35"/>
      <c r="RQ4" s="35"/>
      <c r="RR4" s="35"/>
      <c r="RS4" s="35"/>
      <c r="RT4" s="35"/>
      <c r="RU4" s="35"/>
      <c r="RV4" s="35"/>
      <c r="RW4" s="35"/>
      <c r="RX4" s="35"/>
      <c r="RY4" s="35"/>
      <c r="RZ4" s="35"/>
      <c r="SA4" s="35"/>
      <c r="SB4" s="35"/>
      <c r="SC4" s="35"/>
      <c r="SD4" s="35"/>
      <c r="SE4" s="35"/>
      <c r="SF4" s="35"/>
      <c r="SG4" s="35"/>
      <c r="SH4" s="35"/>
      <c r="SI4" s="35"/>
      <c r="SJ4" s="35"/>
      <c r="SK4" s="35"/>
      <c r="SL4" s="35"/>
      <c r="SM4" s="35"/>
      <c r="SN4" s="35"/>
      <c r="SO4" s="35"/>
      <c r="SP4" s="35"/>
      <c r="SQ4" s="35"/>
      <c r="SR4" s="35"/>
      <c r="SS4" s="35"/>
      <c r="ST4" s="35"/>
      <c r="SU4" s="35"/>
      <c r="SV4" s="35"/>
      <c r="SW4" s="35"/>
      <c r="SX4" s="35"/>
      <c r="SY4" s="35"/>
      <c r="SZ4" s="35"/>
      <c r="TA4" s="35"/>
      <c r="TB4" s="35"/>
      <c r="TC4" s="35"/>
      <c r="TD4" s="35"/>
      <c r="TE4" s="35"/>
      <c r="TF4" s="35"/>
      <c r="TG4" s="35"/>
      <c r="TH4" s="35"/>
      <c r="TI4" s="35"/>
      <c r="TJ4" s="35"/>
      <c r="TK4" s="35"/>
      <c r="TL4" s="35"/>
      <c r="TM4" s="35"/>
      <c r="TN4" s="35"/>
      <c r="TO4" s="35"/>
      <c r="TP4" s="35"/>
      <c r="TQ4" s="35"/>
      <c r="TR4" s="35"/>
      <c r="TS4" s="35"/>
      <c r="TT4" s="35"/>
      <c r="TU4" s="35"/>
      <c r="TV4" s="35"/>
      <c r="TW4" s="35"/>
      <c r="TX4" s="35"/>
      <c r="TY4" s="35"/>
      <c r="TZ4" s="35"/>
      <c r="UA4" s="35"/>
      <c r="UB4" s="35"/>
      <c r="UC4" s="35"/>
      <c r="UD4" s="35"/>
      <c r="UE4" s="35"/>
      <c r="UF4" s="35"/>
      <c r="UG4" s="35"/>
      <c r="UH4" s="35"/>
      <c r="UI4" s="35"/>
      <c r="UJ4" s="35"/>
      <c r="UK4" s="35"/>
      <c r="UL4" s="35"/>
      <c r="UM4" s="35"/>
      <c r="UN4" s="35"/>
      <c r="UO4" s="35"/>
      <c r="UP4" s="35"/>
      <c r="UQ4" s="35"/>
      <c r="UR4" s="35"/>
      <c r="US4" s="35"/>
      <c r="UT4" s="35"/>
      <c r="UU4" s="35"/>
      <c r="UV4" s="35"/>
      <c r="UW4" s="35"/>
      <c r="UX4" s="35"/>
      <c r="UY4" s="35"/>
      <c r="UZ4" s="35"/>
      <c r="VA4" s="35"/>
      <c r="VB4" s="35"/>
      <c r="VC4" s="35"/>
      <c r="VD4" s="35"/>
      <c r="VE4" s="35"/>
      <c r="VF4" s="35"/>
      <c r="VG4" s="35"/>
      <c r="VH4" s="35"/>
      <c r="VI4" s="35"/>
      <c r="VJ4" s="35"/>
      <c r="VK4" s="35"/>
      <c r="VL4" s="35"/>
      <c r="VM4" s="35"/>
      <c r="VN4" s="35"/>
      <c r="VO4" s="35"/>
      <c r="VP4" s="35"/>
      <c r="VQ4" s="35"/>
      <c r="VR4" s="35"/>
      <c r="VS4" s="35"/>
      <c r="VT4" s="35"/>
      <c r="VU4" s="35"/>
      <c r="VV4" s="35"/>
      <c r="VW4" s="35"/>
      <c r="VX4" s="35"/>
      <c r="VY4" s="35"/>
      <c r="VZ4" s="35"/>
      <c r="WA4" s="35"/>
      <c r="WB4" s="35"/>
      <c r="WC4" s="35"/>
      <c r="WD4" s="35"/>
      <c r="WE4" s="35"/>
      <c r="WF4" s="35"/>
      <c r="WG4" s="35"/>
      <c r="WH4" s="35"/>
      <c r="WI4" s="35"/>
      <c r="WJ4" s="35"/>
      <c r="WK4" s="35"/>
      <c r="WL4" s="35"/>
      <c r="WM4" s="35"/>
      <c r="WN4" s="35"/>
      <c r="WO4" s="35"/>
      <c r="WP4" s="35"/>
      <c r="WQ4" s="35"/>
      <c r="WR4" s="35"/>
      <c r="WS4" s="35"/>
      <c r="WT4" s="35"/>
      <c r="WU4" s="35"/>
      <c r="WV4" s="35"/>
      <c r="WW4" s="35"/>
      <c r="WX4" s="35"/>
      <c r="WY4" s="35"/>
      <c r="WZ4" s="35"/>
      <c r="XA4" s="35"/>
      <c r="XB4" s="35"/>
      <c r="XC4" s="35"/>
      <c r="XD4" s="35"/>
      <c r="XE4" s="35"/>
      <c r="XF4" s="35"/>
      <c r="XG4" s="35"/>
      <c r="XH4" s="35"/>
      <c r="XI4" s="35"/>
      <c r="XJ4" s="35"/>
      <c r="XK4" s="35"/>
      <c r="XL4" s="35"/>
      <c r="XM4" s="35"/>
      <c r="XN4" s="35"/>
      <c r="XO4" s="35"/>
      <c r="XP4" s="35"/>
      <c r="XQ4" s="35"/>
      <c r="XR4" s="35"/>
      <c r="XS4" s="35"/>
      <c r="XT4" s="35"/>
      <c r="XU4" s="35"/>
      <c r="XV4" s="35"/>
      <c r="XW4" s="35"/>
      <c r="XX4" s="35"/>
      <c r="XY4" s="35"/>
      <c r="XZ4" s="35"/>
      <c r="YA4" s="35"/>
      <c r="YB4" s="35"/>
      <c r="YC4" s="35"/>
      <c r="YD4" s="35"/>
      <c r="YE4" s="35"/>
      <c r="YF4" s="35"/>
      <c r="YG4" s="35"/>
      <c r="YH4" s="35"/>
      <c r="YI4" s="35"/>
      <c r="YJ4" s="35"/>
      <c r="YK4" s="35"/>
      <c r="YL4" s="35"/>
      <c r="YM4" s="35"/>
      <c r="YN4" s="35"/>
      <c r="YO4" s="35"/>
      <c r="YP4" s="35"/>
      <c r="YQ4" s="35"/>
      <c r="YR4" s="35"/>
      <c r="YS4" s="35"/>
      <c r="YT4" s="35"/>
      <c r="YU4" s="35"/>
      <c r="YV4" s="35"/>
      <c r="YW4" s="35"/>
      <c r="YX4" s="35"/>
      <c r="YY4" s="35"/>
      <c r="YZ4" s="35"/>
      <c r="ZA4" s="35"/>
      <c r="ZB4" s="35"/>
      <c r="ZC4" s="35"/>
      <c r="ZD4" s="35"/>
      <c r="ZE4" s="35"/>
      <c r="ZF4" s="35"/>
      <c r="ZG4" s="35"/>
      <c r="ZH4" s="35"/>
      <c r="ZI4" s="35"/>
      <c r="ZJ4" s="35"/>
      <c r="ZK4" s="35"/>
      <c r="ZL4" s="35"/>
      <c r="ZM4" s="35"/>
      <c r="ZN4" s="35"/>
      <c r="ZO4" s="35"/>
      <c r="ZP4" s="35"/>
      <c r="ZQ4" s="35"/>
      <c r="ZR4" s="35"/>
      <c r="ZS4" s="35"/>
      <c r="ZT4" s="35"/>
      <c r="ZU4" s="35"/>
      <c r="ZV4" s="35"/>
      <c r="ZW4" s="35"/>
      <c r="ZX4" s="35"/>
      <c r="ZY4" s="35"/>
      <c r="ZZ4" s="35"/>
      <c r="AAA4" s="35"/>
      <c r="AAB4" s="35"/>
      <c r="AAC4" s="35"/>
      <c r="AAD4" s="35"/>
      <c r="AAE4" s="35"/>
      <c r="AAF4" s="35"/>
      <c r="AAG4" s="35"/>
      <c r="AAH4" s="35"/>
      <c r="AAI4" s="35"/>
      <c r="AAJ4" s="35"/>
      <c r="AAK4" s="35"/>
      <c r="AAL4" s="35"/>
      <c r="AAM4" s="35"/>
      <c r="AAN4" s="35"/>
      <c r="AAO4" s="35"/>
      <c r="AAP4" s="35"/>
      <c r="AAQ4" s="35"/>
      <c r="AAR4" s="35"/>
      <c r="AAS4" s="35"/>
      <c r="AAT4" s="35"/>
      <c r="AAU4" s="35"/>
      <c r="AAV4" s="35"/>
      <c r="AAW4" s="35"/>
      <c r="AAX4" s="35"/>
      <c r="AAY4" s="35"/>
      <c r="AAZ4" s="35"/>
      <c r="ABA4" s="35"/>
      <c r="ABB4" s="35"/>
      <c r="ABC4" s="35"/>
      <c r="ABD4" s="35"/>
      <c r="ABE4" s="35"/>
      <c r="ABF4" s="35"/>
      <c r="ABG4" s="35"/>
      <c r="ABH4" s="35"/>
      <c r="ABI4" s="35"/>
      <c r="ABJ4" s="35"/>
      <c r="ABK4" s="35"/>
      <c r="ABL4" s="35"/>
      <c r="ABM4" s="35"/>
      <c r="ABN4" s="35"/>
      <c r="ABO4" s="35"/>
      <c r="ABP4" s="35"/>
      <c r="ABQ4" s="35"/>
      <c r="ABR4" s="35"/>
      <c r="ABS4" s="35"/>
      <c r="ABT4" s="35"/>
      <c r="ABU4" s="35"/>
      <c r="ABV4" s="35"/>
      <c r="ABW4" s="35"/>
      <c r="ABX4" s="35"/>
      <c r="ABY4" s="35"/>
      <c r="ABZ4" s="35"/>
      <c r="ACA4" s="35"/>
      <c r="ACB4" s="35"/>
      <c r="ACC4" s="35"/>
      <c r="ACD4" s="35"/>
      <c r="ACE4" s="35"/>
      <c r="ACF4" s="35"/>
      <c r="ACG4" s="35"/>
      <c r="ACH4" s="35"/>
      <c r="ACI4" s="35"/>
      <c r="ACJ4" s="35"/>
      <c r="ACK4" s="35"/>
      <c r="ACL4" s="35"/>
      <c r="ACM4" s="35"/>
      <c r="ACN4" s="35"/>
      <c r="ACO4" s="35"/>
      <c r="ACP4" s="35"/>
      <c r="ACQ4" s="35"/>
      <c r="ACR4" s="35"/>
      <c r="ACS4" s="35"/>
      <c r="ACT4" s="35"/>
      <c r="ACU4" s="35"/>
      <c r="ACV4" s="35"/>
      <c r="ACW4" s="35"/>
      <c r="ACX4" s="35"/>
      <c r="ACY4" s="35"/>
      <c r="ACZ4" s="35"/>
      <c r="ADA4" s="35"/>
      <c r="ADB4" s="35"/>
      <c r="ADC4" s="35"/>
      <c r="ADD4" s="35"/>
      <c r="ADE4" s="35"/>
      <c r="ADF4" s="35"/>
      <c r="ADG4" s="35"/>
      <c r="ADH4" s="35"/>
      <c r="ADI4" s="35"/>
      <c r="ADJ4" s="35"/>
      <c r="ADK4" s="35"/>
      <c r="ADL4" s="35"/>
      <c r="ADM4" s="35"/>
      <c r="ADN4" s="35"/>
      <c r="ADO4" s="35"/>
      <c r="ADP4" s="35"/>
      <c r="ADQ4" s="35"/>
      <c r="ADR4" s="35"/>
      <c r="ADS4" s="35"/>
      <c r="ADT4" s="35"/>
      <c r="ADU4" s="35"/>
      <c r="ADV4" s="35"/>
      <c r="ADW4" s="35"/>
      <c r="ADX4" s="35"/>
      <c r="ADY4" s="35"/>
      <c r="ADZ4" s="35"/>
      <c r="AEA4" s="35"/>
      <c r="AEB4" s="35"/>
      <c r="AEC4" s="35"/>
      <c r="AED4" s="35"/>
      <c r="AEE4" s="35"/>
      <c r="AEF4" s="35"/>
      <c r="AEG4" s="35"/>
      <c r="AEH4" s="35"/>
      <c r="AEI4" s="35"/>
      <c r="AEJ4" s="35"/>
      <c r="AEK4" s="35"/>
      <c r="AEL4" s="35"/>
      <c r="AEM4" s="35"/>
      <c r="AEN4" s="35"/>
      <c r="AEO4" s="35"/>
      <c r="AEP4" s="35"/>
      <c r="AEQ4" s="35"/>
      <c r="AER4" s="35"/>
      <c r="AES4" s="35"/>
      <c r="AET4" s="35"/>
      <c r="AEU4" s="35"/>
      <c r="AEV4" s="35"/>
      <c r="AEW4" s="35"/>
      <c r="AEX4" s="35"/>
      <c r="AEY4" s="35"/>
      <c r="AEZ4" s="35"/>
      <c r="AFA4" s="35"/>
      <c r="AFB4" s="35"/>
      <c r="AFC4" s="35"/>
      <c r="AFD4" s="35"/>
      <c r="AFE4" s="35"/>
      <c r="AFF4" s="35"/>
      <c r="AFG4" s="35"/>
      <c r="AFH4" s="35"/>
      <c r="AFI4" s="35"/>
      <c r="AFJ4" s="35"/>
      <c r="AFK4" s="35"/>
      <c r="AFL4" s="35"/>
      <c r="AFM4" s="35"/>
      <c r="AFN4" s="35"/>
      <c r="AFO4" s="35"/>
      <c r="AFP4" s="35"/>
      <c r="AFQ4" s="35"/>
      <c r="AFR4" s="35"/>
      <c r="AFS4" s="35"/>
      <c r="AFT4" s="35"/>
      <c r="AFU4" s="35"/>
      <c r="AFV4" s="35"/>
      <c r="AFW4" s="35"/>
      <c r="AFX4" s="35"/>
      <c r="AFY4" s="35"/>
      <c r="AFZ4" s="35"/>
      <c r="AGA4" s="35"/>
      <c r="AGB4" s="35"/>
      <c r="AGC4" s="35"/>
      <c r="AGD4" s="35"/>
      <c r="AGE4" s="35"/>
      <c r="AGF4" s="35"/>
      <c r="AGG4" s="35"/>
      <c r="AGH4" s="35"/>
      <c r="AGI4" s="35"/>
      <c r="AGJ4" s="35"/>
      <c r="AGK4" s="35"/>
      <c r="AGL4" s="35"/>
      <c r="AGM4" s="35"/>
      <c r="AGN4" s="35"/>
      <c r="AGO4" s="35"/>
      <c r="AGP4" s="35"/>
      <c r="AGQ4" s="35"/>
      <c r="AGR4" s="35"/>
      <c r="AGS4" s="35"/>
      <c r="AGT4" s="35"/>
      <c r="AGU4" s="35"/>
      <c r="AGV4" s="35"/>
      <c r="AGW4" s="35"/>
      <c r="AGX4" s="35"/>
      <c r="AGY4" s="35"/>
      <c r="AGZ4" s="35"/>
      <c r="AHA4" s="35"/>
      <c r="AHB4" s="35"/>
      <c r="AHC4" s="35"/>
      <c r="AHD4" s="35"/>
      <c r="AHE4" s="35"/>
      <c r="AHF4" s="35"/>
      <c r="AHG4" s="35"/>
      <c r="AHH4" s="35"/>
      <c r="AHI4" s="35"/>
      <c r="AHJ4" s="35"/>
      <c r="AHK4" s="35"/>
      <c r="AHL4" s="35"/>
      <c r="AHM4" s="35"/>
      <c r="AHN4" s="35"/>
      <c r="AHO4" s="35"/>
      <c r="AHP4" s="35"/>
      <c r="AHQ4" s="35"/>
      <c r="AHR4" s="35"/>
      <c r="AHS4" s="35"/>
      <c r="AHT4" s="35"/>
      <c r="AHU4" s="35"/>
      <c r="AHV4" s="35"/>
      <c r="AHW4" s="35"/>
      <c r="AHX4" s="35"/>
      <c r="AHY4" s="35"/>
      <c r="AHZ4" s="35"/>
      <c r="AIA4" s="35"/>
      <c r="AIB4" s="35"/>
      <c r="AIC4" s="35"/>
      <c r="AID4" s="35"/>
      <c r="AIE4" s="35"/>
      <c r="AIF4" s="35"/>
      <c r="AIG4" s="35"/>
      <c r="AIH4" s="35"/>
      <c r="AII4" s="35"/>
      <c r="AIJ4" s="35"/>
      <c r="AIK4" s="35"/>
      <c r="AIL4" s="35"/>
      <c r="AIM4" s="35"/>
      <c r="AIN4" s="35"/>
      <c r="AIO4" s="35"/>
      <c r="AIP4" s="35"/>
      <c r="AIQ4" s="35"/>
      <c r="AIR4" s="35"/>
      <c r="AIS4" s="35"/>
      <c r="AIT4" s="35"/>
      <c r="AIU4" s="35"/>
      <c r="AIV4" s="35"/>
      <c r="AIW4" s="35"/>
      <c r="AIX4" s="35"/>
      <c r="AIY4" s="35"/>
      <c r="AIZ4" s="35"/>
      <c r="AJA4" s="35"/>
      <c r="AJB4" s="35"/>
      <c r="AJC4" s="35"/>
      <c r="AJD4" s="35"/>
      <c r="AJE4" s="35"/>
      <c r="AJF4" s="35"/>
      <c r="AJG4" s="35"/>
      <c r="AJH4" s="35"/>
      <c r="AJI4" s="35"/>
      <c r="AJJ4" s="35"/>
      <c r="AJK4" s="35"/>
      <c r="AJL4" s="35"/>
      <c r="AJM4" s="35"/>
      <c r="AJN4" s="35"/>
      <c r="AJO4" s="35"/>
      <c r="AJP4" s="35"/>
      <c r="AJQ4" s="35"/>
      <c r="AJR4" s="35"/>
      <c r="AJS4" s="35"/>
      <c r="AJT4" s="35"/>
      <c r="AJU4" s="35"/>
      <c r="AJV4" s="35"/>
      <c r="AJW4" s="35"/>
      <c r="AJX4" s="35"/>
      <c r="AJY4" s="35"/>
      <c r="AJZ4" s="35"/>
      <c r="AKA4" s="35"/>
      <c r="AKB4" s="35"/>
      <c r="AKC4" s="35"/>
      <c r="AKD4" s="35"/>
      <c r="AKE4" s="35"/>
      <c r="AKF4" s="35"/>
      <c r="AKG4" s="35"/>
      <c r="AKH4" s="35"/>
      <c r="AKI4" s="35"/>
      <c r="AKJ4" s="35"/>
      <c r="AKK4" s="35"/>
      <c r="AKL4" s="35"/>
      <c r="AKM4" s="35"/>
      <c r="AKN4" s="35"/>
      <c r="AKO4" s="35"/>
      <c r="AKP4" s="35"/>
      <c r="AKQ4" s="35"/>
      <c r="AKR4" s="35"/>
      <c r="AKS4" s="35"/>
      <c r="AKT4" s="35"/>
      <c r="AKU4" s="35"/>
      <c r="AKV4" s="35"/>
      <c r="AKW4" s="35"/>
      <c r="AKX4" s="35"/>
      <c r="AKY4" s="35"/>
      <c r="AKZ4" s="35"/>
      <c r="ALA4" s="35"/>
      <c r="ALB4" s="35"/>
      <c r="ALC4" s="35"/>
      <c r="ALD4" s="35"/>
      <c r="ALE4" s="35"/>
      <c r="ALF4" s="35"/>
      <c r="ALG4" s="35"/>
      <c r="ALH4" s="35"/>
      <c r="ALI4" s="35"/>
      <c r="ALJ4" s="35"/>
      <c r="ALK4" s="35"/>
      <c r="ALL4" s="35"/>
      <c r="ALM4" s="35"/>
      <c r="ALN4" s="35"/>
      <c r="ALO4" s="35"/>
      <c r="ALP4" s="35"/>
      <c r="ALQ4" s="35"/>
      <c r="ALR4" s="35"/>
      <c r="ALS4" s="35"/>
      <c r="ALT4" s="35"/>
      <c r="ALU4" s="35"/>
      <c r="ALV4" s="35"/>
      <c r="ALW4" s="35"/>
      <c r="ALX4" s="35"/>
      <c r="ALY4" s="35"/>
    </row>
    <row r="5" customFormat="false" ht="12.8" hidden="false" customHeight="true" outlineLevel="0" collapsed="false">
      <c r="A5" s="40"/>
      <c r="B5" s="40"/>
      <c r="C5" s="40"/>
      <c r="D5" s="40"/>
      <c r="E5" s="40"/>
      <c r="F5" s="40"/>
      <c r="G5" s="40"/>
      <c r="H5" s="40"/>
      <c r="I5" s="40"/>
      <c r="J5" s="40"/>
      <c r="K5" s="40"/>
      <c r="L5" s="40"/>
      <c r="M5" s="40"/>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0"/>
      <c r="AU5" s="40" t="s">
        <v>364</v>
      </c>
      <c r="AV5" s="35"/>
      <c r="AW5" s="35"/>
      <c r="AX5" s="35"/>
      <c r="AY5" s="35"/>
      <c r="AZ5" s="35"/>
      <c r="BA5" s="35"/>
      <c r="BB5" s="35"/>
      <c r="BC5" s="35"/>
      <c r="BD5" s="35"/>
      <c r="BE5" s="35"/>
      <c r="BF5" s="35"/>
      <c r="BG5" s="35"/>
      <c r="BH5" s="35"/>
      <c r="BI5" s="35"/>
      <c r="BJ5" s="35"/>
      <c r="BK5" s="35"/>
      <c r="BL5" s="35"/>
      <c r="BM5" s="35"/>
      <c r="BN5" s="35"/>
      <c r="BO5" s="35"/>
      <c r="BP5" s="35"/>
      <c r="BQ5" s="35"/>
      <c r="BR5" s="35"/>
      <c r="BS5" s="35"/>
      <c r="BT5" s="35"/>
      <c r="BU5" s="35"/>
      <c r="BV5" s="35"/>
      <c r="BW5" s="35"/>
      <c r="BX5" s="35"/>
      <c r="BY5" s="35"/>
      <c r="BZ5" s="35"/>
      <c r="CA5" s="35"/>
      <c r="CB5" s="35"/>
      <c r="CC5" s="35"/>
      <c r="CD5" s="35"/>
      <c r="CE5" s="35"/>
      <c r="CF5" s="35"/>
      <c r="CG5" s="35"/>
      <c r="CH5" s="35"/>
      <c r="CI5" s="35"/>
      <c r="CJ5" s="35"/>
      <c r="CK5" s="35"/>
      <c r="CL5" s="35"/>
      <c r="CM5" s="35"/>
      <c r="CN5" s="35"/>
      <c r="CO5" s="35"/>
      <c r="CP5" s="35"/>
      <c r="CQ5" s="35"/>
      <c r="CR5" s="35"/>
      <c r="CS5" s="35"/>
      <c r="CT5" s="35"/>
      <c r="CU5" s="35"/>
      <c r="CV5" s="35"/>
      <c r="CW5" s="35"/>
      <c r="CX5" s="35"/>
      <c r="CY5" s="35"/>
      <c r="CZ5" s="35"/>
      <c r="DA5" s="35"/>
      <c r="DB5" s="35"/>
      <c r="DC5" s="35"/>
      <c r="DD5" s="35"/>
      <c r="DE5" s="35"/>
      <c r="DF5" s="35"/>
      <c r="DG5" s="35"/>
      <c r="DH5" s="35"/>
      <c r="DI5" s="35"/>
      <c r="DJ5" s="35"/>
      <c r="DK5" s="35"/>
      <c r="DL5" s="35"/>
      <c r="DM5" s="35"/>
      <c r="DN5" s="35"/>
      <c r="DO5" s="35"/>
      <c r="DP5" s="35"/>
      <c r="DQ5" s="35"/>
      <c r="DR5" s="35"/>
      <c r="DS5" s="35"/>
      <c r="DT5" s="35"/>
      <c r="DU5" s="35"/>
      <c r="DV5" s="35"/>
      <c r="DW5" s="35"/>
      <c r="DX5" s="35"/>
      <c r="DY5" s="35"/>
      <c r="DZ5" s="35"/>
      <c r="EA5" s="35"/>
      <c r="EB5" s="35"/>
      <c r="EC5" s="35"/>
      <c r="ED5" s="35"/>
      <c r="EE5" s="35"/>
      <c r="EF5" s="35"/>
      <c r="EG5" s="35"/>
      <c r="EH5" s="35"/>
      <c r="EI5" s="35"/>
      <c r="EJ5" s="35"/>
      <c r="EK5" s="35"/>
      <c r="EL5" s="35"/>
      <c r="EM5" s="35"/>
      <c r="EN5" s="35"/>
      <c r="EO5" s="35"/>
      <c r="EP5" s="35"/>
      <c r="EQ5" s="35"/>
      <c r="ER5" s="35"/>
      <c r="ES5" s="35"/>
      <c r="ET5" s="35"/>
      <c r="EU5" s="35"/>
      <c r="EV5" s="35"/>
      <c r="EW5" s="35"/>
      <c r="EX5" s="35"/>
      <c r="EY5" s="35"/>
      <c r="EZ5" s="35"/>
      <c r="FA5" s="35"/>
      <c r="FB5" s="35"/>
      <c r="FC5" s="35"/>
      <c r="FD5" s="35"/>
      <c r="FE5" s="35"/>
      <c r="FF5" s="35"/>
      <c r="FG5" s="35"/>
      <c r="FH5" s="35"/>
      <c r="FI5" s="35"/>
      <c r="FJ5" s="35"/>
      <c r="FK5" s="35"/>
      <c r="FL5" s="35"/>
      <c r="FM5" s="35"/>
      <c r="FN5" s="35"/>
      <c r="FO5" s="35"/>
      <c r="FP5" s="35"/>
      <c r="FQ5" s="35"/>
      <c r="FR5" s="35"/>
      <c r="FS5" s="35"/>
      <c r="FT5" s="35"/>
      <c r="FU5" s="35"/>
      <c r="FV5" s="35"/>
      <c r="FW5" s="35"/>
      <c r="FX5" s="35"/>
      <c r="FY5" s="35"/>
      <c r="FZ5" s="35"/>
      <c r="GA5" s="35"/>
      <c r="GB5" s="35"/>
      <c r="GC5" s="35"/>
      <c r="GD5" s="35"/>
      <c r="GE5" s="35"/>
      <c r="GF5" s="35"/>
      <c r="GG5" s="35"/>
      <c r="GH5" s="35"/>
      <c r="GI5" s="35"/>
      <c r="GJ5" s="35"/>
      <c r="GK5" s="35"/>
      <c r="GL5" s="35"/>
      <c r="GM5" s="35"/>
      <c r="GN5" s="35"/>
      <c r="GO5" s="35"/>
      <c r="GP5" s="35"/>
      <c r="GQ5" s="35"/>
      <c r="GR5" s="35"/>
      <c r="GS5" s="35"/>
      <c r="GT5" s="35"/>
      <c r="GU5" s="35"/>
      <c r="GV5" s="35"/>
      <c r="GW5" s="35"/>
      <c r="GX5" s="35"/>
      <c r="GY5" s="35"/>
      <c r="GZ5" s="35"/>
      <c r="HA5" s="35"/>
      <c r="HB5" s="35"/>
      <c r="HC5" s="35"/>
      <c r="HD5" s="35"/>
      <c r="HE5" s="35"/>
      <c r="HF5" s="35"/>
      <c r="HG5" s="35"/>
      <c r="HH5" s="35"/>
      <c r="HI5" s="35"/>
      <c r="HJ5" s="35"/>
      <c r="HK5" s="35"/>
      <c r="HL5" s="35"/>
      <c r="HM5" s="35"/>
      <c r="HN5" s="35"/>
      <c r="HO5" s="35"/>
      <c r="HP5" s="35"/>
      <c r="HQ5" s="35"/>
      <c r="HR5" s="35"/>
      <c r="HS5" s="35"/>
      <c r="HT5" s="35"/>
      <c r="HU5" s="35"/>
      <c r="HV5" s="35"/>
      <c r="HW5" s="35"/>
      <c r="HX5" s="35"/>
      <c r="HY5" s="35"/>
      <c r="HZ5" s="35"/>
      <c r="IA5" s="35"/>
      <c r="IB5" s="35"/>
      <c r="IC5" s="35"/>
      <c r="ID5" s="35"/>
      <c r="IE5" s="35"/>
      <c r="IF5" s="35"/>
      <c r="IG5" s="35"/>
      <c r="IH5" s="35"/>
      <c r="II5" s="35"/>
      <c r="IJ5" s="35"/>
      <c r="IK5" s="35"/>
      <c r="IL5" s="35"/>
      <c r="IM5" s="35"/>
      <c r="IN5" s="35"/>
      <c r="IO5" s="35"/>
      <c r="IP5" s="35"/>
      <c r="IQ5" s="35"/>
      <c r="IR5" s="35"/>
      <c r="IS5" s="35"/>
      <c r="IT5" s="35"/>
      <c r="IU5" s="35"/>
      <c r="IV5" s="35"/>
      <c r="IW5" s="35"/>
      <c r="IX5" s="35"/>
      <c r="IY5" s="35"/>
      <c r="IZ5" s="35"/>
      <c r="JA5" s="35"/>
      <c r="JB5" s="35"/>
      <c r="JC5" s="35"/>
      <c r="JD5" s="35"/>
      <c r="JE5" s="35"/>
      <c r="JF5" s="35"/>
      <c r="JG5" s="35"/>
      <c r="JH5" s="35"/>
      <c r="JI5" s="35"/>
      <c r="JJ5" s="35"/>
      <c r="JK5" s="35"/>
      <c r="JL5" s="35"/>
      <c r="JM5" s="35"/>
      <c r="JN5" s="35"/>
      <c r="JO5" s="35"/>
      <c r="JP5" s="35"/>
      <c r="JQ5" s="35"/>
      <c r="JR5" s="35"/>
      <c r="JS5" s="35"/>
      <c r="JT5" s="35"/>
      <c r="JU5" s="35"/>
      <c r="JV5" s="35"/>
      <c r="JW5" s="35"/>
      <c r="JX5" s="35"/>
      <c r="JY5" s="35"/>
      <c r="JZ5" s="35"/>
      <c r="KA5" s="35"/>
      <c r="KB5" s="35"/>
      <c r="KC5" s="35"/>
      <c r="KD5" s="35"/>
      <c r="KE5" s="35"/>
      <c r="KF5" s="35"/>
      <c r="KG5" s="35"/>
      <c r="KH5" s="35"/>
      <c r="KI5" s="35"/>
      <c r="KJ5" s="35"/>
      <c r="KK5" s="35"/>
      <c r="KL5" s="35"/>
      <c r="KM5" s="35"/>
      <c r="KN5" s="35"/>
      <c r="KO5" s="35"/>
      <c r="KP5" s="35"/>
      <c r="KQ5" s="35"/>
      <c r="KR5" s="35"/>
      <c r="KS5" s="35"/>
      <c r="KT5" s="35"/>
      <c r="KU5" s="35"/>
      <c r="KV5" s="35"/>
      <c r="KW5" s="35"/>
      <c r="KX5" s="35"/>
      <c r="KY5" s="35"/>
      <c r="KZ5" s="35"/>
      <c r="LA5" s="35"/>
      <c r="LB5" s="35"/>
      <c r="LC5" s="35"/>
      <c r="LD5" s="35"/>
      <c r="LE5" s="35"/>
      <c r="LF5" s="35"/>
      <c r="LG5" s="35"/>
      <c r="LH5" s="35"/>
      <c r="LI5" s="35"/>
      <c r="LJ5" s="35"/>
      <c r="LK5" s="35"/>
      <c r="LL5" s="35"/>
      <c r="LM5" s="35"/>
      <c r="LN5" s="35"/>
      <c r="LO5" s="35"/>
      <c r="LP5" s="35"/>
      <c r="LQ5" s="35"/>
      <c r="LR5" s="35"/>
      <c r="LS5" s="35"/>
      <c r="LT5" s="35"/>
      <c r="LU5" s="35"/>
      <c r="LV5" s="35"/>
      <c r="LW5" s="35"/>
      <c r="LX5" s="35"/>
      <c r="LY5" s="35"/>
      <c r="LZ5" s="35"/>
      <c r="MA5" s="35"/>
      <c r="MB5" s="35"/>
      <c r="MC5" s="35"/>
      <c r="MD5" s="35"/>
      <c r="ME5" s="35"/>
      <c r="MF5" s="35"/>
      <c r="MG5" s="35"/>
      <c r="MH5" s="35"/>
      <c r="MI5" s="35"/>
      <c r="MJ5" s="35"/>
      <c r="MK5" s="35"/>
      <c r="ML5" s="35"/>
      <c r="MM5" s="35"/>
      <c r="MN5" s="35"/>
      <c r="MO5" s="35"/>
      <c r="MP5" s="35"/>
      <c r="MQ5" s="35"/>
      <c r="MR5" s="35"/>
      <c r="MS5" s="35"/>
      <c r="MT5" s="35"/>
      <c r="MU5" s="35"/>
      <c r="MV5" s="35"/>
      <c r="MW5" s="35"/>
      <c r="MX5" s="35"/>
      <c r="MY5" s="35"/>
      <c r="MZ5" s="35"/>
      <c r="NA5" s="35"/>
      <c r="NB5" s="35"/>
      <c r="NC5" s="35"/>
      <c r="ND5" s="35"/>
      <c r="NE5" s="35"/>
      <c r="NF5" s="35"/>
      <c r="NG5" s="35"/>
      <c r="NH5" s="35"/>
      <c r="NI5" s="35"/>
      <c r="NJ5" s="35"/>
      <c r="NK5" s="35"/>
      <c r="NL5" s="35"/>
      <c r="NM5" s="35"/>
      <c r="NN5" s="35"/>
      <c r="NO5" s="35"/>
      <c r="NP5" s="35"/>
      <c r="NQ5" s="35"/>
      <c r="NR5" s="35"/>
      <c r="NS5" s="35"/>
      <c r="NT5" s="35"/>
      <c r="NU5" s="35"/>
      <c r="NV5" s="35"/>
      <c r="NW5" s="35"/>
      <c r="NX5" s="35"/>
      <c r="NY5" s="35"/>
      <c r="NZ5" s="35"/>
      <c r="OA5" s="35"/>
      <c r="OB5" s="35"/>
      <c r="OC5" s="35"/>
      <c r="OD5" s="35"/>
      <c r="OE5" s="35"/>
      <c r="OF5" s="35"/>
      <c r="OG5" s="35"/>
      <c r="OH5" s="35"/>
      <c r="OI5" s="35"/>
      <c r="OJ5" s="35"/>
      <c r="OK5" s="35"/>
      <c r="OL5" s="35"/>
      <c r="OM5" s="35"/>
      <c r="ON5" s="35"/>
      <c r="OO5" s="35"/>
      <c r="OP5" s="35"/>
      <c r="OQ5" s="35"/>
      <c r="OR5" s="35"/>
      <c r="OS5" s="35"/>
      <c r="OT5" s="35"/>
      <c r="OU5" s="35"/>
      <c r="OV5" s="35"/>
      <c r="OW5" s="35"/>
      <c r="OX5" s="35"/>
      <c r="OY5" s="35"/>
      <c r="OZ5" s="35"/>
      <c r="PA5" s="35"/>
      <c r="PB5" s="35"/>
      <c r="PC5" s="35"/>
      <c r="PD5" s="35"/>
      <c r="PE5" s="35"/>
      <c r="PF5" s="35"/>
      <c r="PG5" s="35"/>
      <c r="PH5" s="35"/>
      <c r="PI5" s="35"/>
      <c r="PJ5" s="35"/>
      <c r="PK5" s="35"/>
      <c r="PL5" s="35"/>
      <c r="PM5" s="35"/>
      <c r="PN5" s="35"/>
      <c r="PO5" s="35"/>
      <c r="PP5" s="35"/>
      <c r="PQ5" s="35"/>
      <c r="PR5" s="35"/>
      <c r="PS5" s="35"/>
      <c r="PT5" s="35"/>
      <c r="PU5" s="35"/>
      <c r="PV5" s="35"/>
      <c r="PW5" s="35"/>
      <c r="PX5" s="35"/>
      <c r="PY5" s="35"/>
      <c r="PZ5" s="35"/>
      <c r="QA5" s="35"/>
      <c r="QB5" s="35"/>
      <c r="QC5" s="35"/>
      <c r="QD5" s="35"/>
      <c r="QE5" s="35"/>
      <c r="QF5" s="35"/>
      <c r="QG5" s="35"/>
      <c r="QH5" s="35"/>
      <c r="QI5" s="35"/>
      <c r="QJ5" s="35"/>
      <c r="QK5" s="35"/>
      <c r="QL5" s="35"/>
      <c r="QM5" s="35"/>
      <c r="QN5" s="35"/>
      <c r="QO5" s="35"/>
      <c r="QP5" s="35"/>
      <c r="QQ5" s="35"/>
      <c r="QR5" s="35"/>
      <c r="QS5" s="35"/>
      <c r="QT5" s="35"/>
      <c r="QU5" s="35"/>
      <c r="QV5" s="35"/>
      <c r="QW5" s="35"/>
      <c r="QX5" s="35"/>
      <c r="QY5" s="35"/>
      <c r="QZ5" s="35"/>
      <c r="RA5" s="35"/>
      <c r="RB5" s="35"/>
      <c r="RC5" s="35"/>
      <c r="RD5" s="35"/>
      <c r="RE5" s="35"/>
      <c r="RF5" s="35"/>
      <c r="RG5" s="35"/>
      <c r="RH5" s="35"/>
      <c r="RI5" s="35"/>
      <c r="RJ5" s="35"/>
      <c r="RK5" s="35"/>
      <c r="RL5" s="35"/>
      <c r="RM5" s="35"/>
      <c r="RN5" s="35"/>
      <c r="RO5" s="35"/>
      <c r="RP5" s="35"/>
      <c r="RQ5" s="35"/>
      <c r="RR5" s="35"/>
      <c r="RS5" s="35"/>
      <c r="RT5" s="35"/>
      <c r="RU5" s="35"/>
      <c r="RV5" s="35"/>
      <c r="RW5" s="35"/>
      <c r="RX5" s="35"/>
      <c r="RY5" s="35"/>
      <c r="RZ5" s="35"/>
      <c r="SA5" s="35"/>
      <c r="SB5" s="35"/>
      <c r="SC5" s="35"/>
      <c r="SD5" s="35"/>
      <c r="SE5" s="35"/>
      <c r="SF5" s="35"/>
      <c r="SG5" s="35"/>
      <c r="SH5" s="35"/>
      <c r="SI5" s="35"/>
      <c r="SJ5" s="35"/>
      <c r="SK5" s="35"/>
      <c r="SL5" s="35"/>
      <c r="SM5" s="35"/>
      <c r="SN5" s="35"/>
      <c r="SO5" s="35"/>
      <c r="SP5" s="35"/>
      <c r="SQ5" s="35"/>
      <c r="SR5" s="35"/>
      <c r="SS5" s="35"/>
      <c r="ST5" s="35"/>
      <c r="SU5" s="35"/>
      <c r="SV5" s="35"/>
      <c r="SW5" s="35"/>
      <c r="SX5" s="35"/>
      <c r="SY5" s="35"/>
      <c r="SZ5" s="35"/>
      <c r="TA5" s="35"/>
      <c r="TB5" s="35"/>
      <c r="TC5" s="35"/>
      <c r="TD5" s="35"/>
      <c r="TE5" s="35"/>
      <c r="TF5" s="35"/>
      <c r="TG5" s="35"/>
      <c r="TH5" s="35"/>
      <c r="TI5" s="35"/>
      <c r="TJ5" s="35"/>
      <c r="TK5" s="35"/>
      <c r="TL5" s="35"/>
      <c r="TM5" s="35"/>
      <c r="TN5" s="35"/>
      <c r="TO5" s="35"/>
      <c r="TP5" s="35"/>
      <c r="TQ5" s="35"/>
      <c r="TR5" s="35"/>
      <c r="TS5" s="35"/>
      <c r="TT5" s="35"/>
      <c r="TU5" s="35"/>
      <c r="TV5" s="35"/>
      <c r="TW5" s="35"/>
      <c r="TX5" s="35"/>
      <c r="TY5" s="35"/>
      <c r="TZ5" s="35"/>
      <c r="UA5" s="35"/>
      <c r="UB5" s="35"/>
      <c r="UC5" s="35"/>
      <c r="UD5" s="35"/>
      <c r="UE5" s="35"/>
      <c r="UF5" s="35"/>
      <c r="UG5" s="35"/>
      <c r="UH5" s="35"/>
      <c r="UI5" s="35"/>
      <c r="UJ5" s="35"/>
      <c r="UK5" s="35"/>
      <c r="UL5" s="35"/>
      <c r="UM5" s="35"/>
      <c r="UN5" s="35"/>
      <c r="UO5" s="35"/>
      <c r="UP5" s="35"/>
      <c r="UQ5" s="35"/>
      <c r="UR5" s="35"/>
      <c r="US5" s="35"/>
      <c r="UT5" s="35"/>
      <c r="UU5" s="35"/>
      <c r="UV5" s="35"/>
      <c r="UW5" s="35"/>
      <c r="UX5" s="35"/>
      <c r="UY5" s="35"/>
      <c r="UZ5" s="35"/>
      <c r="VA5" s="35"/>
      <c r="VB5" s="35"/>
      <c r="VC5" s="35"/>
      <c r="VD5" s="35"/>
      <c r="VE5" s="35"/>
      <c r="VF5" s="35"/>
      <c r="VG5" s="35"/>
      <c r="VH5" s="35"/>
      <c r="VI5" s="35"/>
      <c r="VJ5" s="35"/>
      <c r="VK5" s="35"/>
      <c r="VL5" s="35"/>
      <c r="VM5" s="35"/>
      <c r="VN5" s="35"/>
      <c r="VO5" s="35"/>
      <c r="VP5" s="35"/>
      <c r="VQ5" s="35"/>
      <c r="VR5" s="35"/>
      <c r="VS5" s="35"/>
      <c r="VT5" s="35"/>
      <c r="VU5" s="35"/>
      <c r="VV5" s="35"/>
      <c r="VW5" s="35"/>
      <c r="VX5" s="35"/>
      <c r="VY5" s="35"/>
      <c r="VZ5" s="35"/>
      <c r="WA5" s="35"/>
      <c r="WB5" s="35"/>
      <c r="WC5" s="35"/>
      <c r="WD5" s="35"/>
      <c r="WE5" s="35"/>
      <c r="WF5" s="35"/>
      <c r="WG5" s="35"/>
      <c r="WH5" s="35"/>
      <c r="WI5" s="35"/>
      <c r="WJ5" s="35"/>
      <c r="WK5" s="35"/>
      <c r="WL5" s="35"/>
      <c r="WM5" s="35"/>
      <c r="WN5" s="35"/>
      <c r="WO5" s="35"/>
      <c r="WP5" s="35"/>
      <c r="WQ5" s="35"/>
      <c r="WR5" s="35"/>
      <c r="WS5" s="35"/>
      <c r="WT5" s="35"/>
      <c r="WU5" s="35"/>
      <c r="WV5" s="35"/>
      <c r="WW5" s="35"/>
      <c r="WX5" s="35"/>
      <c r="WY5" s="35"/>
      <c r="WZ5" s="35"/>
      <c r="XA5" s="35"/>
      <c r="XB5" s="35"/>
      <c r="XC5" s="35"/>
      <c r="XD5" s="35"/>
      <c r="XE5" s="35"/>
      <c r="XF5" s="35"/>
      <c r="XG5" s="35"/>
      <c r="XH5" s="35"/>
      <c r="XI5" s="35"/>
      <c r="XJ5" s="35"/>
      <c r="XK5" s="35"/>
      <c r="XL5" s="35"/>
      <c r="XM5" s="35"/>
      <c r="XN5" s="35"/>
      <c r="XO5" s="35"/>
      <c r="XP5" s="35"/>
      <c r="XQ5" s="35"/>
      <c r="XR5" s="35"/>
      <c r="XS5" s="35"/>
      <c r="XT5" s="35"/>
      <c r="XU5" s="35"/>
      <c r="XV5" s="35"/>
      <c r="XW5" s="35"/>
      <c r="XX5" s="35"/>
      <c r="XY5" s="35"/>
      <c r="XZ5" s="35"/>
      <c r="YA5" s="35"/>
      <c r="YB5" s="35"/>
      <c r="YC5" s="35"/>
      <c r="YD5" s="35"/>
      <c r="YE5" s="35"/>
      <c r="YF5" s="35"/>
      <c r="YG5" s="35"/>
      <c r="YH5" s="35"/>
      <c r="YI5" s="35"/>
      <c r="YJ5" s="35"/>
      <c r="YK5" s="35"/>
      <c r="YL5" s="35"/>
      <c r="YM5" s="35"/>
      <c r="YN5" s="35"/>
      <c r="YO5" s="35"/>
      <c r="YP5" s="35"/>
      <c r="YQ5" s="35"/>
      <c r="YR5" s="35"/>
      <c r="YS5" s="35"/>
      <c r="YT5" s="35"/>
      <c r="YU5" s="35"/>
      <c r="YV5" s="35"/>
      <c r="YW5" s="35"/>
      <c r="YX5" s="35"/>
      <c r="YY5" s="35"/>
      <c r="YZ5" s="35"/>
      <c r="ZA5" s="35"/>
      <c r="ZB5" s="35"/>
      <c r="ZC5" s="35"/>
      <c r="ZD5" s="35"/>
      <c r="ZE5" s="35"/>
      <c r="ZF5" s="35"/>
      <c r="ZG5" s="35"/>
      <c r="ZH5" s="35"/>
      <c r="ZI5" s="35"/>
      <c r="ZJ5" s="35"/>
      <c r="ZK5" s="35"/>
      <c r="ZL5" s="35"/>
      <c r="ZM5" s="35"/>
      <c r="ZN5" s="35"/>
      <c r="ZO5" s="35"/>
      <c r="ZP5" s="35"/>
      <c r="ZQ5" s="35"/>
      <c r="ZR5" s="35"/>
      <c r="ZS5" s="35"/>
      <c r="ZT5" s="35"/>
      <c r="ZU5" s="35"/>
      <c r="ZV5" s="35"/>
      <c r="ZW5" s="35"/>
      <c r="ZX5" s="35"/>
      <c r="ZY5" s="35"/>
      <c r="ZZ5" s="35"/>
      <c r="AAA5" s="35"/>
      <c r="AAB5" s="35"/>
      <c r="AAC5" s="35"/>
      <c r="AAD5" s="35"/>
      <c r="AAE5" s="35"/>
      <c r="AAF5" s="35"/>
      <c r="AAG5" s="35"/>
      <c r="AAH5" s="35"/>
      <c r="AAI5" s="35"/>
      <c r="AAJ5" s="35"/>
      <c r="AAK5" s="35"/>
      <c r="AAL5" s="35"/>
      <c r="AAM5" s="35"/>
      <c r="AAN5" s="35"/>
      <c r="AAO5" s="35"/>
      <c r="AAP5" s="35"/>
      <c r="AAQ5" s="35"/>
      <c r="AAR5" s="35"/>
      <c r="AAS5" s="35"/>
      <c r="AAT5" s="35"/>
      <c r="AAU5" s="35"/>
      <c r="AAV5" s="35"/>
      <c r="AAW5" s="35"/>
      <c r="AAX5" s="35"/>
      <c r="AAY5" s="35"/>
      <c r="AAZ5" s="35"/>
      <c r="ABA5" s="35"/>
      <c r="ABB5" s="35"/>
      <c r="ABC5" s="35"/>
      <c r="ABD5" s="35"/>
      <c r="ABE5" s="35"/>
      <c r="ABF5" s="35"/>
      <c r="ABG5" s="35"/>
      <c r="ABH5" s="35"/>
      <c r="ABI5" s="35"/>
      <c r="ABJ5" s="35"/>
      <c r="ABK5" s="35"/>
      <c r="ABL5" s="35"/>
      <c r="ABM5" s="35"/>
      <c r="ABN5" s="35"/>
      <c r="ABO5" s="35"/>
      <c r="ABP5" s="35"/>
      <c r="ABQ5" s="35"/>
      <c r="ABR5" s="35"/>
      <c r="ABS5" s="35"/>
      <c r="ABT5" s="35"/>
      <c r="ABU5" s="35"/>
      <c r="ABV5" s="35"/>
      <c r="ABW5" s="35"/>
      <c r="ABX5" s="35"/>
      <c r="ABY5" s="35"/>
      <c r="ABZ5" s="35"/>
      <c r="ACA5" s="35"/>
      <c r="ACB5" s="35"/>
      <c r="ACC5" s="35"/>
      <c r="ACD5" s="35"/>
      <c r="ACE5" s="35"/>
      <c r="ACF5" s="35"/>
      <c r="ACG5" s="35"/>
      <c r="ACH5" s="35"/>
      <c r="ACI5" s="35"/>
      <c r="ACJ5" s="35"/>
      <c r="ACK5" s="35"/>
      <c r="ACL5" s="35"/>
      <c r="ACM5" s="35"/>
      <c r="ACN5" s="35"/>
      <c r="ACO5" s="35"/>
      <c r="ACP5" s="35"/>
      <c r="ACQ5" s="35"/>
      <c r="ACR5" s="35"/>
      <c r="ACS5" s="35"/>
      <c r="ACT5" s="35"/>
      <c r="ACU5" s="35"/>
      <c r="ACV5" s="35"/>
      <c r="ACW5" s="35"/>
      <c r="ACX5" s="35"/>
      <c r="ACY5" s="35"/>
      <c r="ACZ5" s="35"/>
      <c r="ADA5" s="35"/>
      <c r="ADB5" s="35"/>
      <c r="ADC5" s="35"/>
      <c r="ADD5" s="35"/>
      <c r="ADE5" s="35"/>
      <c r="ADF5" s="35"/>
      <c r="ADG5" s="35"/>
      <c r="ADH5" s="35"/>
      <c r="ADI5" s="35"/>
      <c r="ADJ5" s="35"/>
      <c r="ADK5" s="35"/>
      <c r="ADL5" s="35"/>
      <c r="ADM5" s="35"/>
      <c r="ADN5" s="35"/>
      <c r="ADO5" s="35"/>
      <c r="ADP5" s="35"/>
      <c r="ADQ5" s="35"/>
      <c r="ADR5" s="35"/>
      <c r="ADS5" s="35"/>
      <c r="ADT5" s="35"/>
      <c r="ADU5" s="35"/>
      <c r="ADV5" s="35"/>
      <c r="ADW5" s="35"/>
      <c r="ADX5" s="35"/>
      <c r="ADY5" s="35"/>
      <c r="ADZ5" s="35"/>
      <c r="AEA5" s="35"/>
      <c r="AEB5" s="35"/>
      <c r="AEC5" s="35"/>
      <c r="AED5" s="35"/>
      <c r="AEE5" s="35"/>
      <c r="AEF5" s="35"/>
      <c r="AEG5" s="35"/>
      <c r="AEH5" s="35"/>
      <c r="AEI5" s="35"/>
      <c r="AEJ5" s="35"/>
      <c r="AEK5" s="35"/>
      <c r="AEL5" s="35"/>
      <c r="AEM5" s="35"/>
      <c r="AEN5" s="35"/>
      <c r="AEO5" s="35"/>
      <c r="AEP5" s="35"/>
      <c r="AEQ5" s="35"/>
      <c r="AER5" s="35"/>
      <c r="AES5" s="35"/>
      <c r="AET5" s="35"/>
      <c r="AEU5" s="35"/>
      <c r="AEV5" s="35"/>
      <c r="AEW5" s="35"/>
      <c r="AEX5" s="35"/>
      <c r="AEY5" s="35"/>
      <c r="AEZ5" s="35"/>
      <c r="AFA5" s="35"/>
      <c r="AFB5" s="35"/>
      <c r="AFC5" s="35"/>
      <c r="AFD5" s="35"/>
      <c r="AFE5" s="35"/>
      <c r="AFF5" s="35"/>
      <c r="AFG5" s="35"/>
      <c r="AFH5" s="35"/>
      <c r="AFI5" s="35"/>
      <c r="AFJ5" s="35"/>
      <c r="AFK5" s="35"/>
      <c r="AFL5" s="35"/>
      <c r="AFM5" s="35"/>
      <c r="AFN5" s="35"/>
      <c r="AFO5" s="35"/>
      <c r="AFP5" s="35"/>
      <c r="AFQ5" s="35"/>
      <c r="AFR5" s="35"/>
      <c r="AFS5" s="35"/>
      <c r="AFT5" s="35"/>
      <c r="AFU5" s="35"/>
      <c r="AFV5" s="35"/>
      <c r="AFW5" s="35"/>
      <c r="AFX5" s="35"/>
      <c r="AFY5" s="35"/>
      <c r="AFZ5" s="35"/>
      <c r="AGA5" s="35"/>
      <c r="AGB5" s="35"/>
      <c r="AGC5" s="35"/>
      <c r="AGD5" s="35"/>
      <c r="AGE5" s="35"/>
      <c r="AGF5" s="35"/>
      <c r="AGG5" s="35"/>
      <c r="AGH5" s="35"/>
      <c r="AGI5" s="35"/>
      <c r="AGJ5" s="35"/>
      <c r="AGK5" s="35"/>
      <c r="AGL5" s="35"/>
      <c r="AGM5" s="35"/>
      <c r="AGN5" s="35"/>
      <c r="AGO5" s="35"/>
      <c r="AGP5" s="35"/>
      <c r="AGQ5" s="35"/>
      <c r="AGR5" s="35"/>
      <c r="AGS5" s="35"/>
      <c r="AGT5" s="35"/>
      <c r="AGU5" s="35"/>
      <c r="AGV5" s="35"/>
      <c r="AGW5" s="35"/>
      <c r="AGX5" s="35"/>
      <c r="AGY5" s="35"/>
      <c r="AGZ5" s="35"/>
      <c r="AHA5" s="35"/>
      <c r="AHB5" s="35"/>
      <c r="AHC5" s="35"/>
      <c r="AHD5" s="35"/>
      <c r="AHE5" s="35"/>
      <c r="AHF5" s="35"/>
      <c r="AHG5" s="35"/>
      <c r="AHH5" s="35"/>
      <c r="AHI5" s="35"/>
      <c r="AHJ5" s="35"/>
      <c r="AHK5" s="35"/>
      <c r="AHL5" s="35"/>
      <c r="AHM5" s="35"/>
      <c r="AHN5" s="35"/>
      <c r="AHO5" s="35"/>
      <c r="AHP5" s="35"/>
      <c r="AHQ5" s="35"/>
      <c r="AHR5" s="35"/>
      <c r="AHS5" s="35"/>
      <c r="AHT5" s="35"/>
      <c r="AHU5" s="35"/>
      <c r="AHV5" s="35"/>
      <c r="AHW5" s="35"/>
      <c r="AHX5" s="35"/>
      <c r="AHY5" s="35"/>
      <c r="AHZ5" s="35"/>
      <c r="AIA5" s="35"/>
      <c r="AIB5" s="35"/>
      <c r="AIC5" s="35"/>
      <c r="AID5" s="35"/>
      <c r="AIE5" s="35"/>
      <c r="AIF5" s="35"/>
      <c r="AIG5" s="35"/>
      <c r="AIH5" s="35"/>
      <c r="AII5" s="35"/>
      <c r="AIJ5" s="35"/>
      <c r="AIK5" s="35"/>
      <c r="AIL5" s="35"/>
      <c r="AIM5" s="35"/>
      <c r="AIN5" s="35"/>
      <c r="AIO5" s="35"/>
      <c r="AIP5" s="35"/>
      <c r="AIQ5" s="35"/>
      <c r="AIR5" s="35"/>
      <c r="AIS5" s="35"/>
      <c r="AIT5" s="35"/>
      <c r="AIU5" s="35"/>
      <c r="AIV5" s="35"/>
      <c r="AIW5" s="35"/>
      <c r="AIX5" s="35"/>
      <c r="AIY5" s="35"/>
      <c r="AIZ5" s="35"/>
      <c r="AJA5" s="35"/>
      <c r="AJB5" s="35"/>
      <c r="AJC5" s="35"/>
      <c r="AJD5" s="35"/>
      <c r="AJE5" s="35"/>
      <c r="AJF5" s="35"/>
      <c r="AJG5" s="35"/>
      <c r="AJH5" s="35"/>
      <c r="AJI5" s="35"/>
      <c r="AJJ5" s="35"/>
      <c r="AJK5" s="35"/>
      <c r="AJL5" s="35"/>
      <c r="AJM5" s="35"/>
      <c r="AJN5" s="35"/>
      <c r="AJO5" s="35"/>
      <c r="AJP5" s="35"/>
      <c r="AJQ5" s="35"/>
      <c r="AJR5" s="35"/>
      <c r="AJS5" s="35"/>
      <c r="AJT5" s="35"/>
      <c r="AJU5" s="35"/>
      <c r="AJV5" s="35"/>
      <c r="AJW5" s="35"/>
      <c r="AJX5" s="35"/>
      <c r="AJY5" s="35"/>
      <c r="AJZ5" s="35"/>
      <c r="AKA5" s="35"/>
      <c r="AKB5" s="35"/>
      <c r="AKC5" s="35"/>
      <c r="AKD5" s="35"/>
      <c r="AKE5" s="35"/>
      <c r="AKF5" s="35"/>
      <c r="AKG5" s="35"/>
      <c r="AKH5" s="35"/>
      <c r="AKI5" s="35"/>
      <c r="AKJ5" s="35"/>
      <c r="AKK5" s="35"/>
      <c r="AKL5" s="35"/>
      <c r="AKM5" s="35"/>
      <c r="AKN5" s="35"/>
      <c r="AKO5" s="35"/>
      <c r="AKP5" s="35"/>
      <c r="AKQ5" s="35"/>
      <c r="AKR5" s="35"/>
      <c r="AKS5" s="35"/>
      <c r="AKT5" s="35"/>
      <c r="AKU5" s="35"/>
      <c r="AKV5" s="35"/>
      <c r="AKW5" s="35"/>
      <c r="AKX5" s="35"/>
      <c r="AKY5" s="35"/>
      <c r="AKZ5" s="35"/>
      <c r="ALA5" s="35"/>
      <c r="ALB5" s="35"/>
      <c r="ALC5" s="35"/>
      <c r="ALD5" s="35"/>
      <c r="ALE5" s="35"/>
      <c r="ALF5" s="35"/>
      <c r="ALG5" s="35"/>
      <c r="ALH5" s="35"/>
      <c r="ALI5" s="35"/>
      <c r="ALJ5" s="35"/>
      <c r="ALK5" s="35"/>
      <c r="ALL5" s="35"/>
      <c r="ALM5" s="35"/>
      <c r="ALN5" s="35"/>
      <c r="ALO5" s="35"/>
      <c r="ALP5" s="35"/>
      <c r="ALQ5" s="35"/>
      <c r="ALR5" s="35"/>
      <c r="ALS5" s="35"/>
      <c r="ALT5" s="35"/>
      <c r="ALU5" s="35"/>
      <c r="ALV5" s="35"/>
      <c r="ALW5" s="35"/>
      <c r="ALX5" s="35"/>
      <c r="ALY5" s="35"/>
    </row>
    <row r="6" customFormat="false" ht="12.8" hidden="false" customHeight="true" outlineLevel="0" collapsed="false">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t="s">
        <v>364</v>
      </c>
      <c r="AV6" s="35"/>
      <c r="AW6" s="35"/>
      <c r="AX6" s="35"/>
      <c r="AY6" s="35"/>
      <c r="AZ6" s="35"/>
      <c r="BA6" s="35"/>
      <c r="BB6" s="35"/>
      <c r="BC6" s="35"/>
      <c r="BD6" s="35"/>
      <c r="BE6" s="35"/>
      <c r="BF6" s="35"/>
      <c r="BG6" s="35"/>
      <c r="BH6" s="35"/>
      <c r="BI6" s="35"/>
      <c r="BJ6" s="35"/>
      <c r="BK6" s="35"/>
      <c r="BL6" s="35"/>
      <c r="BM6" s="35"/>
      <c r="BN6" s="35"/>
      <c r="BO6" s="35"/>
      <c r="BP6" s="35"/>
      <c r="BQ6" s="35"/>
      <c r="BR6" s="35"/>
      <c r="BS6" s="35"/>
      <c r="BT6" s="35"/>
      <c r="BU6" s="35"/>
      <c r="BV6" s="35"/>
      <c r="BW6" s="35"/>
      <c r="BX6" s="35"/>
      <c r="BY6" s="35"/>
      <c r="BZ6" s="35"/>
      <c r="CA6" s="35"/>
      <c r="CB6" s="35"/>
      <c r="CC6" s="35"/>
      <c r="CD6" s="35"/>
      <c r="CE6" s="35"/>
      <c r="CF6" s="35"/>
      <c r="CG6" s="35"/>
      <c r="CH6" s="35"/>
      <c r="CI6" s="35"/>
      <c r="CJ6" s="35"/>
      <c r="CK6" s="35"/>
      <c r="CL6" s="35"/>
      <c r="CM6" s="35"/>
      <c r="CN6" s="35"/>
      <c r="CO6" s="35"/>
      <c r="CP6" s="35"/>
      <c r="CQ6" s="35"/>
      <c r="CR6" s="35"/>
      <c r="CS6" s="35"/>
      <c r="CT6" s="35"/>
      <c r="CU6" s="35"/>
      <c r="CV6" s="35"/>
      <c r="CW6" s="35"/>
      <c r="CX6" s="35"/>
      <c r="CY6" s="35"/>
      <c r="CZ6" s="35"/>
      <c r="DA6" s="35"/>
      <c r="DB6" s="35"/>
      <c r="DC6" s="35"/>
      <c r="DD6" s="35"/>
      <c r="DE6" s="35"/>
      <c r="DF6" s="35"/>
      <c r="DG6" s="35"/>
      <c r="DH6" s="35"/>
      <c r="DI6" s="35"/>
      <c r="DJ6" s="35"/>
      <c r="DK6" s="35"/>
      <c r="DL6" s="35"/>
      <c r="DM6" s="35"/>
      <c r="DN6" s="35"/>
      <c r="DO6" s="35"/>
      <c r="DP6" s="35"/>
      <c r="DQ6" s="35"/>
      <c r="DR6" s="35"/>
      <c r="DS6" s="35"/>
      <c r="DT6" s="35"/>
      <c r="DU6" s="35"/>
      <c r="DV6" s="35"/>
      <c r="DW6" s="35"/>
      <c r="DX6" s="35"/>
      <c r="DY6" s="35"/>
      <c r="DZ6" s="35"/>
      <c r="EA6" s="35"/>
      <c r="EB6" s="35"/>
      <c r="EC6" s="35"/>
      <c r="ED6" s="35"/>
      <c r="EE6" s="35"/>
      <c r="EF6" s="35"/>
      <c r="EG6" s="35"/>
      <c r="EH6" s="35"/>
      <c r="EI6" s="35"/>
      <c r="EJ6" s="35"/>
      <c r="EK6" s="35"/>
      <c r="EL6" s="35"/>
      <c r="EM6" s="35"/>
      <c r="EN6" s="35"/>
      <c r="EO6" s="35"/>
      <c r="EP6" s="35"/>
      <c r="EQ6" s="35"/>
      <c r="ER6" s="35"/>
      <c r="ES6" s="35"/>
      <c r="ET6" s="35"/>
      <c r="EU6" s="35"/>
      <c r="EV6" s="35"/>
      <c r="EW6" s="35"/>
      <c r="EX6" s="35"/>
      <c r="EY6" s="35"/>
      <c r="EZ6" s="35"/>
      <c r="FA6" s="35"/>
      <c r="FB6" s="35"/>
      <c r="FC6" s="35"/>
      <c r="FD6" s="35"/>
      <c r="FE6" s="35"/>
      <c r="FF6" s="35"/>
      <c r="FG6" s="35"/>
      <c r="FH6" s="35"/>
      <c r="FI6" s="35"/>
      <c r="FJ6" s="35"/>
      <c r="FK6" s="35"/>
      <c r="FL6" s="35"/>
      <c r="FM6" s="35"/>
      <c r="FN6" s="35"/>
      <c r="FO6" s="35"/>
      <c r="FP6" s="35"/>
      <c r="FQ6" s="35"/>
      <c r="FR6" s="35"/>
      <c r="FS6" s="35"/>
      <c r="FT6" s="35"/>
      <c r="FU6" s="35"/>
      <c r="FV6" s="35"/>
      <c r="FW6" s="35"/>
      <c r="FX6" s="35"/>
      <c r="FY6" s="35"/>
      <c r="FZ6" s="35"/>
      <c r="GA6" s="35"/>
      <c r="GB6" s="35"/>
      <c r="GC6" s="35"/>
      <c r="GD6" s="35"/>
      <c r="GE6" s="35"/>
      <c r="GF6" s="35"/>
      <c r="GG6" s="35"/>
      <c r="GH6" s="35"/>
      <c r="GI6" s="35"/>
      <c r="GJ6" s="35"/>
      <c r="GK6" s="35"/>
      <c r="GL6" s="35"/>
      <c r="GM6" s="35"/>
      <c r="GN6" s="35"/>
      <c r="GO6" s="35"/>
      <c r="GP6" s="35"/>
      <c r="GQ6" s="35"/>
      <c r="GR6" s="35"/>
      <c r="GS6" s="35"/>
      <c r="GT6" s="35"/>
      <c r="GU6" s="35"/>
      <c r="GV6" s="35"/>
      <c r="GW6" s="35"/>
      <c r="GX6" s="35"/>
      <c r="GY6" s="35"/>
      <c r="GZ6" s="35"/>
      <c r="HA6" s="35"/>
      <c r="HB6" s="35"/>
      <c r="HC6" s="35"/>
      <c r="HD6" s="35"/>
      <c r="HE6" s="35"/>
      <c r="HF6" s="35"/>
      <c r="HG6" s="35"/>
      <c r="HH6" s="35"/>
      <c r="HI6" s="35"/>
      <c r="HJ6" s="35"/>
      <c r="HK6" s="35"/>
      <c r="HL6" s="35"/>
      <c r="HM6" s="35"/>
      <c r="HN6" s="35"/>
      <c r="HO6" s="35"/>
      <c r="HP6" s="35"/>
      <c r="HQ6" s="35"/>
      <c r="HR6" s="35"/>
      <c r="HS6" s="35"/>
      <c r="HT6" s="35"/>
      <c r="HU6" s="35"/>
      <c r="HV6" s="35"/>
      <c r="HW6" s="35"/>
      <c r="HX6" s="35"/>
      <c r="HY6" s="35"/>
      <c r="HZ6" s="35"/>
      <c r="IA6" s="35"/>
      <c r="IB6" s="35"/>
      <c r="IC6" s="35"/>
      <c r="ID6" s="35"/>
      <c r="IE6" s="35"/>
      <c r="IF6" s="35"/>
      <c r="IG6" s="35"/>
      <c r="IH6" s="35"/>
      <c r="II6" s="35"/>
      <c r="IJ6" s="35"/>
      <c r="IK6" s="35"/>
      <c r="IL6" s="35"/>
      <c r="IM6" s="35"/>
      <c r="IN6" s="35"/>
      <c r="IO6" s="35"/>
      <c r="IP6" s="35"/>
      <c r="IQ6" s="35"/>
      <c r="IR6" s="35"/>
      <c r="IS6" s="35"/>
      <c r="IT6" s="35"/>
      <c r="IU6" s="35"/>
      <c r="IV6" s="35"/>
      <c r="IW6" s="35"/>
      <c r="IX6" s="35"/>
      <c r="IY6" s="35"/>
      <c r="IZ6" s="35"/>
      <c r="JA6" s="35"/>
      <c r="JB6" s="35"/>
      <c r="JC6" s="35"/>
      <c r="JD6" s="35"/>
      <c r="JE6" s="35"/>
      <c r="JF6" s="35"/>
      <c r="JG6" s="35"/>
      <c r="JH6" s="35"/>
      <c r="JI6" s="35"/>
      <c r="JJ6" s="35"/>
      <c r="JK6" s="35"/>
      <c r="JL6" s="35"/>
      <c r="JM6" s="35"/>
      <c r="JN6" s="35"/>
      <c r="JO6" s="35"/>
      <c r="JP6" s="35"/>
      <c r="JQ6" s="35"/>
      <c r="JR6" s="35"/>
      <c r="JS6" s="35"/>
      <c r="JT6" s="35"/>
      <c r="JU6" s="35"/>
      <c r="JV6" s="35"/>
      <c r="JW6" s="35"/>
      <c r="JX6" s="35"/>
      <c r="JY6" s="35"/>
      <c r="JZ6" s="35"/>
      <c r="KA6" s="35"/>
      <c r="KB6" s="35"/>
      <c r="KC6" s="35"/>
      <c r="KD6" s="35"/>
      <c r="KE6" s="35"/>
      <c r="KF6" s="35"/>
      <c r="KG6" s="35"/>
      <c r="KH6" s="35"/>
      <c r="KI6" s="35"/>
      <c r="KJ6" s="35"/>
      <c r="KK6" s="35"/>
      <c r="KL6" s="35"/>
      <c r="KM6" s="35"/>
      <c r="KN6" s="35"/>
      <c r="KO6" s="35"/>
      <c r="KP6" s="35"/>
      <c r="KQ6" s="35"/>
      <c r="KR6" s="35"/>
      <c r="KS6" s="35"/>
      <c r="KT6" s="35"/>
      <c r="KU6" s="35"/>
      <c r="KV6" s="35"/>
      <c r="KW6" s="35"/>
      <c r="KX6" s="35"/>
      <c r="KY6" s="35"/>
      <c r="KZ6" s="35"/>
      <c r="LA6" s="35"/>
      <c r="LB6" s="35"/>
      <c r="LC6" s="35"/>
      <c r="LD6" s="35"/>
      <c r="LE6" s="35"/>
      <c r="LF6" s="35"/>
      <c r="LG6" s="35"/>
      <c r="LH6" s="35"/>
      <c r="LI6" s="35"/>
      <c r="LJ6" s="35"/>
      <c r="LK6" s="35"/>
      <c r="LL6" s="35"/>
      <c r="LM6" s="35"/>
      <c r="LN6" s="35"/>
      <c r="LO6" s="35"/>
      <c r="LP6" s="35"/>
      <c r="LQ6" s="35"/>
      <c r="LR6" s="35"/>
      <c r="LS6" s="35"/>
      <c r="LT6" s="35"/>
      <c r="LU6" s="35"/>
      <c r="LV6" s="35"/>
      <c r="LW6" s="35"/>
      <c r="LX6" s="35"/>
      <c r="LY6" s="35"/>
      <c r="LZ6" s="35"/>
      <c r="MA6" s="35"/>
      <c r="MB6" s="35"/>
      <c r="MC6" s="35"/>
      <c r="MD6" s="35"/>
      <c r="ME6" s="35"/>
      <c r="MF6" s="35"/>
      <c r="MG6" s="35"/>
      <c r="MH6" s="35"/>
      <c r="MI6" s="35"/>
      <c r="MJ6" s="35"/>
      <c r="MK6" s="35"/>
      <c r="ML6" s="35"/>
      <c r="MM6" s="35"/>
      <c r="MN6" s="35"/>
      <c r="MO6" s="35"/>
      <c r="MP6" s="35"/>
      <c r="MQ6" s="35"/>
      <c r="MR6" s="35"/>
      <c r="MS6" s="35"/>
      <c r="MT6" s="35"/>
      <c r="MU6" s="35"/>
      <c r="MV6" s="35"/>
      <c r="MW6" s="35"/>
      <c r="MX6" s="35"/>
      <c r="MY6" s="35"/>
      <c r="MZ6" s="35"/>
      <c r="NA6" s="35"/>
      <c r="NB6" s="35"/>
      <c r="NC6" s="35"/>
      <c r="ND6" s="35"/>
      <c r="NE6" s="35"/>
      <c r="NF6" s="35"/>
      <c r="NG6" s="35"/>
      <c r="NH6" s="35"/>
      <c r="NI6" s="35"/>
      <c r="NJ6" s="35"/>
      <c r="NK6" s="35"/>
      <c r="NL6" s="35"/>
      <c r="NM6" s="35"/>
      <c r="NN6" s="35"/>
      <c r="NO6" s="35"/>
      <c r="NP6" s="35"/>
      <c r="NQ6" s="35"/>
      <c r="NR6" s="35"/>
      <c r="NS6" s="35"/>
      <c r="NT6" s="35"/>
      <c r="NU6" s="35"/>
      <c r="NV6" s="35"/>
      <c r="NW6" s="35"/>
      <c r="NX6" s="35"/>
      <c r="NY6" s="35"/>
      <c r="NZ6" s="35"/>
      <c r="OA6" s="35"/>
      <c r="OB6" s="35"/>
      <c r="OC6" s="35"/>
      <c r="OD6" s="35"/>
      <c r="OE6" s="35"/>
      <c r="OF6" s="35"/>
      <c r="OG6" s="35"/>
      <c r="OH6" s="35"/>
      <c r="OI6" s="35"/>
      <c r="OJ6" s="35"/>
      <c r="OK6" s="35"/>
      <c r="OL6" s="35"/>
      <c r="OM6" s="35"/>
      <c r="ON6" s="35"/>
      <c r="OO6" s="35"/>
      <c r="OP6" s="35"/>
      <c r="OQ6" s="35"/>
      <c r="OR6" s="35"/>
      <c r="OS6" s="35"/>
      <c r="OT6" s="35"/>
      <c r="OU6" s="35"/>
      <c r="OV6" s="35"/>
      <c r="OW6" s="35"/>
      <c r="OX6" s="35"/>
      <c r="OY6" s="35"/>
      <c r="OZ6" s="35"/>
      <c r="PA6" s="35"/>
      <c r="PB6" s="35"/>
      <c r="PC6" s="35"/>
      <c r="PD6" s="35"/>
      <c r="PE6" s="35"/>
      <c r="PF6" s="35"/>
      <c r="PG6" s="35"/>
      <c r="PH6" s="35"/>
      <c r="PI6" s="35"/>
      <c r="PJ6" s="35"/>
      <c r="PK6" s="35"/>
      <c r="PL6" s="35"/>
      <c r="PM6" s="35"/>
      <c r="PN6" s="35"/>
      <c r="PO6" s="35"/>
      <c r="PP6" s="35"/>
      <c r="PQ6" s="35"/>
      <c r="PR6" s="35"/>
      <c r="PS6" s="35"/>
      <c r="PT6" s="35"/>
      <c r="PU6" s="35"/>
      <c r="PV6" s="35"/>
      <c r="PW6" s="35"/>
      <c r="PX6" s="35"/>
      <c r="PY6" s="35"/>
      <c r="PZ6" s="35"/>
      <c r="QA6" s="35"/>
      <c r="QB6" s="35"/>
      <c r="QC6" s="35"/>
      <c r="QD6" s="35"/>
      <c r="QE6" s="35"/>
      <c r="QF6" s="35"/>
      <c r="QG6" s="35"/>
      <c r="QH6" s="35"/>
      <c r="QI6" s="35"/>
      <c r="QJ6" s="35"/>
      <c r="QK6" s="35"/>
      <c r="QL6" s="35"/>
      <c r="QM6" s="35"/>
      <c r="QN6" s="35"/>
      <c r="QO6" s="35"/>
      <c r="QP6" s="35"/>
      <c r="QQ6" s="35"/>
      <c r="QR6" s="35"/>
      <c r="QS6" s="35"/>
      <c r="QT6" s="35"/>
      <c r="QU6" s="35"/>
      <c r="QV6" s="35"/>
      <c r="QW6" s="35"/>
      <c r="QX6" s="35"/>
      <c r="QY6" s="35"/>
      <c r="QZ6" s="35"/>
      <c r="RA6" s="35"/>
      <c r="RB6" s="35"/>
      <c r="RC6" s="35"/>
      <c r="RD6" s="35"/>
      <c r="RE6" s="35"/>
      <c r="RF6" s="35"/>
      <c r="RG6" s="35"/>
      <c r="RH6" s="35"/>
      <c r="RI6" s="35"/>
      <c r="RJ6" s="35"/>
      <c r="RK6" s="35"/>
      <c r="RL6" s="35"/>
      <c r="RM6" s="35"/>
      <c r="RN6" s="35"/>
      <c r="RO6" s="35"/>
      <c r="RP6" s="35"/>
      <c r="RQ6" s="35"/>
      <c r="RR6" s="35"/>
      <c r="RS6" s="35"/>
      <c r="RT6" s="35"/>
      <c r="RU6" s="35"/>
      <c r="RV6" s="35"/>
      <c r="RW6" s="35"/>
      <c r="RX6" s="35"/>
      <c r="RY6" s="35"/>
      <c r="RZ6" s="35"/>
      <c r="SA6" s="35"/>
      <c r="SB6" s="35"/>
      <c r="SC6" s="35"/>
      <c r="SD6" s="35"/>
      <c r="SE6" s="35"/>
      <c r="SF6" s="35"/>
      <c r="SG6" s="35"/>
      <c r="SH6" s="35"/>
      <c r="SI6" s="35"/>
      <c r="SJ6" s="35"/>
      <c r="SK6" s="35"/>
      <c r="SL6" s="35"/>
      <c r="SM6" s="35"/>
      <c r="SN6" s="35"/>
      <c r="SO6" s="35"/>
      <c r="SP6" s="35"/>
      <c r="SQ6" s="35"/>
      <c r="SR6" s="35"/>
      <c r="SS6" s="35"/>
      <c r="ST6" s="35"/>
      <c r="SU6" s="35"/>
      <c r="SV6" s="35"/>
      <c r="SW6" s="35"/>
      <c r="SX6" s="35"/>
      <c r="SY6" s="35"/>
      <c r="SZ6" s="35"/>
      <c r="TA6" s="35"/>
      <c r="TB6" s="35"/>
      <c r="TC6" s="35"/>
      <c r="TD6" s="35"/>
      <c r="TE6" s="35"/>
      <c r="TF6" s="35"/>
      <c r="TG6" s="35"/>
      <c r="TH6" s="35"/>
      <c r="TI6" s="35"/>
      <c r="TJ6" s="35"/>
      <c r="TK6" s="35"/>
      <c r="TL6" s="35"/>
      <c r="TM6" s="35"/>
      <c r="TN6" s="35"/>
      <c r="TO6" s="35"/>
      <c r="TP6" s="35"/>
      <c r="TQ6" s="35"/>
      <c r="TR6" s="35"/>
      <c r="TS6" s="35"/>
      <c r="TT6" s="35"/>
      <c r="TU6" s="35"/>
      <c r="TV6" s="35"/>
      <c r="TW6" s="35"/>
      <c r="TX6" s="35"/>
      <c r="TY6" s="35"/>
      <c r="TZ6" s="35"/>
      <c r="UA6" s="35"/>
      <c r="UB6" s="35"/>
      <c r="UC6" s="35"/>
      <c r="UD6" s="35"/>
      <c r="UE6" s="35"/>
      <c r="UF6" s="35"/>
      <c r="UG6" s="35"/>
      <c r="UH6" s="35"/>
      <c r="UI6" s="35"/>
      <c r="UJ6" s="35"/>
      <c r="UK6" s="35"/>
      <c r="UL6" s="35"/>
      <c r="UM6" s="35"/>
      <c r="UN6" s="35"/>
      <c r="UO6" s="35"/>
      <c r="UP6" s="35"/>
      <c r="UQ6" s="35"/>
      <c r="UR6" s="35"/>
      <c r="US6" s="35"/>
      <c r="UT6" s="35"/>
      <c r="UU6" s="35"/>
      <c r="UV6" s="35"/>
      <c r="UW6" s="35"/>
      <c r="UX6" s="35"/>
      <c r="UY6" s="35"/>
      <c r="UZ6" s="35"/>
      <c r="VA6" s="35"/>
      <c r="VB6" s="35"/>
      <c r="VC6" s="35"/>
      <c r="VD6" s="35"/>
      <c r="VE6" s="35"/>
      <c r="VF6" s="35"/>
      <c r="VG6" s="35"/>
      <c r="VH6" s="35"/>
      <c r="VI6" s="35"/>
      <c r="VJ6" s="35"/>
      <c r="VK6" s="35"/>
      <c r="VL6" s="35"/>
      <c r="VM6" s="35"/>
      <c r="VN6" s="35"/>
      <c r="VO6" s="35"/>
      <c r="VP6" s="35"/>
      <c r="VQ6" s="35"/>
      <c r="VR6" s="35"/>
      <c r="VS6" s="35"/>
      <c r="VT6" s="35"/>
      <c r="VU6" s="35"/>
      <c r="VV6" s="35"/>
      <c r="VW6" s="35"/>
      <c r="VX6" s="35"/>
      <c r="VY6" s="35"/>
      <c r="VZ6" s="35"/>
      <c r="WA6" s="35"/>
      <c r="WB6" s="35"/>
      <c r="WC6" s="35"/>
      <c r="WD6" s="35"/>
      <c r="WE6" s="35"/>
      <c r="WF6" s="35"/>
      <c r="WG6" s="35"/>
      <c r="WH6" s="35"/>
      <c r="WI6" s="35"/>
      <c r="WJ6" s="35"/>
      <c r="WK6" s="35"/>
      <c r="WL6" s="35"/>
      <c r="WM6" s="35"/>
      <c r="WN6" s="35"/>
      <c r="WO6" s="35"/>
      <c r="WP6" s="35"/>
      <c r="WQ6" s="35"/>
      <c r="WR6" s="35"/>
      <c r="WS6" s="35"/>
      <c r="WT6" s="35"/>
      <c r="WU6" s="35"/>
      <c r="WV6" s="35"/>
      <c r="WW6" s="35"/>
      <c r="WX6" s="35"/>
      <c r="WY6" s="35"/>
      <c r="WZ6" s="35"/>
      <c r="XA6" s="35"/>
      <c r="XB6" s="35"/>
      <c r="XC6" s="35"/>
      <c r="XD6" s="35"/>
      <c r="XE6" s="35"/>
      <c r="XF6" s="35"/>
      <c r="XG6" s="35"/>
      <c r="XH6" s="35"/>
      <c r="XI6" s="35"/>
      <c r="XJ6" s="35"/>
      <c r="XK6" s="35"/>
      <c r="XL6" s="35"/>
      <c r="XM6" s="35"/>
      <c r="XN6" s="35"/>
      <c r="XO6" s="35"/>
      <c r="XP6" s="35"/>
      <c r="XQ6" s="35"/>
      <c r="XR6" s="35"/>
      <c r="XS6" s="35"/>
      <c r="XT6" s="35"/>
      <c r="XU6" s="35"/>
      <c r="XV6" s="35"/>
      <c r="XW6" s="35"/>
      <c r="XX6" s="35"/>
      <c r="XY6" s="35"/>
      <c r="XZ6" s="35"/>
      <c r="YA6" s="35"/>
      <c r="YB6" s="35"/>
      <c r="YC6" s="35"/>
      <c r="YD6" s="35"/>
      <c r="YE6" s="35"/>
      <c r="YF6" s="35"/>
      <c r="YG6" s="35"/>
      <c r="YH6" s="35"/>
      <c r="YI6" s="35"/>
      <c r="YJ6" s="35"/>
      <c r="YK6" s="35"/>
      <c r="YL6" s="35"/>
      <c r="YM6" s="35"/>
      <c r="YN6" s="35"/>
      <c r="YO6" s="35"/>
      <c r="YP6" s="35"/>
      <c r="YQ6" s="35"/>
      <c r="YR6" s="35"/>
      <c r="YS6" s="35"/>
      <c r="YT6" s="35"/>
      <c r="YU6" s="35"/>
      <c r="YV6" s="35"/>
      <c r="YW6" s="35"/>
      <c r="YX6" s="35"/>
      <c r="YY6" s="35"/>
      <c r="YZ6" s="35"/>
      <c r="ZA6" s="35"/>
      <c r="ZB6" s="35"/>
      <c r="ZC6" s="35"/>
      <c r="ZD6" s="35"/>
      <c r="ZE6" s="35"/>
      <c r="ZF6" s="35"/>
      <c r="ZG6" s="35"/>
      <c r="ZH6" s="35"/>
      <c r="ZI6" s="35"/>
      <c r="ZJ6" s="35"/>
      <c r="ZK6" s="35"/>
      <c r="ZL6" s="35"/>
      <c r="ZM6" s="35"/>
      <c r="ZN6" s="35"/>
      <c r="ZO6" s="35"/>
      <c r="ZP6" s="35"/>
      <c r="ZQ6" s="35"/>
      <c r="ZR6" s="35"/>
      <c r="ZS6" s="35"/>
      <c r="ZT6" s="35"/>
      <c r="ZU6" s="35"/>
      <c r="ZV6" s="35"/>
      <c r="ZW6" s="35"/>
      <c r="ZX6" s="35"/>
      <c r="ZY6" s="35"/>
      <c r="ZZ6" s="35"/>
      <c r="AAA6" s="35"/>
      <c r="AAB6" s="35"/>
      <c r="AAC6" s="35"/>
      <c r="AAD6" s="35"/>
      <c r="AAE6" s="35"/>
      <c r="AAF6" s="35"/>
      <c r="AAG6" s="35"/>
      <c r="AAH6" s="35"/>
      <c r="AAI6" s="35"/>
      <c r="AAJ6" s="35"/>
      <c r="AAK6" s="35"/>
      <c r="AAL6" s="35"/>
      <c r="AAM6" s="35"/>
      <c r="AAN6" s="35"/>
      <c r="AAO6" s="35"/>
      <c r="AAP6" s="35"/>
      <c r="AAQ6" s="35"/>
      <c r="AAR6" s="35"/>
      <c r="AAS6" s="35"/>
      <c r="AAT6" s="35"/>
      <c r="AAU6" s="35"/>
      <c r="AAV6" s="35"/>
      <c r="AAW6" s="35"/>
      <c r="AAX6" s="35"/>
      <c r="AAY6" s="35"/>
      <c r="AAZ6" s="35"/>
      <c r="ABA6" s="35"/>
      <c r="ABB6" s="35"/>
      <c r="ABC6" s="35"/>
      <c r="ABD6" s="35"/>
      <c r="ABE6" s="35"/>
      <c r="ABF6" s="35"/>
      <c r="ABG6" s="35"/>
      <c r="ABH6" s="35"/>
      <c r="ABI6" s="35"/>
      <c r="ABJ6" s="35"/>
      <c r="ABK6" s="35"/>
      <c r="ABL6" s="35"/>
      <c r="ABM6" s="35"/>
      <c r="ABN6" s="35"/>
      <c r="ABO6" s="35"/>
      <c r="ABP6" s="35"/>
      <c r="ABQ6" s="35"/>
      <c r="ABR6" s="35"/>
      <c r="ABS6" s="35"/>
      <c r="ABT6" s="35"/>
      <c r="ABU6" s="35"/>
      <c r="ABV6" s="35"/>
      <c r="ABW6" s="35"/>
      <c r="ABX6" s="35"/>
      <c r="ABY6" s="35"/>
      <c r="ABZ6" s="35"/>
      <c r="ACA6" s="35"/>
      <c r="ACB6" s="35"/>
      <c r="ACC6" s="35"/>
      <c r="ACD6" s="35"/>
      <c r="ACE6" s="35"/>
      <c r="ACF6" s="35"/>
      <c r="ACG6" s="35"/>
      <c r="ACH6" s="35"/>
      <c r="ACI6" s="35"/>
      <c r="ACJ6" s="35"/>
      <c r="ACK6" s="35"/>
      <c r="ACL6" s="35"/>
      <c r="ACM6" s="35"/>
      <c r="ACN6" s="35"/>
      <c r="ACO6" s="35"/>
      <c r="ACP6" s="35"/>
      <c r="ACQ6" s="35"/>
      <c r="ACR6" s="35"/>
      <c r="ACS6" s="35"/>
      <c r="ACT6" s="35"/>
      <c r="ACU6" s="35"/>
      <c r="ACV6" s="35"/>
      <c r="ACW6" s="35"/>
      <c r="ACX6" s="35"/>
      <c r="ACY6" s="35"/>
      <c r="ACZ6" s="35"/>
      <c r="ADA6" s="35"/>
      <c r="ADB6" s="35"/>
      <c r="ADC6" s="35"/>
      <c r="ADD6" s="35"/>
      <c r="ADE6" s="35"/>
      <c r="ADF6" s="35"/>
      <c r="ADG6" s="35"/>
      <c r="ADH6" s="35"/>
      <c r="ADI6" s="35"/>
      <c r="ADJ6" s="35"/>
      <c r="ADK6" s="35"/>
      <c r="ADL6" s="35"/>
      <c r="ADM6" s="35"/>
      <c r="ADN6" s="35"/>
      <c r="ADO6" s="35"/>
      <c r="ADP6" s="35"/>
      <c r="ADQ6" s="35"/>
      <c r="ADR6" s="35"/>
      <c r="ADS6" s="35"/>
      <c r="ADT6" s="35"/>
      <c r="ADU6" s="35"/>
      <c r="ADV6" s="35"/>
      <c r="ADW6" s="35"/>
      <c r="ADX6" s="35"/>
      <c r="ADY6" s="35"/>
      <c r="ADZ6" s="35"/>
      <c r="AEA6" s="35"/>
      <c r="AEB6" s="35"/>
      <c r="AEC6" s="35"/>
      <c r="AED6" s="35"/>
      <c r="AEE6" s="35"/>
      <c r="AEF6" s="35"/>
      <c r="AEG6" s="35"/>
      <c r="AEH6" s="35"/>
      <c r="AEI6" s="35"/>
      <c r="AEJ6" s="35"/>
      <c r="AEK6" s="35"/>
      <c r="AEL6" s="35"/>
      <c r="AEM6" s="35"/>
      <c r="AEN6" s="35"/>
      <c r="AEO6" s="35"/>
      <c r="AEP6" s="35"/>
      <c r="AEQ6" s="35"/>
      <c r="AER6" s="35"/>
      <c r="AES6" s="35"/>
      <c r="AET6" s="35"/>
      <c r="AEU6" s="35"/>
      <c r="AEV6" s="35"/>
      <c r="AEW6" s="35"/>
      <c r="AEX6" s="35"/>
      <c r="AEY6" s="35"/>
      <c r="AEZ6" s="35"/>
      <c r="AFA6" s="35"/>
      <c r="AFB6" s="35"/>
      <c r="AFC6" s="35"/>
      <c r="AFD6" s="35"/>
      <c r="AFE6" s="35"/>
      <c r="AFF6" s="35"/>
      <c r="AFG6" s="35"/>
      <c r="AFH6" s="35"/>
      <c r="AFI6" s="35"/>
      <c r="AFJ6" s="35"/>
      <c r="AFK6" s="35"/>
      <c r="AFL6" s="35"/>
      <c r="AFM6" s="35"/>
      <c r="AFN6" s="35"/>
      <c r="AFO6" s="35"/>
      <c r="AFP6" s="35"/>
      <c r="AFQ6" s="35"/>
      <c r="AFR6" s="35"/>
      <c r="AFS6" s="35"/>
      <c r="AFT6" s="35"/>
      <c r="AFU6" s="35"/>
      <c r="AFV6" s="35"/>
      <c r="AFW6" s="35"/>
      <c r="AFX6" s="35"/>
      <c r="AFY6" s="35"/>
      <c r="AFZ6" s="35"/>
      <c r="AGA6" s="35"/>
      <c r="AGB6" s="35"/>
      <c r="AGC6" s="35"/>
      <c r="AGD6" s="35"/>
      <c r="AGE6" s="35"/>
      <c r="AGF6" s="35"/>
      <c r="AGG6" s="35"/>
      <c r="AGH6" s="35"/>
      <c r="AGI6" s="35"/>
      <c r="AGJ6" s="35"/>
      <c r="AGK6" s="35"/>
      <c r="AGL6" s="35"/>
      <c r="AGM6" s="35"/>
      <c r="AGN6" s="35"/>
      <c r="AGO6" s="35"/>
      <c r="AGP6" s="35"/>
      <c r="AGQ6" s="35"/>
      <c r="AGR6" s="35"/>
      <c r="AGS6" s="35"/>
      <c r="AGT6" s="35"/>
      <c r="AGU6" s="35"/>
      <c r="AGV6" s="35"/>
      <c r="AGW6" s="35"/>
      <c r="AGX6" s="35"/>
      <c r="AGY6" s="35"/>
      <c r="AGZ6" s="35"/>
      <c r="AHA6" s="35"/>
      <c r="AHB6" s="35"/>
      <c r="AHC6" s="35"/>
      <c r="AHD6" s="35"/>
      <c r="AHE6" s="35"/>
      <c r="AHF6" s="35"/>
      <c r="AHG6" s="35"/>
      <c r="AHH6" s="35"/>
      <c r="AHI6" s="35"/>
      <c r="AHJ6" s="35"/>
      <c r="AHK6" s="35"/>
      <c r="AHL6" s="35"/>
      <c r="AHM6" s="35"/>
      <c r="AHN6" s="35"/>
      <c r="AHO6" s="35"/>
      <c r="AHP6" s="35"/>
      <c r="AHQ6" s="35"/>
      <c r="AHR6" s="35"/>
      <c r="AHS6" s="35"/>
      <c r="AHT6" s="35"/>
      <c r="AHU6" s="35"/>
      <c r="AHV6" s="35"/>
      <c r="AHW6" s="35"/>
      <c r="AHX6" s="35"/>
      <c r="AHY6" s="35"/>
      <c r="AHZ6" s="35"/>
      <c r="AIA6" s="35"/>
      <c r="AIB6" s="35"/>
      <c r="AIC6" s="35"/>
      <c r="AID6" s="35"/>
      <c r="AIE6" s="35"/>
      <c r="AIF6" s="35"/>
      <c r="AIG6" s="35"/>
      <c r="AIH6" s="35"/>
      <c r="AII6" s="35"/>
      <c r="AIJ6" s="35"/>
      <c r="AIK6" s="35"/>
      <c r="AIL6" s="35"/>
      <c r="AIM6" s="35"/>
      <c r="AIN6" s="35"/>
      <c r="AIO6" s="35"/>
      <c r="AIP6" s="35"/>
      <c r="AIQ6" s="35"/>
      <c r="AIR6" s="35"/>
      <c r="AIS6" s="35"/>
      <c r="AIT6" s="35"/>
      <c r="AIU6" s="35"/>
      <c r="AIV6" s="35"/>
      <c r="AIW6" s="35"/>
      <c r="AIX6" s="35"/>
      <c r="AIY6" s="35"/>
      <c r="AIZ6" s="35"/>
      <c r="AJA6" s="35"/>
      <c r="AJB6" s="35"/>
      <c r="AJC6" s="35"/>
      <c r="AJD6" s="35"/>
      <c r="AJE6" s="35"/>
      <c r="AJF6" s="35"/>
      <c r="AJG6" s="35"/>
      <c r="AJH6" s="35"/>
      <c r="AJI6" s="35"/>
      <c r="AJJ6" s="35"/>
      <c r="AJK6" s="35"/>
      <c r="AJL6" s="35"/>
      <c r="AJM6" s="35"/>
      <c r="AJN6" s="35"/>
      <c r="AJO6" s="35"/>
      <c r="AJP6" s="35"/>
      <c r="AJQ6" s="35"/>
      <c r="AJR6" s="35"/>
      <c r="AJS6" s="35"/>
      <c r="AJT6" s="35"/>
      <c r="AJU6" s="35"/>
      <c r="AJV6" s="35"/>
      <c r="AJW6" s="35"/>
      <c r="AJX6" s="35"/>
      <c r="AJY6" s="35"/>
      <c r="AJZ6" s="35"/>
      <c r="AKA6" s="35"/>
      <c r="AKB6" s="35"/>
      <c r="AKC6" s="35"/>
      <c r="AKD6" s="35"/>
      <c r="AKE6" s="35"/>
      <c r="AKF6" s="35"/>
      <c r="AKG6" s="35"/>
      <c r="AKH6" s="35"/>
      <c r="AKI6" s="35"/>
      <c r="AKJ6" s="35"/>
      <c r="AKK6" s="35"/>
      <c r="AKL6" s="35"/>
      <c r="AKM6" s="35"/>
      <c r="AKN6" s="35"/>
      <c r="AKO6" s="35"/>
      <c r="AKP6" s="35"/>
      <c r="AKQ6" s="35"/>
      <c r="AKR6" s="35"/>
      <c r="AKS6" s="35"/>
      <c r="AKT6" s="35"/>
      <c r="AKU6" s="35"/>
      <c r="AKV6" s="35"/>
      <c r="AKW6" s="35"/>
      <c r="AKX6" s="35"/>
      <c r="AKY6" s="35"/>
      <c r="AKZ6" s="35"/>
      <c r="ALA6" s="35"/>
      <c r="ALB6" s="35"/>
      <c r="ALC6" s="35"/>
      <c r="ALD6" s="35"/>
      <c r="ALE6" s="35"/>
      <c r="ALF6" s="35"/>
      <c r="ALG6" s="35"/>
      <c r="ALH6" s="35"/>
      <c r="ALI6" s="35"/>
      <c r="ALJ6" s="35"/>
      <c r="ALK6" s="35"/>
      <c r="ALL6" s="35"/>
      <c r="ALM6" s="35"/>
      <c r="ALN6" s="35"/>
      <c r="ALO6" s="35"/>
      <c r="ALP6" s="35"/>
      <c r="ALQ6" s="35"/>
      <c r="ALR6" s="35"/>
      <c r="ALS6" s="35"/>
      <c r="ALT6" s="35"/>
      <c r="ALU6" s="35"/>
      <c r="ALV6" s="35"/>
      <c r="ALW6" s="35"/>
      <c r="ALX6" s="35"/>
      <c r="ALY6" s="35"/>
    </row>
    <row r="7" customFormat="false" ht="12.8" hidden="false" customHeight="true" outlineLevel="0" collapsed="false">
      <c r="A7" s="40"/>
      <c r="B7" s="40"/>
      <c r="C7" s="40"/>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t="s">
        <v>364</v>
      </c>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c r="GJ7" s="35"/>
      <c r="GK7" s="35"/>
      <c r="GL7" s="35"/>
      <c r="GM7" s="35"/>
      <c r="GN7" s="35"/>
      <c r="GO7" s="35"/>
      <c r="GP7" s="35"/>
      <c r="GQ7" s="35"/>
      <c r="GR7" s="35"/>
      <c r="GS7" s="35"/>
      <c r="GT7" s="35"/>
      <c r="GU7" s="35"/>
      <c r="GV7" s="35"/>
      <c r="GW7" s="35"/>
      <c r="GX7" s="35"/>
      <c r="GY7" s="35"/>
      <c r="GZ7" s="35"/>
      <c r="HA7" s="35"/>
      <c r="HB7" s="35"/>
      <c r="HC7" s="35"/>
      <c r="HD7" s="35"/>
      <c r="HE7" s="35"/>
      <c r="HF7" s="35"/>
      <c r="HG7" s="35"/>
      <c r="HH7" s="35"/>
      <c r="HI7" s="35"/>
      <c r="HJ7" s="35"/>
      <c r="HK7" s="35"/>
      <c r="HL7" s="35"/>
      <c r="HM7" s="35"/>
      <c r="HN7" s="35"/>
      <c r="HO7" s="35"/>
      <c r="HP7" s="35"/>
      <c r="HQ7" s="35"/>
      <c r="HR7" s="35"/>
      <c r="HS7" s="35"/>
      <c r="HT7" s="35"/>
      <c r="HU7" s="35"/>
      <c r="HV7" s="35"/>
      <c r="HW7" s="35"/>
      <c r="HX7" s="35"/>
      <c r="HY7" s="35"/>
      <c r="HZ7" s="35"/>
      <c r="IA7" s="35"/>
      <c r="IB7" s="35"/>
      <c r="IC7" s="35"/>
      <c r="ID7" s="35"/>
      <c r="IE7" s="35"/>
      <c r="IF7" s="35"/>
      <c r="IG7" s="35"/>
      <c r="IH7" s="35"/>
      <c r="II7" s="35"/>
      <c r="IJ7" s="35"/>
      <c r="IK7" s="35"/>
      <c r="IL7" s="35"/>
      <c r="IM7" s="35"/>
      <c r="IN7" s="35"/>
      <c r="IO7" s="35"/>
      <c r="IP7" s="35"/>
      <c r="IQ7" s="35"/>
      <c r="IR7" s="35"/>
      <c r="IS7" s="35"/>
      <c r="IT7" s="35"/>
      <c r="IU7" s="35"/>
      <c r="IV7" s="35"/>
      <c r="IW7" s="35"/>
      <c r="IX7" s="35"/>
      <c r="IY7" s="35"/>
      <c r="IZ7" s="35"/>
      <c r="JA7" s="35"/>
      <c r="JB7" s="35"/>
      <c r="JC7" s="35"/>
      <c r="JD7" s="35"/>
      <c r="JE7" s="35"/>
      <c r="JF7" s="35"/>
      <c r="JG7" s="35"/>
      <c r="JH7" s="35"/>
      <c r="JI7" s="35"/>
      <c r="JJ7" s="35"/>
      <c r="JK7" s="35"/>
      <c r="JL7" s="35"/>
      <c r="JM7" s="35"/>
      <c r="JN7" s="35"/>
      <c r="JO7" s="35"/>
      <c r="JP7" s="35"/>
      <c r="JQ7" s="35"/>
      <c r="JR7" s="35"/>
      <c r="JS7" s="35"/>
      <c r="JT7" s="35"/>
      <c r="JU7" s="35"/>
      <c r="JV7" s="35"/>
      <c r="JW7" s="35"/>
      <c r="JX7" s="35"/>
      <c r="JY7" s="35"/>
      <c r="JZ7" s="35"/>
      <c r="KA7" s="35"/>
      <c r="KB7" s="35"/>
      <c r="KC7" s="35"/>
      <c r="KD7" s="35"/>
      <c r="KE7" s="35"/>
      <c r="KF7" s="35"/>
      <c r="KG7" s="35"/>
      <c r="KH7" s="35"/>
      <c r="KI7" s="35"/>
      <c r="KJ7" s="35"/>
      <c r="KK7" s="35"/>
      <c r="KL7" s="35"/>
      <c r="KM7" s="35"/>
      <c r="KN7" s="35"/>
      <c r="KO7" s="35"/>
      <c r="KP7" s="35"/>
      <c r="KQ7" s="35"/>
      <c r="KR7" s="35"/>
      <c r="KS7" s="35"/>
      <c r="KT7" s="35"/>
      <c r="KU7" s="35"/>
      <c r="KV7" s="35"/>
      <c r="KW7" s="35"/>
      <c r="KX7" s="35"/>
      <c r="KY7" s="35"/>
      <c r="KZ7" s="35"/>
      <c r="LA7" s="35"/>
      <c r="LB7" s="35"/>
      <c r="LC7" s="35"/>
      <c r="LD7" s="35"/>
      <c r="LE7" s="35"/>
      <c r="LF7" s="35"/>
      <c r="LG7" s="35"/>
      <c r="LH7" s="35"/>
      <c r="LI7" s="35"/>
      <c r="LJ7" s="35"/>
      <c r="LK7" s="35"/>
      <c r="LL7" s="35"/>
      <c r="LM7" s="35"/>
      <c r="LN7" s="35"/>
      <c r="LO7" s="35"/>
      <c r="LP7" s="35"/>
      <c r="LQ7" s="35"/>
      <c r="LR7" s="35"/>
      <c r="LS7" s="35"/>
      <c r="LT7" s="35"/>
      <c r="LU7" s="35"/>
      <c r="LV7" s="35"/>
      <c r="LW7" s="35"/>
      <c r="LX7" s="35"/>
      <c r="LY7" s="35"/>
      <c r="LZ7" s="35"/>
      <c r="MA7" s="35"/>
      <c r="MB7" s="35"/>
      <c r="MC7" s="35"/>
      <c r="MD7" s="35"/>
      <c r="ME7" s="35"/>
      <c r="MF7" s="35"/>
      <c r="MG7" s="35"/>
      <c r="MH7" s="35"/>
      <c r="MI7" s="35"/>
      <c r="MJ7" s="35"/>
      <c r="MK7" s="35"/>
      <c r="ML7" s="35"/>
      <c r="MM7" s="35"/>
      <c r="MN7" s="35"/>
      <c r="MO7" s="35"/>
      <c r="MP7" s="35"/>
      <c r="MQ7" s="35"/>
      <c r="MR7" s="35"/>
      <c r="MS7" s="35"/>
      <c r="MT7" s="35"/>
      <c r="MU7" s="35"/>
      <c r="MV7" s="35"/>
      <c r="MW7" s="35"/>
      <c r="MX7" s="35"/>
      <c r="MY7" s="35"/>
      <c r="MZ7" s="35"/>
      <c r="NA7" s="35"/>
      <c r="NB7" s="35"/>
      <c r="NC7" s="35"/>
      <c r="ND7" s="35"/>
      <c r="NE7" s="35"/>
      <c r="NF7" s="35"/>
      <c r="NG7" s="35"/>
      <c r="NH7" s="35"/>
      <c r="NI7" s="35"/>
      <c r="NJ7" s="35"/>
      <c r="NK7" s="35"/>
      <c r="NL7" s="35"/>
      <c r="NM7" s="35"/>
      <c r="NN7" s="35"/>
      <c r="NO7" s="35"/>
      <c r="NP7" s="35"/>
      <c r="NQ7" s="35"/>
      <c r="NR7" s="35"/>
      <c r="NS7" s="35"/>
      <c r="NT7" s="35"/>
      <c r="NU7" s="35"/>
      <c r="NV7" s="35"/>
      <c r="NW7" s="35"/>
      <c r="NX7" s="35"/>
      <c r="NY7" s="35"/>
      <c r="NZ7" s="35"/>
      <c r="OA7" s="35"/>
      <c r="OB7" s="35"/>
      <c r="OC7" s="35"/>
      <c r="OD7" s="35"/>
      <c r="OE7" s="35"/>
      <c r="OF7" s="35"/>
      <c r="OG7" s="35"/>
      <c r="OH7" s="35"/>
      <c r="OI7" s="35"/>
      <c r="OJ7" s="35"/>
      <c r="OK7" s="35"/>
      <c r="OL7" s="35"/>
      <c r="OM7" s="35"/>
      <c r="ON7" s="35"/>
      <c r="OO7" s="35"/>
      <c r="OP7" s="35"/>
      <c r="OQ7" s="35"/>
      <c r="OR7" s="35"/>
      <c r="OS7" s="35"/>
      <c r="OT7" s="35"/>
      <c r="OU7" s="35"/>
      <c r="OV7" s="35"/>
      <c r="OW7" s="35"/>
      <c r="OX7" s="35"/>
      <c r="OY7" s="35"/>
      <c r="OZ7" s="35"/>
      <c r="PA7" s="35"/>
      <c r="PB7" s="35"/>
      <c r="PC7" s="35"/>
      <c r="PD7" s="35"/>
      <c r="PE7" s="35"/>
      <c r="PF7" s="35"/>
      <c r="PG7" s="35"/>
      <c r="PH7" s="35"/>
      <c r="PI7" s="35"/>
      <c r="PJ7" s="35"/>
      <c r="PK7" s="35"/>
      <c r="PL7" s="35"/>
      <c r="PM7" s="35"/>
      <c r="PN7" s="35"/>
      <c r="PO7" s="35"/>
      <c r="PP7" s="35"/>
      <c r="PQ7" s="35"/>
      <c r="PR7" s="35"/>
      <c r="PS7" s="35"/>
      <c r="PT7" s="35"/>
      <c r="PU7" s="35"/>
      <c r="PV7" s="35"/>
      <c r="PW7" s="35"/>
      <c r="PX7" s="35"/>
      <c r="PY7" s="35"/>
      <c r="PZ7" s="35"/>
      <c r="QA7" s="35"/>
      <c r="QB7" s="35"/>
      <c r="QC7" s="35"/>
      <c r="QD7" s="35"/>
      <c r="QE7" s="35"/>
      <c r="QF7" s="35"/>
      <c r="QG7" s="35"/>
      <c r="QH7" s="35"/>
      <c r="QI7" s="35"/>
      <c r="QJ7" s="35"/>
      <c r="QK7" s="35"/>
      <c r="QL7" s="35"/>
      <c r="QM7" s="35"/>
      <c r="QN7" s="35"/>
      <c r="QO7" s="35"/>
      <c r="QP7" s="35"/>
      <c r="QQ7" s="35"/>
      <c r="QR7" s="35"/>
      <c r="QS7" s="35"/>
      <c r="QT7" s="35"/>
      <c r="QU7" s="35"/>
      <c r="QV7" s="35"/>
      <c r="QW7" s="35"/>
      <c r="QX7" s="35"/>
      <c r="QY7" s="35"/>
      <c r="QZ7" s="35"/>
      <c r="RA7" s="35"/>
      <c r="RB7" s="35"/>
      <c r="RC7" s="35"/>
      <c r="RD7" s="35"/>
      <c r="RE7" s="35"/>
      <c r="RF7" s="35"/>
      <c r="RG7" s="35"/>
      <c r="RH7" s="35"/>
      <c r="RI7" s="35"/>
      <c r="RJ7" s="35"/>
      <c r="RK7" s="35"/>
      <c r="RL7" s="35"/>
      <c r="RM7" s="35"/>
      <c r="RN7" s="35"/>
      <c r="RO7" s="35"/>
      <c r="RP7" s="35"/>
      <c r="RQ7" s="35"/>
      <c r="RR7" s="35"/>
      <c r="RS7" s="35"/>
      <c r="RT7" s="35"/>
      <c r="RU7" s="35"/>
      <c r="RV7" s="35"/>
      <c r="RW7" s="35"/>
      <c r="RX7" s="35"/>
      <c r="RY7" s="35"/>
      <c r="RZ7" s="35"/>
      <c r="SA7" s="35"/>
      <c r="SB7" s="35"/>
      <c r="SC7" s="35"/>
      <c r="SD7" s="35"/>
      <c r="SE7" s="35"/>
      <c r="SF7" s="35"/>
      <c r="SG7" s="35"/>
      <c r="SH7" s="35"/>
      <c r="SI7" s="35"/>
      <c r="SJ7" s="35"/>
      <c r="SK7" s="35"/>
      <c r="SL7" s="35"/>
      <c r="SM7" s="35"/>
      <c r="SN7" s="35"/>
      <c r="SO7" s="35"/>
      <c r="SP7" s="35"/>
      <c r="SQ7" s="35"/>
      <c r="SR7" s="35"/>
      <c r="SS7" s="35"/>
      <c r="ST7" s="35"/>
      <c r="SU7" s="35"/>
      <c r="SV7" s="35"/>
      <c r="SW7" s="35"/>
      <c r="SX7" s="35"/>
      <c r="SY7" s="35"/>
      <c r="SZ7" s="35"/>
      <c r="TA7" s="35"/>
      <c r="TB7" s="35"/>
      <c r="TC7" s="35"/>
      <c r="TD7" s="35"/>
      <c r="TE7" s="35"/>
      <c r="TF7" s="35"/>
      <c r="TG7" s="35"/>
      <c r="TH7" s="35"/>
      <c r="TI7" s="35"/>
      <c r="TJ7" s="35"/>
      <c r="TK7" s="35"/>
      <c r="TL7" s="35"/>
      <c r="TM7" s="35"/>
      <c r="TN7" s="35"/>
      <c r="TO7" s="35"/>
      <c r="TP7" s="35"/>
      <c r="TQ7" s="35"/>
      <c r="TR7" s="35"/>
      <c r="TS7" s="35"/>
      <c r="TT7" s="35"/>
      <c r="TU7" s="35"/>
      <c r="TV7" s="35"/>
      <c r="TW7" s="35"/>
      <c r="TX7" s="35"/>
      <c r="TY7" s="35"/>
      <c r="TZ7" s="35"/>
      <c r="UA7" s="35"/>
      <c r="UB7" s="35"/>
      <c r="UC7" s="35"/>
      <c r="UD7" s="35"/>
      <c r="UE7" s="35"/>
      <c r="UF7" s="35"/>
      <c r="UG7" s="35"/>
      <c r="UH7" s="35"/>
      <c r="UI7" s="35"/>
      <c r="UJ7" s="35"/>
      <c r="UK7" s="35"/>
      <c r="UL7" s="35"/>
      <c r="UM7" s="35"/>
      <c r="UN7" s="35"/>
      <c r="UO7" s="35"/>
      <c r="UP7" s="35"/>
      <c r="UQ7" s="35"/>
      <c r="UR7" s="35"/>
      <c r="US7" s="35"/>
      <c r="UT7" s="35"/>
      <c r="UU7" s="35"/>
      <c r="UV7" s="35"/>
      <c r="UW7" s="35"/>
      <c r="UX7" s="35"/>
      <c r="UY7" s="35"/>
      <c r="UZ7" s="35"/>
      <c r="VA7" s="35"/>
      <c r="VB7" s="35"/>
      <c r="VC7" s="35"/>
      <c r="VD7" s="35"/>
      <c r="VE7" s="35"/>
      <c r="VF7" s="35"/>
      <c r="VG7" s="35"/>
      <c r="VH7" s="35"/>
      <c r="VI7" s="35"/>
      <c r="VJ7" s="35"/>
      <c r="VK7" s="35"/>
      <c r="VL7" s="35"/>
      <c r="VM7" s="35"/>
      <c r="VN7" s="35"/>
      <c r="VO7" s="35"/>
      <c r="VP7" s="35"/>
      <c r="VQ7" s="35"/>
      <c r="VR7" s="35"/>
      <c r="VS7" s="35"/>
      <c r="VT7" s="35"/>
      <c r="VU7" s="35"/>
      <c r="VV7" s="35"/>
      <c r="VW7" s="35"/>
      <c r="VX7" s="35"/>
      <c r="VY7" s="35"/>
      <c r="VZ7" s="35"/>
      <c r="WA7" s="35"/>
      <c r="WB7" s="35"/>
      <c r="WC7" s="35"/>
      <c r="WD7" s="35"/>
      <c r="WE7" s="35"/>
      <c r="WF7" s="35"/>
      <c r="WG7" s="35"/>
      <c r="WH7" s="35"/>
      <c r="WI7" s="35"/>
      <c r="WJ7" s="35"/>
      <c r="WK7" s="35"/>
      <c r="WL7" s="35"/>
      <c r="WM7" s="35"/>
      <c r="WN7" s="35"/>
      <c r="WO7" s="35"/>
      <c r="WP7" s="35"/>
      <c r="WQ7" s="35"/>
      <c r="WR7" s="35"/>
      <c r="WS7" s="35"/>
      <c r="WT7" s="35"/>
      <c r="WU7" s="35"/>
      <c r="WV7" s="35"/>
      <c r="WW7" s="35"/>
      <c r="WX7" s="35"/>
      <c r="WY7" s="35"/>
      <c r="WZ7" s="35"/>
      <c r="XA7" s="35"/>
      <c r="XB7" s="35"/>
      <c r="XC7" s="35"/>
      <c r="XD7" s="35"/>
      <c r="XE7" s="35"/>
      <c r="XF7" s="35"/>
      <c r="XG7" s="35"/>
      <c r="XH7" s="35"/>
      <c r="XI7" s="35"/>
      <c r="XJ7" s="35"/>
      <c r="XK7" s="35"/>
      <c r="XL7" s="35"/>
      <c r="XM7" s="35"/>
      <c r="XN7" s="35"/>
      <c r="XO7" s="35"/>
      <c r="XP7" s="35"/>
      <c r="XQ7" s="35"/>
      <c r="XR7" s="35"/>
      <c r="XS7" s="35"/>
      <c r="XT7" s="35"/>
      <c r="XU7" s="35"/>
      <c r="XV7" s="35"/>
      <c r="XW7" s="35"/>
      <c r="XX7" s="35"/>
      <c r="XY7" s="35"/>
      <c r="XZ7" s="35"/>
      <c r="YA7" s="35"/>
      <c r="YB7" s="35"/>
      <c r="YC7" s="35"/>
      <c r="YD7" s="35"/>
      <c r="YE7" s="35"/>
      <c r="YF7" s="35"/>
      <c r="YG7" s="35"/>
      <c r="YH7" s="35"/>
      <c r="YI7" s="35"/>
      <c r="YJ7" s="35"/>
      <c r="YK7" s="35"/>
      <c r="YL7" s="35"/>
      <c r="YM7" s="35"/>
      <c r="YN7" s="35"/>
      <c r="YO7" s="35"/>
      <c r="YP7" s="35"/>
      <c r="YQ7" s="35"/>
      <c r="YR7" s="35"/>
      <c r="YS7" s="35"/>
      <c r="YT7" s="35"/>
      <c r="YU7" s="35"/>
      <c r="YV7" s="35"/>
      <c r="YW7" s="35"/>
      <c r="YX7" s="35"/>
      <c r="YY7" s="35"/>
      <c r="YZ7" s="35"/>
      <c r="ZA7" s="35"/>
      <c r="ZB7" s="35"/>
      <c r="ZC7" s="35"/>
      <c r="ZD7" s="35"/>
      <c r="ZE7" s="35"/>
      <c r="ZF7" s="35"/>
      <c r="ZG7" s="35"/>
      <c r="ZH7" s="35"/>
      <c r="ZI7" s="35"/>
      <c r="ZJ7" s="35"/>
      <c r="ZK7" s="35"/>
      <c r="ZL7" s="35"/>
      <c r="ZM7" s="35"/>
      <c r="ZN7" s="35"/>
      <c r="ZO7" s="35"/>
      <c r="ZP7" s="35"/>
      <c r="ZQ7" s="35"/>
      <c r="ZR7" s="35"/>
      <c r="ZS7" s="35"/>
      <c r="ZT7" s="35"/>
      <c r="ZU7" s="35"/>
      <c r="ZV7" s="35"/>
      <c r="ZW7" s="35"/>
      <c r="ZX7" s="35"/>
      <c r="ZY7" s="35"/>
      <c r="ZZ7" s="35"/>
      <c r="AAA7" s="35"/>
      <c r="AAB7" s="35"/>
      <c r="AAC7" s="35"/>
      <c r="AAD7" s="35"/>
      <c r="AAE7" s="35"/>
      <c r="AAF7" s="35"/>
      <c r="AAG7" s="35"/>
      <c r="AAH7" s="35"/>
      <c r="AAI7" s="35"/>
      <c r="AAJ7" s="35"/>
      <c r="AAK7" s="35"/>
      <c r="AAL7" s="35"/>
      <c r="AAM7" s="35"/>
      <c r="AAN7" s="35"/>
      <c r="AAO7" s="35"/>
      <c r="AAP7" s="35"/>
      <c r="AAQ7" s="35"/>
      <c r="AAR7" s="35"/>
      <c r="AAS7" s="35"/>
      <c r="AAT7" s="35"/>
      <c r="AAU7" s="35"/>
      <c r="AAV7" s="35"/>
      <c r="AAW7" s="35"/>
      <c r="AAX7" s="35"/>
      <c r="AAY7" s="35"/>
      <c r="AAZ7" s="35"/>
      <c r="ABA7" s="35"/>
      <c r="ABB7" s="35"/>
      <c r="ABC7" s="35"/>
      <c r="ABD7" s="35"/>
      <c r="ABE7" s="35"/>
      <c r="ABF7" s="35"/>
      <c r="ABG7" s="35"/>
      <c r="ABH7" s="35"/>
      <c r="ABI7" s="35"/>
      <c r="ABJ7" s="35"/>
      <c r="ABK7" s="35"/>
      <c r="ABL7" s="35"/>
      <c r="ABM7" s="35"/>
      <c r="ABN7" s="35"/>
      <c r="ABO7" s="35"/>
      <c r="ABP7" s="35"/>
      <c r="ABQ7" s="35"/>
      <c r="ABR7" s="35"/>
      <c r="ABS7" s="35"/>
      <c r="ABT7" s="35"/>
      <c r="ABU7" s="35"/>
      <c r="ABV7" s="35"/>
      <c r="ABW7" s="35"/>
      <c r="ABX7" s="35"/>
      <c r="ABY7" s="35"/>
      <c r="ABZ7" s="35"/>
      <c r="ACA7" s="35"/>
      <c r="ACB7" s="35"/>
      <c r="ACC7" s="35"/>
      <c r="ACD7" s="35"/>
      <c r="ACE7" s="35"/>
      <c r="ACF7" s="35"/>
      <c r="ACG7" s="35"/>
      <c r="ACH7" s="35"/>
      <c r="ACI7" s="35"/>
      <c r="ACJ7" s="35"/>
      <c r="ACK7" s="35"/>
      <c r="ACL7" s="35"/>
      <c r="ACM7" s="35"/>
      <c r="ACN7" s="35"/>
      <c r="ACO7" s="35"/>
      <c r="ACP7" s="35"/>
      <c r="ACQ7" s="35"/>
      <c r="ACR7" s="35"/>
      <c r="ACS7" s="35"/>
      <c r="ACT7" s="35"/>
      <c r="ACU7" s="35"/>
      <c r="ACV7" s="35"/>
      <c r="ACW7" s="35"/>
      <c r="ACX7" s="35"/>
      <c r="ACY7" s="35"/>
      <c r="ACZ7" s="35"/>
      <c r="ADA7" s="35"/>
      <c r="ADB7" s="35"/>
      <c r="ADC7" s="35"/>
      <c r="ADD7" s="35"/>
      <c r="ADE7" s="35"/>
      <c r="ADF7" s="35"/>
      <c r="ADG7" s="35"/>
      <c r="ADH7" s="35"/>
      <c r="ADI7" s="35"/>
      <c r="ADJ7" s="35"/>
      <c r="ADK7" s="35"/>
      <c r="ADL7" s="35"/>
      <c r="ADM7" s="35"/>
      <c r="ADN7" s="35"/>
      <c r="ADO7" s="35"/>
      <c r="ADP7" s="35"/>
      <c r="ADQ7" s="35"/>
      <c r="ADR7" s="35"/>
      <c r="ADS7" s="35"/>
      <c r="ADT7" s="35"/>
      <c r="ADU7" s="35"/>
      <c r="ADV7" s="35"/>
      <c r="ADW7" s="35"/>
      <c r="ADX7" s="35"/>
      <c r="ADY7" s="35"/>
      <c r="ADZ7" s="35"/>
      <c r="AEA7" s="35"/>
      <c r="AEB7" s="35"/>
      <c r="AEC7" s="35"/>
      <c r="AED7" s="35"/>
      <c r="AEE7" s="35"/>
      <c r="AEF7" s="35"/>
      <c r="AEG7" s="35"/>
      <c r="AEH7" s="35"/>
      <c r="AEI7" s="35"/>
      <c r="AEJ7" s="35"/>
      <c r="AEK7" s="35"/>
      <c r="AEL7" s="35"/>
      <c r="AEM7" s="35"/>
      <c r="AEN7" s="35"/>
      <c r="AEO7" s="35"/>
      <c r="AEP7" s="35"/>
      <c r="AEQ7" s="35"/>
      <c r="AER7" s="35"/>
      <c r="AES7" s="35"/>
      <c r="AET7" s="35"/>
      <c r="AEU7" s="35"/>
      <c r="AEV7" s="35"/>
      <c r="AEW7" s="35"/>
      <c r="AEX7" s="35"/>
      <c r="AEY7" s="35"/>
      <c r="AEZ7" s="35"/>
      <c r="AFA7" s="35"/>
      <c r="AFB7" s="35"/>
      <c r="AFC7" s="35"/>
      <c r="AFD7" s="35"/>
      <c r="AFE7" s="35"/>
      <c r="AFF7" s="35"/>
      <c r="AFG7" s="35"/>
      <c r="AFH7" s="35"/>
      <c r="AFI7" s="35"/>
      <c r="AFJ7" s="35"/>
      <c r="AFK7" s="35"/>
      <c r="AFL7" s="35"/>
      <c r="AFM7" s="35"/>
      <c r="AFN7" s="35"/>
      <c r="AFO7" s="35"/>
      <c r="AFP7" s="35"/>
      <c r="AFQ7" s="35"/>
      <c r="AFR7" s="35"/>
      <c r="AFS7" s="35"/>
      <c r="AFT7" s="35"/>
      <c r="AFU7" s="35"/>
      <c r="AFV7" s="35"/>
      <c r="AFW7" s="35"/>
      <c r="AFX7" s="35"/>
      <c r="AFY7" s="35"/>
      <c r="AFZ7" s="35"/>
      <c r="AGA7" s="35"/>
      <c r="AGB7" s="35"/>
      <c r="AGC7" s="35"/>
      <c r="AGD7" s="35"/>
      <c r="AGE7" s="35"/>
      <c r="AGF7" s="35"/>
      <c r="AGG7" s="35"/>
      <c r="AGH7" s="35"/>
      <c r="AGI7" s="35"/>
      <c r="AGJ7" s="35"/>
      <c r="AGK7" s="35"/>
      <c r="AGL7" s="35"/>
      <c r="AGM7" s="35"/>
      <c r="AGN7" s="35"/>
      <c r="AGO7" s="35"/>
      <c r="AGP7" s="35"/>
      <c r="AGQ7" s="35"/>
      <c r="AGR7" s="35"/>
      <c r="AGS7" s="35"/>
      <c r="AGT7" s="35"/>
      <c r="AGU7" s="35"/>
      <c r="AGV7" s="35"/>
      <c r="AGW7" s="35"/>
      <c r="AGX7" s="35"/>
      <c r="AGY7" s="35"/>
      <c r="AGZ7" s="35"/>
      <c r="AHA7" s="35"/>
      <c r="AHB7" s="35"/>
      <c r="AHC7" s="35"/>
      <c r="AHD7" s="35"/>
      <c r="AHE7" s="35"/>
      <c r="AHF7" s="35"/>
      <c r="AHG7" s="35"/>
      <c r="AHH7" s="35"/>
      <c r="AHI7" s="35"/>
      <c r="AHJ7" s="35"/>
      <c r="AHK7" s="35"/>
      <c r="AHL7" s="35"/>
      <c r="AHM7" s="35"/>
      <c r="AHN7" s="35"/>
      <c r="AHO7" s="35"/>
      <c r="AHP7" s="35"/>
      <c r="AHQ7" s="35"/>
      <c r="AHR7" s="35"/>
      <c r="AHS7" s="35"/>
      <c r="AHT7" s="35"/>
      <c r="AHU7" s="35"/>
      <c r="AHV7" s="35"/>
      <c r="AHW7" s="35"/>
      <c r="AHX7" s="35"/>
      <c r="AHY7" s="35"/>
      <c r="AHZ7" s="35"/>
      <c r="AIA7" s="35"/>
      <c r="AIB7" s="35"/>
      <c r="AIC7" s="35"/>
      <c r="AID7" s="35"/>
      <c r="AIE7" s="35"/>
      <c r="AIF7" s="35"/>
      <c r="AIG7" s="35"/>
      <c r="AIH7" s="35"/>
      <c r="AII7" s="35"/>
      <c r="AIJ7" s="35"/>
      <c r="AIK7" s="35"/>
      <c r="AIL7" s="35"/>
      <c r="AIM7" s="35"/>
      <c r="AIN7" s="35"/>
      <c r="AIO7" s="35"/>
      <c r="AIP7" s="35"/>
      <c r="AIQ7" s="35"/>
      <c r="AIR7" s="35"/>
      <c r="AIS7" s="35"/>
      <c r="AIT7" s="35"/>
      <c r="AIU7" s="35"/>
      <c r="AIV7" s="35"/>
      <c r="AIW7" s="35"/>
      <c r="AIX7" s="35"/>
      <c r="AIY7" s="35"/>
      <c r="AIZ7" s="35"/>
      <c r="AJA7" s="35"/>
      <c r="AJB7" s="35"/>
      <c r="AJC7" s="35"/>
      <c r="AJD7" s="35"/>
      <c r="AJE7" s="35"/>
      <c r="AJF7" s="35"/>
      <c r="AJG7" s="35"/>
      <c r="AJH7" s="35"/>
      <c r="AJI7" s="35"/>
      <c r="AJJ7" s="35"/>
      <c r="AJK7" s="35"/>
      <c r="AJL7" s="35"/>
      <c r="AJM7" s="35"/>
      <c r="AJN7" s="35"/>
      <c r="AJO7" s="35"/>
      <c r="AJP7" s="35"/>
      <c r="AJQ7" s="35"/>
      <c r="AJR7" s="35"/>
      <c r="AJS7" s="35"/>
      <c r="AJT7" s="35"/>
      <c r="AJU7" s="35"/>
      <c r="AJV7" s="35"/>
      <c r="AJW7" s="35"/>
      <c r="AJX7" s="35"/>
      <c r="AJY7" s="35"/>
      <c r="AJZ7" s="35"/>
      <c r="AKA7" s="35"/>
      <c r="AKB7" s="35"/>
      <c r="AKC7" s="35"/>
      <c r="AKD7" s="35"/>
      <c r="AKE7" s="35"/>
      <c r="AKF7" s="35"/>
      <c r="AKG7" s="35"/>
      <c r="AKH7" s="35"/>
      <c r="AKI7" s="35"/>
      <c r="AKJ7" s="35"/>
      <c r="AKK7" s="35"/>
      <c r="AKL7" s="35"/>
      <c r="AKM7" s="35"/>
      <c r="AKN7" s="35"/>
      <c r="AKO7" s="35"/>
      <c r="AKP7" s="35"/>
      <c r="AKQ7" s="35"/>
      <c r="AKR7" s="35"/>
      <c r="AKS7" s="35"/>
      <c r="AKT7" s="35"/>
      <c r="AKU7" s="35"/>
      <c r="AKV7" s="35"/>
      <c r="AKW7" s="35"/>
      <c r="AKX7" s="35"/>
      <c r="AKY7" s="35"/>
      <c r="AKZ7" s="35"/>
      <c r="ALA7" s="35"/>
      <c r="ALB7" s="35"/>
      <c r="ALC7" s="35"/>
      <c r="ALD7" s="35"/>
      <c r="ALE7" s="35"/>
      <c r="ALF7" s="35"/>
      <c r="ALG7" s="35"/>
      <c r="ALH7" s="35"/>
      <c r="ALI7" s="35"/>
      <c r="ALJ7" s="35"/>
      <c r="ALK7" s="35"/>
      <c r="ALL7" s="35"/>
      <c r="ALM7" s="35"/>
      <c r="ALN7" s="35"/>
      <c r="ALO7" s="35"/>
      <c r="ALP7" s="35"/>
      <c r="ALQ7" s="35"/>
      <c r="ALR7" s="35"/>
      <c r="ALS7" s="35"/>
      <c r="ALT7" s="35"/>
      <c r="ALU7" s="35"/>
      <c r="ALV7" s="35"/>
      <c r="ALW7" s="35"/>
      <c r="ALX7" s="35"/>
      <c r="ALY7" s="35"/>
    </row>
    <row r="8" customFormat="false" ht="12.8" hidden="false" customHeight="true" outlineLevel="0" collapsed="false">
      <c r="A8" s="40"/>
      <c r="B8" s="40"/>
      <c r="C8" s="40"/>
      <c r="D8" s="40"/>
      <c r="E8" s="40"/>
      <c r="F8" s="40"/>
      <c r="G8" s="40"/>
      <c r="H8" s="40"/>
      <c r="I8" s="40"/>
      <c r="J8" s="40"/>
      <c r="K8" s="40"/>
      <c r="L8" s="40"/>
      <c r="M8" s="40"/>
      <c r="N8" s="40"/>
      <c r="O8" s="40"/>
      <c r="P8" s="40"/>
      <c r="Q8" s="40"/>
      <c r="R8" s="40"/>
      <c r="S8" s="40"/>
      <c r="T8" s="40"/>
      <c r="U8" s="40"/>
      <c r="V8" s="40"/>
      <c r="W8" s="40"/>
      <c r="X8" s="40"/>
      <c r="Y8" s="40"/>
      <c r="Z8" s="40"/>
      <c r="AA8" s="40"/>
      <c r="AB8" s="40"/>
      <c r="AC8" s="40" t="s">
        <v>571</v>
      </c>
      <c r="AD8" s="40"/>
      <c r="AE8" s="40"/>
      <c r="AF8" s="40"/>
      <c r="AG8" s="40"/>
      <c r="AH8" s="40"/>
      <c r="AI8" s="40"/>
      <c r="AJ8" s="40"/>
      <c r="AK8" s="40"/>
      <c r="AL8" s="40"/>
      <c r="AM8" s="40"/>
      <c r="AN8" s="40"/>
      <c r="AO8" s="40"/>
      <c r="AP8" s="40"/>
      <c r="AQ8" s="40"/>
      <c r="AR8" s="40"/>
      <c r="AS8" s="40"/>
      <c r="AT8" s="40"/>
      <c r="AU8" s="40" t="s">
        <v>364</v>
      </c>
      <c r="AV8" s="35"/>
      <c r="AW8" s="35"/>
      <c r="AX8" s="35"/>
      <c r="AY8" s="35"/>
      <c r="AZ8" s="35"/>
      <c r="BA8" s="35"/>
      <c r="BB8" s="35"/>
      <c r="BC8" s="35"/>
      <c r="BD8" s="35"/>
      <c r="BE8" s="35"/>
      <c r="BF8" s="35"/>
      <c r="BG8" s="35"/>
      <c r="BH8" s="35"/>
      <c r="BI8" s="35"/>
      <c r="BJ8" s="35"/>
      <c r="BK8" s="35"/>
      <c r="BL8" s="35"/>
      <c r="BM8" s="35"/>
      <c r="BN8" s="35"/>
      <c r="BO8" s="35"/>
      <c r="BP8" s="35"/>
      <c r="BQ8" s="35"/>
      <c r="BR8" s="35"/>
      <c r="BS8" s="35"/>
      <c r="BT8" s="35"/>
      <c r="BU8" s="35"/>
      <c r="BV8" s="35"/>
      <c r="BW8" s="35"/>
      <c r="BX8" s="35"/>
      <c r="BY8" s="35"/>
      <c r="BZ8" s="35"/>
      <c r="CA8" s="35"/>
      <c r="CB8" s="35"/>
      <c r="CC8" s="35"/>
      <c r="CD8" s="35"/>
      <c r="CE8" s="35"/>
      <c r="CF8" s="35"/>
      <c r="CG8" s="35"/>
      <c r="CH8" s="35"/>
      <c r="CI8" s="35"/>
      <c r="CJ8" s="35"/>
      <c r="CK8" s="35"/>
      <c r="CL8" s="35"/>
      <c r="CM8" s="35"/>
      <c r="CN8" s="35"/>
      <c r="CO8" s="35"/>
      <c r="CP8" s="35"/>
      <c r="CQ8" s="35"/>
      <c r="CR8" s="35"/>
      <c r="CS8" s="35"/>
      <c r="CT8" s="35"/>
      <c r="CU8" s="35"/>
      <c r="CV8" s="35"/>
      <c r="CW8" s="35"/>
      <c r="CX8" s="35"/>
      <c r="CY8" s="35"/>
      <c r="CZ8" s="35"/>
      <c r="DA8" s="35"/>
      <c r="DB8" s="35"/>
      <c r="DC8" s="35"/>
      <c r="DD8" s="35"/>
      <c r="DE8" s="35"/>
      <c r="DF8" s="35"/>
      <c r="DG8" s="35"/>
      <c r="DH8" s="35"/>
      <c r="DI8" s="35"/>
      <c r="DJ8" s="35"/>
      <c r="DK8" s="35"/>
      <c r="DL8" s="35"/>
      <c r="DM8" s="35"/>
      <c r="DN8" s="35"/>
      <c r="DO8" s="35"/>
      <c r="DP8" s="35"/>
      <c r="DQ8" s="35"/>
      <c r="DR8" s="35"/>
      <c r="DS8" s="35"/>
      <c r="DT8" s="35"/>
      <c r="DU8" s="35"/>
      <c r="DV8" s="35"/>
      <c r="DW8" s="35"/>
      <c r="DX8" s="35"/>
      <c r="DY8" s="35"/>
      <c r="DZ8" s="35"/>
      <c r="EA8" s="35"/>
      <c r="EB8" s="35"/>
      <c r="EC8" s="35"/>
      <c r="ED8" s="35"/>
      <c r="EE8" s="35"/>
      <c r="EF8" s="35"/>
      <c r="EG8" s="35"/>
      <c r="EH8" s="35"/>
      <c r="EI8" s="35"/>
      <c r="EJ8" s="35"/>
      <c r="EK8" s="35"/>
      <c r="EL8" s="35"/>
      <c r="EM8" s="35"/>
      <c r="EN8" s="35"/>
      <c r="EO8" s="35"/>
      <c r="EP8" s="35"/>
      <c r="EQ8" s="35"/>
      <c r="ER8" s="35"/>
      <c r="ES8" s="35"/>
      <c r="ET8" s="35"/>
      <c r="EU8" s="35"/>
      <c r="EV8" s="35"/>
      <c r="EW8" s="35"/>
      <c r="EX8" s="35"/>
      <c r="EY8" s="35"/>
      <c r="EZ8" s="35"/>
      <c r="FA8" s="35"/>
      <c r="FB8" s="35"/>
      <c r="FC8" s="35"/>
      <c r="FD8" s="35"/>
      <c r="FE8" s="35"/>
      <c r="FF8" s="35"/>
      <c r="FG8" s="35"/>
      <c r="FH8" s="35"/>
      <c r="FI8" s="35"/>
      <c r="FJ8" s="35"/>
      <c r="FK8" s="35"/>
      <c r="FL8" s="35"/>
      <c r="FM8" s="35"/>
      <c r="FN8" s="35"/>
      <c r="FO8" s="35"/>
      <c r="FP8" s="35"/>
      <c r="FQ8" s="35"/>
      <c r="FR8" s="35"/>
      <c r="FS8" s="35"/>
      <c r="FT8" s="35"/>
      <c r="FU8" s="35"/>
      <c r="FV8" s="35"/>
      <c r="FW8" s="35"/>
      <c r="FX8" s="35"/>
      <c r="FY8" s="35"/>
      <c r="FZ8" s="35"/>
      <c r="GA8" s="35"/>
      <c r="GB8" s="35"/>
      <c r="GC8" s="35"/>
      <c r="GD8" s="35"/>
      <c r="GE8" s="35"/>
      <c r="GF8" s="35"/>
      <c r="GG8" s="35"/>
      <c r="GH8" s="35"/>
      <c r="GI8" s="35"/>
      <c r="GJ8" s="35"/>
      <c r="GK8" s="35"/>
      <c r="GL8" s="35"/>
      <c r="GM8" s="35"/>
      <c r="GN8" s="35"/>
      <c r="GO8" s="35"/>
      <c r="GP8" s="35"/>
      <c r="GQ8" s="35"/>
      <c r="GR8" s="35"/>
      <c r="GS8" s="35"/>
      <c r="GT8" s="35"/>
      <c r="GU8" s="35"/>
      <c r="GV8" s="35"/>
      <c r="GW8" s="35"/>
      <c r="GX8" s="35"/>
      <c r="GY8" s="35"/>
      <c r="GZ8" s="35"/>
      <c r="HA8" s="35"/>
      <c r="HB8" s="35"/>
      <c r="HC8" s="35"/>
      <c r="HD8" s="35"/>
      <c r="HE8" s="35"/>
      <c r="HF8" s="35"/>
      <c r="HG8" s="35"/>
      <c r="HH8" s="35"/>
      <c r="HI8" s="35"/>
      <c r="HJ8" s="35"/>
      <c r="HK8" s="35"/>
      <c r="HL8" s="35"/>
      <c r="HM8" s="35"/>
      <c r="HN8" s="35"/>
      <c r="HO8" s="35"/>
      <c r="HP8" s="35"/>
      <c r="HQ8" s="35"/>
      <c r="HR8" s="35"/>
      <c r="HS8" s="35"/>
      <c r="HT8" s="35"/>
      <c r="HU8" s="35"/>
      <c r="HV8" s="35"/>
      <c r="HW8" s="35"/>
      <c r="HX8" s="35"/>
      <c r="HY8" s="35"/>
      <c r="HZ8" s="35"/>
      <c r="IA8" s="35"/>
      <c r="IB8" s="35"/>
      <c r="IC8" s="35"/>
      <c r="ID8" s="35"/>
      <c r="IE8" s="35"/>
      <c r="IF8" s="35"/>
      <c r="IG8" s="35"/>
      <c r="IH8" s="35"/>
      <c r="II8" s="35"/>
      <c r="IJ8" s="35"/>
      <c r="IK8" s="35"/>
      <c r="IL8" s="35"/>
      <c r="IM8" s="35"/>
      <c r="IN8" s="35"/>
      <c r="IO8" s="35"/>
      <c r="IP8" s="35"/>
      <c r="IQ8" s="35"/>
      <c r="IR8" s="35"/>
      <c r="IS8" s="35"/>
      <c r="IT8" s="35"/>
      <c r="IU8" s="35"/>
      <c r="IV8" s="35"/>
      <c r="IW8" s="35"/>
      <c r="IX8" s="35"/>
      <c r="IY8" s="35"/>
      <c r="IZ8" s="35"/>
      <c r="JA8" s="35"/>
      <c r="JB8" s="35"/>
      <c r="JC8" s="35"/>
      <c r="JD8" s="35"/>
      <c r="JE8" s="35"/>
      <c r="JF8" s="35"/>
      <c r="JG8" s="35"/>
      <c r="JH8" s="35"/>
      <c r="JI8" s="35"/>
      <c r="JJ8" s="35"/>
      <c r="JK8" s="35"/>
      <c r="JL8" s="35"/>
      <c r="JM8" s="35"/>
      <c r="JN8" s="35"/>
      <c r="JO8" s="35"/>
      <c r="JP8" s="35"/>
      <c r="JQ8" s="35"/>
      <c r="JR8" s="35"/>
      <c r="JS8" s="35"/>
      <c r="JT8" s="35"/>
      <c r="JU8" s="35"/>
      <c r="JV8" s="35"/>
      <c r="JW8" s="35"/>
      <c r="JX8" s="35"/>
      <c r="JY8" s="35"/>
      <c r="JZ8" s="35"/>
      <c r="KA8" s="35"/>
      <c r="KB8" s="35"/>
      <c r="KC8" s="35"/>
      <c r="KD8" s="35"/>
      <c r="KE8" s="35"/>
      <c r="KF8" s="35"/>
      <c r="KG8" s="35"/>
      <c r="KH8" s="35"/>
      <c r="KI8" s="35"/>
      <c r="KJ8" s="35"/>
      <c r="KK8" s="35"/>
      <c r="KL8" s="35"/>
      <c r="KM8" s="35"/>
      <c r="KN8" s="35"/>
      <c r="KO8" s="35"/>
      <c r="KP8" s="35"/>
      <c r="KQ8" s="35"/>
      <c r="KR8" s="35"/>
      <c r="KS8" s="35"/>
      <c r="KT8" s="35"/>
      <c r="KU8" s="35"/>
      <c r="KV8" s="35"/>
      <c r="KW8" s="35"/>
      <c r="KX8" s="35"/>
      <c r="KY8" s="35"/>
      <c r="KZ8" s="35"/>
      <c r="LA8" s="35"/>
      <c r="LB8" s="35"/>
      <c r="LC8" s="35"/>
      <c r="LD8" s="35"/>
      <c r="LE8" s="35"/>
      <c r="LF8" s="35"/>
      <c r="LG8" s="35"/>
      <c r="LH8" s="35"/>
      <c r="LI8" s="35"/>
      <c r="LJ8" s="35"/>
      <c r="LK8" s="35"/>
      <c r="LL8" s="35"/>
      <c r="LM8" s="35"/>
      <c r="LN8" s="35"/>
      <c r="LO8" s="35"/>
      <c r="LP8" s="35"/>
      <c r="LQ8" s="35"/>
      <c r="LR8" s="35"/>
      <c r="LS8" s="35"/>
      <c r="LT8" s="35"/>
      <c r="LU8" s="35"/>
      <c r="LV8" s="35"/>
      <c r="LW8" s="35"/>
      <c r="LX8" s="35"/>
      <c r="LY8" s="35"/>
      <c r="LZ8" s="35"/>
      <c r="MA8" s="35"/>
      <c r="MB8" s="35"/>
      <c r="MC8" s="35"/>
      <c r="MD8" s="35"/>
      <c r="ME8" s="35"/>
      <c r="MF8" s="35"/>
      <c r="MG8" s="35"/>
      <c r="MH8" s="35"/>
      <c r="MI8" s="35"/>
      <c r="MJ8" s="35"/>
      <c r="MK8" s="35"/>
      <c r="ML8" s="35"/>
      <c r="MM8" s="35"/>
      <c r="MN8" s="35"/>
      <c r="MO8" s="35"/>
      <c r="MP8" s="35"/>
      <c r="MQ8" s="35"/>
      <c r="MR8" s="35"/>
      <c r="MS8" s="35"/>
      <c r="MT8" s="35"/>
      <c r="MU8" s="35"/>
      <c r="MV8" s="35"/>
      <c r="MW8" s="35"/>
      <c r="MX8" s="35"/>
      <c r="MY8" s="35"/>
      <c r="MZ8" s="35"/>
      <c r="NA8" s="35"/>
      <c r="NB8" s="35"/>
      <c r="NC8" s="35"/>
      <c r="ND8" s="35"/>
      <c r="NE8" s="35"/>
      <c r="NF8" s="35"/>
      <c r="NG8" s="35"/>
      <c r="NH8" s="35"/>
      <c r="NI8" s="35"/>
      <c r="NJ8" s="35"/>
      <c r="NK8" s="35"/>
      <c r="NL8" s="35"/>
      <c r="NM8" s="35"/>
      <c r="NN8" s="35"/>
      <c r="NO8" s="35"/>
      <c r="NP8" s="35"/>
      <c r="NQ8" s="35"/>
      <c r="NR8" s="35"/>
      <c r="NS8" s="35"/>
      <c r="NT8" s="35"/>
      <c r="NU8" s="35"/>
      <c r="NV8" s="35"/>
      <c r="NW8" s="35"/>
      <c r="NX8" s="35"/>
      <c r="NY8" s="35"/>
      <c r="NZ8" s="35"/>
      <c r="OA8" s="35"/>
      <c r="OB8" s="35"/>
      <c r="OC8" s="35"/>
      <c r="OD8" s="35"/>
      <c r="OE8" s="35"/>
      <c r="OF8" s="35"/>
      <c r="OG8" s="35"/>
      <c r="OH8" s="35"/>
      <c r="OI8" s="35"/>
      <c r="OJ8" s="35"/>
      <c r="OK8" s="35"/>
      <c r="OL8" s="35"/>
      <c r="OM8" s="35"/>
      <c r="ON8" s="35"/>
      <c r="OO8" s="35"/>
      <c r="OP8" s="35"/>
      <c r="OQ8" s="35"/>
      <c r="OR8" s="35"/>
      <c r="OS8" s="35"/>
      <c r="OT8" s="35"/>
      <c r="OU8" s="35"/>
      <c r="OV8" s="35"/>
      <c r="OW8" s="35"/>
      <c r="OX8" s="35"/>
      <c r="OY8" s="35"/>
      <c r="OZ8" s="35"/>
      <c r="PA8" s="35"/>
      <c r="PB8" s="35"/>
      <c r="PC8" s="35"/>
      <c r="PD8" s="35"/>
      <c r="PE8" s="35"/>
      <c r="PF8" s="35"/>
      <c r="PG8" s="35"/>
      <c r="PH8" s="35"/>
      <c r="PI8" s="35"/>
      <c r="PJ8" s="35"/>
      <c r="PK8" s="35"/>
      <c r="PL8" s="35"/>
      <c r="PM8" s="35"/>
      <c r="PN8" s="35"/>
      <c r="PO8" s="35"/>
      <c r="PP8" s="35"/>
      <c r="PQ8" s="35"/>
      <c r="PR8" s="35"/>
      <c r="PS8" s="35"/>
      <c r="PT8" s="35"/>
      <c r="PU8" s="35"/>
      <c r="PV8" s="35"/>
      <c r="PW8" s="35"/>
      <c r="PX8" s="35"/>
      <c r="PY8" s="35"/>
      <c r="PZ8" s="35"/>
      <c r="QA8" s="35"/>
      <c r="QB8" s="35"/>
      <c r="QC8" s="35"/>
      <c r="QD8" s="35"/>
      <c r="QE8" s="35"/>
      <c r="QF8" s="35"/>
      <c r="QG8" s="35"/>
      <c r="QH8" s="35"/>
      <c r="QI8" s="35"/>
      <c r="QJ8" s="35"/>
      <c r="QK8" s="35"/>
      <c r="QL8" s="35"/>
      <c r="QM8" s="35"/>
      <c r="QN8" s="35"/>
      <c r="QO8" s="35"/>
      <c r="QP8" s="35"/>
      <c r="QQ8" s="35"/>
      <c r="QR8" s="35"/>
      <c r="QS8" s="35"/>
      <c r="QT8" s="35"/>
      <c r="QU8" s="35"/>
      <c r="QV8" s="35"/>
      <c r="QW8" s="35"/>
      <c r="QX8" s="35"/>
      <c r="QY8" s="35"/>
      <c r="QZ8" s="35"/>
      <c r="RA8" s="35"/>
      <c r="RB8" s="35"/>
      <c r="RC8" s="35"/>
      <c r="RD8" s="35"/>
      <c r="RE8" s="35"/>
      <c r="RF8" s="35"/>
      <c r="RG8" s="35"/>
      <c r="RH8" s="35"/>
      <c r="RI8" s="35"/>
      <c r="RJ8" s="35"/>
      <c r="RK8" s="35"/>
      <c r="RL8" s="35"/>
      <c r="RM8" s="35"/>
      <c r="RN8" s="35"/>
      <c r="RO8" s="35"/>
      <c r="RP8" s="35"/>
      <c r="RQ8" s="35"/>
      <c r="RR8" s="35"/>
      <c r="RS8" s="35"/>
      <c r="RT8" s="35"/>
      <c r="RU8" s="35"/>
      <c r="RV8" s="35"/>
      <c r="RW8" s="35"/>
      <c r="RX8" s="35"/>
      <c r="RY8" s="35"/>
      <c r="RZ8" s="35"/>
      <c r="SA8" s="35"/>
      <c r="SB8" s="35"/>
      <c r="SC8" s="35"/>
      <c r="SD8" s="35"/>
      <c r="SE8" s="35"/>
      <c r="SF8" s="35"/>
      <c r="SG8" s="35"/>
      <c r="SH8" s="35"/>
      <c r="SI8" s="35"/>
      <c r="SJ8" s="35"/>
      <c r="SK8" s="35"/>
      <c r="SL8" s="35"/>
      <c r="SM8" s="35"/>
      <c r="SN8" s="35"/>
      <c r="SO8" s="35"/>
      <c r="SP8" s="35"/>
      <c r="SQ8" s="35"/>
      <c r="SR8" s="35"/>
      <c r="SS8" s="35"/>
      <c r="ST8" s="35"/>
      <c r="SU8" s="35"/>
      <c r="SV8" s="35"/>
      <c r="SW8" s="35"/>
      <c r="SX8" s="35"/>
      <c r="SY8" s="35"/>
      <c r="SZ8" s="35"/>
      <c r="TA8" s="35"/>
      <c r="TB8" s="35"/>
      <c r="TC8" s="35"/>
      <c r="TD8" s="35"/>
      <c r="TE8" s="35"/>
      <c r="TF8" s="35"/>
      <c r="TG8" s="35"/>
      <c r="TH8" s="35"/>
      <c r="TI8" s="35"/>
      <c r="TJ8" s="35"/>
      <c r="TK8" s="35"/>
      <c r="TL8" s="35"/>
      <c r="TM8" s="35"/>
      <c r="TN8" s="35"/>
      <c r="TO8" s="35"/>
      <c r="TP8" s="35"/>
      <c r="TQ8" s="35"/>
      <c r="TR8" s="35"/>
      <c r="TS8" s="35"/>
      <c r="TT8" s="35"/>
      <c r="TU8" s="35"/>
      <c r="TV8" s="35"/>
      <c r="TW8" s="35"/>
      <c r="TX8" s="35"/>
      <c r="TY8" s="35"/>
      <c r="TZ8" s="35"/>
      <c r="UA8" s="35"/>
      <c r="UB8" s="35"/>
      <c r="UC8" s="35"/>
      <c r="UD8" s="35"/>
      <c r="UE8" s="35"/>
      <c r="UF8" s="35"/>
      <c r="UG8" s="35"/>
      <c r="UH8" s="35"/>
      <c r="UI8" s="35"/>
      <c r="UJ8" s="35"/>
      <c r="UK8" s="35"/>
      <c r="UL8" s="35"/>
      <c r="UM8" s="35"/>
      <c r="UN8" s="35"/>
      <c r="UO8" s="35"/>
      <c r="UP8" s="35"/>
      <c r="UQ8" s="35"/>
      <c r="UR8" s="35"/>
      <c r="US8" s="35"/>
      <c r="UT8" s="35"/>
      <c r="UU8" s="35"/>
      <c r="UV8" s="35"/>
      <c r="UW8" s="35"/>
      <c r="UX8" s="35"/>
      <c r="UY8" s="35"/>
      <c r="UZ8" s="35"/>
      <c r="VA8" s="35"/>
      <c r="VB8" s="35"/>
      <c r="VC8" s="35"/>
      <c r="VD8" s="35"/>
      <c r="VE8" s="35"/>
      <c r="VF8" s="35"/>
      <c r="VG8" s="35"/>
      <c r="VH8" s="35"/>
      <c r="VI8" s="35"/>
      <c r="VJ8" s="35"/>
      <c r="VK8" s="35"/>
      <c r="VL8" s="35"/>
      <c r="VM8" s="35"/>
      <c r="VN8" s="35"/>
      <c r="VO8" s="35"/>
      <c r="VP8" s="35"/>
      <c r="VQ8" s="35"/>
      <c r="VR8" s="35"/>
      <c r="VS8" s="35"/>
      <c r="VT8" s="35"/>
      <c r="VU8" s="35"/>
      <c r="VV8" s="35"/>
      <c r="VW8" s="35"/>
      <c r="VX8" s="35"/>
      <c r="VY8" s="35"/>
      <c r="VZ8" s="35"/>
      <c r="WA8" s="35"/>
      <c r="WB8" s="35"/>
      <c r="WC8" s="35"/>
      <c r="WD8" s="35"/>
      <c r="WE8" s="35"/>
      <c r="WF8" s="35"/>
      <c r="WG8" s="35"/>
      <c r="WH8" s="35"/>
      <c r="WI8" s="35"/>
      <c r="WJ8" s="35"/>
      <c r="WK8" s="35"/>
      <c r="WL8" s="35"/>
      <c r="WM8" s="35"/>
      <c r="WN8" s="35"/>
      <c r="WO8" s="35"/>
      <c r="WP8" s="35"/>
      <c r="WQ8" s="35"/>
      <c r="WR8" s="35"/>
      <c r="WS8" s="35"/>
      <c r="WT8" s="35"/>
      <c r="WU8" s="35"/>
      <c r="WV8" s="35"/>
      <c r="WW8" s="35"/>
      <c r="WX8" s="35"/>
      <c r="WY8" s="35"/>
      <c r="WZ8" s="35"/>
      <c r="XA8" s="35"/>
      <c r="XB8" s="35"/>
      <c r="XC8" s="35"/>
      <c r="XD8" s="35"/>
      <c r="XE8" s="35"/>
      <c r="XF8" s="35"/>
      <c r="XG8" s="35"/>
      <c r="XH8" s="35"/>
      <c r="XI8" s="35"/>
      <c r="XJ8" s="35"/>
      <c r="XK8" s="35"/>
      <c r="XL8" s="35"/>
      <c r="XM8" s="35"/>
      <c r="XN8" s="35"/>
      <c r="XO8" s="35"/>
      <c r="XP8" s="35"/>
      <c r="XQ8" s="35"/>
      <c r="XR8" s="35"/>
      <c r="XS8" s="35"/>
      <c r="XT8" s="35"/>
      <c r="XU8" s="35"/>
      <c r="XV8" s="35"/>
      <c r="XW8" s="35"/>
      <c r="XX8" s="35"/>
      <c r="XY8" s="35"/>
      <c r="XZ8" s="35"/>
      <c r="YA8" s="35"/>
      <c r="YB8" s="35"/>
      <c r="YC8" s="35"/>
      <c r="YD8" s="35"/>
      <c r="YE8" s="35"/>
      <c r="YF8" s="35"/>
      <c r="YG8" s="35"/>
      <c r="YH8" s="35"/>
      <c r="YI8" s="35"/>
      <c r="YJ8" s="35"/>
      <c r="YK8" s="35"/>
      <c r="YL8" s="35"/>
      <c r="YM8" s="35"/>
      <c r="YN8" s="35"/>
      <c r="YO8" s="35"/>
      <c r="YP8" s="35"/>
      <c r="YQ8" s="35"/>
      <c r="YR8" s="35"/>
      <c r="YS8" s="35"/>
      <c r="YT8" s="35"/>
      <c r="YU8" s="35"/>
      <c r="YV8" s="35"/>
      <c r="YW8" s="35"/>
      <c r="YX8" s="35"/>
      <c r="YY8" s="35"/>
      <c r="YZ8" s="35"/>
      <c r="ZA8" s="35"/>
      <c r="ZB8" s="35"/>
      <c r="ZC8" s="35"/>
      <c r="ZD8" s="35"/>
      <c r="ZE8" s="35"/>
      <c r="ZF8" s="35"/>
      <c r="ZG8" s="35"/>
      <c r="ZH8" s="35"/>
      <c r="ZI8" s="35"/>
      <c r="ZJ8" s="35"/>
      <c r="ZK8" s="35"/>
      <c r="ZL8" s="35"/>
      <c r="ZM8" s="35"/>
      <c r="ZN8" s="35"/>
      <c r="ZO8" s="35"/>
      <c r="ZP8" s="35"/>
      <c r="ZQ8" s="35"/>
      <c r="ZR8" s="35"/>
      <c r="ZS8" s="35"/>
      <c r="ZT8" s="35"/>
      <c r="ZU8" s="35"/>
      <c r="ZV8" s="35"/>
      <c r="ZW8" s="35"/>
      <c r="ZX8" s="35"/>
      <c r="ZY8" s="35"/>
      <c r="ZZ8" s="35"/>
      <c r="AAA8" s="35"/>
      <c r="AAB8" s="35"/>
      <c r="AAC8" s="35"/>
      <c r="AAD8" s="35"/>
      <c r="AAE8" s="35"/>
      <c r="AAF8" s="35"/>
      <c r="AAG8" s="35"/>
      <c r="AAH8" s="35"/>
      <c r="AAI8" s="35"/>
      <c r="AAJ8" s="35"/>
      <c r="AAK8" s="35"/>
      <c r="AAL8" s="35"/>
      <c r="AAM8" s="35"/>
      <c r="AAN8" s="35"/>
      <c r="AAO8" s="35"/>
      <c r="AAP8" s="35"/>
      <c r="AAQ8" s="35"/>
      <c r="AAR8" s="35"/>
      <c r="AAS8" s="35"/>
      <c r="AAT8" s="35"/>
      <c r="AAU8" s="35"/>
      <c r="AAV8" s="35"/>
      <c r="AAW8" s="35"/>
      <c r="AAX8" s="35"/>
      <c r="AAY8" s="35"/>
      <c r="AAZ8" s="35"/>
      <c r="ABA8" s="35"/>
      <c r="ABB8" s="35"/>
      <c r="ABC8" s="35"/>
      <c r="ABD8" s="35"/>
      <c r="ABE8" s="35"/>
      <c r="ABF8" s="35"/>
      <c r="ABG8" s="35"/>
      <c r="ABH8" s="35"/>
      <c r="ABI8" s="35"/>
      <c r="ABJ8" s="35"/>
      <c r="ABK8" s="35"/>
      <c r="ABL8" s="35"/>
      <c r="ABM8" s="35"/>
      <c r="ABN8" s="35"/>
      <c r="ABO8" s="35"/>
      <c r="ABP8" s="35"/>
      <c r="ABQ8" s="35"/>
      <c r="ABR8" s="35"/>
      <c r="ABS8" s="35"/>
      <c r="ABT8" s="35"/>
      <c r="ABU8" s="35"/>
      <c r="ABV8" s="35"/>
      <c r="ABW8" s="35"/>
      <c r="ABX8" s="35"/>
      <c r="ABY8" s="35"/>
      <c r="ABZ8" s="35"/>
      <c r="ACA8" s="35"/>
      <c r="ACB8" s="35"/>
      <c r="ACC8" s="35"/>
      <c r="ACD8" s="35"/>
      <c r="ACE8" s="35"/>
      <c r="ACF8" s="35"/>
      <c r="ACG8" s="35"/>
      <c r="ACH8" s="35"/>
      <c r="ACI8" s="35"/>
      <c r="ACJ8" s="35"/>
      <c r="ACK8" s="35"/>
      <c r="ACL8" s="35"/>
      <c r="ACM8" s="35"/>
      <c r="ACN8" s="35"/>
      <c r="ACO8" s="35"/>
      <c r="ACP8" s="35"/>
      <c r="ACQ8" s="35"/>
      <c r="ACR8" s="35"/>
      <c r="ACS8" s="35"/>
      <c r="ACT8" s="35"/>
      <c r="ACU8" s="35"/>
      <c r="ACV8" s="35"/>
      <c r="ACW8" s="35"/>
      <c r="ACX8" s="35"/>
      <c r="ACY8" s="35"/>
      <c r="ACZ8" s="35"/>
      <c r="ADA8" s="35"/>
      <c r="ADB8" s="35"/>
      <c r="ADC8" s="35"/>
      <c r="ADD8" s="35"/>
      <c r="ADE8" s="35"/>
      <c r="ADF8" s="35"/>
      <c r="ADG8" s="35"/>
      <c r="ADH8" s="35"/>
      <c r="ADI8" s="35"/>
      <c r="ADJ8" s="35"/>
      <c r="ADK8" s="35"/>
      <c r="ADL8" s="35"/>
      <c r="ADM8" s="35"/>
      <c r="ADN8" s="35"/>
      <c r="ADO8" s="35"/>
      <c r="ADP8" s="35"/>
      <c r="ADQ8" s="35"/>
      <c r="ADR8" s="35"/>
      <c r="ADS8" s="35"/>
      <c r="ADT8" s="35"/>
      <c r="ADU8" s="35"/>
      <c r="ADV8" s="35"/>
      <c r="ADW8" s="35"/>
      <c r="ADX8" s="35"/>
      <c r="ADY8" s="35"/>
      <c r="ADZ8" s="35"/>
      <c r="AEA8" s="35"/>
      <c r="AEB8" s="35"/>
      <c r="AEC8" s="35"/>
      <c r="AED8" s="35"/>
      <c r="AEE8" s="35"/>
      <c r="AEF8" s="35"/>
      <c r="AEG8" s="35"/>
      <c r="AEH8" s="35"/>
      <c r="AEI8" s="35"/>
      <c r="AEJ8" s="35"/>
      <c r="AEK8" s="35"/>
      <c r="AEL8" s="35"/>
      <c r="AEM8" s="35"/>
      <c r="AEN8" s="35"/>
      <c r="AEO8" s="35"/>
      <c r="AEP8" s="35"/>
      <c r="AEQ8" s="35"/>
      <c r="AER8" s="35"/>
      <c r="AES8" s="35"/>
      <c r="AET8" s="35"/>
      <c r="AEU8" s="35"/>
      <c r="AEV8" s="35"/>
      <c r="AEW8" s="35"/>
      <c r="AEX8" s="35"/>
      <c r="AEY8" s="35"/>
      <c r="AEZ8" s="35"/>
      <c r="AFA8" s="35"/>
      <c r="AFB8" s="35"/>
      <c r="AFC8" s="35"/>
      <c r="AFD8" s="35"/>
      <c r="AFE8" s="35"/>
      <c r="AFF8" s="35"/>
      <c r="AFG8" s="35"/>
      <c r="AFH8" s="35"/>
      <c r="AFI8" s="35"/>
      <c r="AFJ8" s="35"/>
      <c r="AFK8" s="35"/>
      <c r="AFL8" s="35"/>
      <c r="AFM8" s="35"/>
      <c r="AFN8" s="35"/>
      <c r="AFO8" s="35"/>
      <c r="AFP8" s="35"/>
      <c r="AFQ8" s="35"/>
      <c r="AFR8" s="35"/>
      <c r="AFS8" s="35"/>
      <c r="AFT8" s="35"/>
      <c r="AFU8" s="35"/>
      <c r="AFV8" s="35"/>
      <c r="AFW8" s="35"/>
      <c r="AFX8" s="35"/>
      <c r="AFY8" s="35"/>
      <c r="AFZ8" s="35"/>
      <c r="AGA8" s="35"/>
      <c r="AGB8" s="35"/>
      <c r="AGC8" s="35"/>
      <c r="AGD8" s="35"/>
      <c r="AGE8" s="35"/>
      <c r="AGF8" s="35"/>
      <c r="AGG8" s="35"/>
      <c r="AGH8" s="35"/>
      <c r="AGI8" s="35"/>
      <c r="AGJ8" s="35"/>
      <c r="AGK8" s="35"/>
      <c r="AGL8" s="35"/>
      <c r="AGM8" s="35"/>
      <c r="AGN8" s="35"/>
      <c r="AGO8" s="35"/>
      <c r="AGP8" s="35"/>
      <c r="AGQ8" s="35"/>
      <c r="AGR8" s="35"/>
      <c r="AGS8" s="35"/>
      <c r="AGT8" s="35"/>
      <c r="AGU8" s="35"/>
      <c r="AGV8" s="35"/>
      <c r="AGW8" s="35"/>
      <c r="AGX8" s="35"/>
      <c r="AGY8" s="35"/>
      <c r="AGZ8" s="35"/>
      <c r="AHA8" s="35"/>
      <c r="AHB8" s="35"/>
      <c r="AHC8" s="35"/>
      <c r="AHD8" s="35"/>
      <c r="AHE8" s="35"/>
      <c r="AHF8" s="35"/>
      <c r="AHG8" s="35"/>
      <c r="AHH8" s="35"/>
      <c r="AHI8" s="35"/>
      <c r="AHJ8" s="35"/>
      <c r="AHK8" s="35"/>
      <c r="AHL8" s="35"/>
      <c r="AHM8" s="35"/>
      <c r="AHN8" s="35"/>
      <c r="AHO8" s="35"/>
      <c r="AHP8" s="35"/>
      <c r="AHQ8" s="35"/>
      <c r="AHR8" s="35"/>
      <c r="AHS8" s="35"/>
      <c r="AHT8" s="35"/>
      <c r="AHU8" s="35"/>
      <c r="AHV8" s="35"/>
      <c r="AHW8" s="35"/>
      <c r="AHX8" s="35"/>
      <c r="AHY8" s="35"/>
      <c r="AHZ8" s="35"/>
      <c r="AIA8" s="35"/>
      <c r="AIB8" s="35"/>
      <c r="AIC8" s="35"/>
      <c r="AID8" s="35"/>
      <c r="AIE8" s="35"/>
      <c r="AIF8" s="35"/>
      <c r="AIG8" s="35"/>
      <c r="AIH8" s="35"/>
      <c r="AII8" s="35"/>
      <c r="AIJ8" s="35"/>
      <c r="AIK8" s="35"/>
      <c r="AIL8" s="35"/>
      <c r="AIM8" s="35"/>
      <c r="AIN8" s="35"/>
      <c r="AIO8" s="35"/>
      <c r="AIP8" s="35"/>
      <c r="AIQ8" s="35"/>
      <c r="AIR8" s="35"/>
      <c r="AIS8" s="35"/>
      <c r="AIT8" s="35"/>
      <c r="AIU8" s="35"/>
      <c r="AIV8" s="35"/>
      <c r="AIW8" s="35"/>
      <c r="AIX8" s="35"/>
      <c r="AIY8" s="35"/>
      <c r="AIZ8" s="35"/>
      <c r="AJA8" s="35"/>
      <c r="AJB8" s="35"/>
      <c r="AJC8" s="35"/>
      <c r="AJD8" s="35"/>
      <c r="AJE8" s="35"/>
      <c r="AJF8" s="35"/>
      <c r="AJG8" s="35"/>
      <c r="AJH8" s="35"/>
      <c r="AJI8" s="35"/>
      <c r="AJJ8" s="35"/>
      <c r="AJK8" s="35"/>
      <c r="AJL8" s="35"/>
      <c r="AJM8" s="35"/>
      <c r="AJN8" s="35"/>
      <c r="AJO8" s="35"/>
      <c r="AJP8" s="35"/>
      <c r="AJQ8" s="35"/>
      <c r="AJR8" s="35"/>
      <c r="AJS8" s="35"/>
      <c r="AJT8" s="35"/>
      <c r="AJU8" s="35"/>
      <c r="AJV8" s="35"/>
      <c r="AJW8" s="35"/>
      <c r="AJX8" s="35"/>
      <c r="AJY8" s="35"/>
      <c r="AJZ8" s="35"/>
      <c r="AKA8" s="35"/>
      <c r="AKB8" s="35"/>
      <c r="AKC8" s="35"/>
      <c r="AKD8" s="35"/>
      <c r="AKE8" s="35"/>
      <c r="AKF8" s="35"/>
      <c r="AKG8" s="35"/>
      <c r="AKH8" s="35"/>
      <c r="AKI8" s="35"/>
      <c r="AKJ8" s="35"/>
      <c r="AKK8" s="35"/>
      <c r="AKL8" s="35"/>
      <c r="AKM8" s="35"/>
      <c r="AKN8" s="35"/>
      <c r="AKO8" s="35"/>
      <c r="AKP8" s="35"/>
      <c r="AKQ8" s="35"/>
      <c r="AKR8" s="35"/>
      <c r="AKS8" s="35"/>
      <c r="AKT8" s="35"/>
      <c r="AKU8" s="35"/>
      <c r="AKV8" s="35"/>
      <c r="AKW8" s="35"/>
      <c r="AKX8" s="35"/>
      <c r="AKY8" s="35"/>
      <c r="AKZ8" s="35"/>
      <c r="ALA8" s="35"/>
      <c r="ALB8" s="35"/>
      <c r="ALC8" s="35"/>
      <c r="ALD8" s="35"/>
      <c r="ALE8" s="35"/>
      <c r="ALF8" s="35"/>
      <c r="ALG8" s="35"/>
      <c r="ALH8" s="35"/>
      <c r="ALI8" s="35"/>
      <c r="ALJ8" s="35"/>
      <c r="ALK8" s="35"/>
      <c r="ALL8" s="35"/>
      <c r="ALM8" s="35"/>
      <c r="ALN8" s="35"/>
      <c r="ALO8" s="35"/>
      <c r="ALP8" s="35"/>
      <c r="ALQ8" s="35"/>
      <c r="ALR8" s="35"/>
      <c r="ALS8" s="35"/>
      <c r="ALT8" s="35"/>
      <c r="ALU8" s="35"/>
      <c r="ALV8" s="35"/>
      <c r="ALW8" s="35"/>
      <c r="ALX8" s="35"/>
      <c r="ALY8" s="35"/>
    </row>
    <row r="9" customFormat="false" ht="12.8" hidden="false" customHeight="true" outlineLevel="0" collapsed="false">
      <c r="A9" s="40"/>
      <c r="B9" s="40"/>
      <c r="C9" s="40"/>
      <c r="D9" s="40"/>
      <c r="E9" s="40"/>
      <c r="F9" s="40"/>
      <c r="G9" s="40"/>
      <c r="H9" s="40"/>
      <c r="I9" s="40"/>
      <c r="J9" s="40"/>
      <c r="K9" s="40"/>
      <c r="L9" s="40"/>
      <c r="M9" s="40"/>
      <c r="N9" s="40"/>
      <c r="O9" s="40"/>
      <c r="P9" s="40"/>
      <c r="Q9" s="40"/>
      <c r="R9" s="40"/>
      <c r="S9" s="40"/>
      <c r="T9" s="40"/>
      <c r="U9" s="40"/>
      <c r="V9" s="40"/>
      <c r="W9" s="40"/>
      <c r="X9" s="40"/>
      <c r="Y9" s="40"/>
      <c r="Z9" s="40"/>
      <c r="AA9" s="40"/>
      <c r="AB9" s="40"/>
      <c r="AC9" s="40" t="s">
        <v>570</v>
      </c>
      <c r="AD9" s="40"/>
      <c r="AE9" s="40"/>
      <c r="AF9" s="40"/>
      <c r="AG9" s="40"/>
      <c r="AH9" s="40"/>
      <c r="AI9" s="40"/>
      <c r="AJ9" s="40"/>
      <c r="AK9" s="40"/>
      <c r="AL9" s="40"/>
      <c r="AM9" s="40"/>
      <c r="AN9" s="40"/>
      <c r="AO9" s="40"/>
      <c r="AP9" s="40"/>
      <c r="AQ9" s="40"/>
      <c r="AR9" s="40"/>
      <c r="AS9" s="40"/>
      <c r="AT9" s="40"/>
      <c r="AU9" s="40" t="s">
        <v>364</v>
      </c>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5"/>
      <c r="GC9" s="35"/>
      <c r="GD9" s="35"/>
      <c r="GE9" s="35"/>
      <c r="GF9" s="35"/>
      <c r="GG9" s="35"/>
      <c r="GH9" s="35"/>
      <c r="GI9" s="35"/>
      <c r="GJ9" s="35"/>
      <c r="GK9" s="35"/>
      <c r="GL9" s="35"/>
      <c r="GM9" s="35"/>
      <c r="GN9" s="35"/>
      <c r="GO9" s="35"/>
      <c r="GP9" s="35"/>
      <c r="GQ9" s="35"/>
      <c r="GR9" s="35"/>
      <c r="GS9" s="35"/>
      <c r="GT9" s="35"/>
      <c r="GU9" s="35"/>
      <c r="GV9" s="35"/>
      <c r="GW9" s="35"/>
      <c r="GX9" s="35"/>
      <c r="GY9" s="35"/>
      <c r="GZ9" s="35"/>
      <c r="HA9" s="35"/>
      <c r="HB9" s="35"/>
      <c r="HC9" s="35"/>
      <c r="HD9" s="35"/>
      <c r="HE9" s="35"/>
      <c r="HF9" s="35"/>
      <c r="HG9" s="35"/>
      <c r="HH9" s="35"/>
      <c r="HI9" s="35"/>
      <c r="HJ9" s="35"/>
      <c r="HK9" s="35"/>
      <c r="HL9" s="35"/>
      <c r="HM9" s="35"/>
      <c r="HN9" s="35"/>
      <c r="HO9" s="35"/>
      <c r="HP9" s="35"/>
      <c r="HQ9" s="35"/>
      <c r="HR9" s="35"/>
      <c r="HS9" s="35"/>
      <c r="HT9" s="35"/>
      <c r="HU9" s="35"/>
      <c r="HV9" s="35"/>
      <c r="HW9" s="35"/>
      <c r="HX9" s="35"/>
      <c r="HY9" s="35"/>
      <c r="HZ9" s="35"/>
      <c r="IA9" s="35"/>
      <c r="IB9" s="35"/>
      <c r="IC9" s="35"/>
      <c r="ID9" s="35"/>
      <c r="IE9" s="35"/>
      <c r="IF9" s="35"/>
      <c r="IG9" s="35"/>
      <c r="IH9" s="35"/>
      <c r="II9" s="35"/>
      <c r="IJ9" s="35"/>
      <c r="IK9" s="35"/>
      <c r="IL9" s="35"/>
      <c r="IM9" s="35"/>
      <c r="IN9" s="35"/>
      <c r="IO9" s="35"/>
      <c r="IP9" s="35"/>
      <c r="IQ9" s="35"/>
      <c r="IR9" s="35"/>
      <c r="IS9" s="35"/>
      <c r="IT9" s="35"/>
      <c r="IU9" s="35"/>
      <c r="IV9" s="35"/>
      <c r="IW9" s="35"/>
      <c r="IX9" s="35"/>
      <c r="IY9" s="35"/>
      <c r="IZ9" s="35"/>
      <c r="JA9" s="35"/>
      <c r="JB9" s="35"/>
      <c r="JC9" s="35"/>
      <c r="JD9" s="35"/>
      <c r="JE9" s="35"/>
      <c r="JF9" s="35"/>
      <c r="JG9" s="35"/>
      <c r="JH9" s="35"/>
      <c r="JI9" s="35"/>
      <c r="JJ9" s="35"/>
      <c r="JK9" s="35"/>
      <c r="JL9" s="35"/>
      <c r="JM9" s="35"/>
      <c r="JN9" s="35"/>
      <c r="JO9" s="35"/>
      <c r="JP9" s="35"/>
      <c r="JQ9" s="35"/>
      <c r="JR9" s="35"/>
      <c r="JS9" s="35"/>
      <c r="JT9" s="35"/>
      <c r="JU9" s="35"/>
      <c r="JV9" s="35"/>
      <c r="JW9" s="35"/>
      <c r="JX9" s="35"/>
      <c r="JY9" s="35"/>
      <c r="JZ9" s="35"/>
      <c r="KA9" s="35"/>
      <c r="KB9" s="35"/>
      <c r="KC9" s="35"/>
      <c r="KD9" s="35"/>
      <c r="KE9" s="35"/>
      <c r="KF9" s="35"/>
      <c r="KG9" s="35"/>
      <c r="KH9" s="35"/>
      <c r="KI9" s="35"/>
      <c r="KJ9" s="35"/>
      <c r="KK9" s="35"/>
      <c r="KL9" s="35"/>
      <c r="KM9" s="35"/>
      <c r="KN9" s="35"/>
      <c r="KO9" s="35"/>
      <c r="KP9" s="35"/>
      <c r="KQ9" s="35"/>
      <c r="KR9" s="35"/>
      <c r="KS9" s="35"/>
      <c r="KT9" s="35"/>
      <c r="KU9" s="35"/>
      <c r="KV9" s="35"/>
      <c r="KW9" s="35"/>
      <c r="KX9" s="35"/>
      <c r="KY9" s="35"/>
      <c r="KZ9" s="35"/>
      <c r="LA9" s="35"/>
      <c r="LB9" s="35"/>
      <c r="LC9" s="35"/>
      <c r="LD9" s="35"/>
      <c r="LE9" s="35"/>
      <c r="LF9" s="35"/>
      <c r="LG9" s="35"/>
      <c r="LH9" s="35"/>
      <c r="LI9" s="35"/>
      <c r="LJ9" s="35"/>
      <c r="LK9" s="35"/>
      <c r="LL9" s="35"/>
      <c r="LM9" s="35"/>
      <c r="LN9" s="35"/>
      <c r="LO9" s="35"/>
      <c r="LP9" s="35"/>
      <c r="LQ9" s="35"/>
      <c r="LR9" s="35"/>
      <c r="LS9" s="35"/>
      <c r="LT9" s="35"/>
      <c r="LU9" s="35"/>
      <c r="LV9" s="35"/>
      <c r="LW9" s="35"/>
      <c r="LX9" s="35"/>
      <c r="LY9" s="35"/>
      <c r="LZ9" s="35"/>
      <c r="MA9" s="35"/>
      <c r="MB9" s="35"/>
      <c r="MC9" s="35"/>
      <c r="MD9" s="35"/>
      <c r="ME9" s="35"/>
      <c r="MF9" s="35"/>
      <c r="MG9" s="35"/>
      <c r="MH9" s="35"/>
      <c r="MI9" s="35"/>
      <c r="MJ9" s="35"/>
      <c r="MK9" s="35"/>
      <c r="ML9" s="35"/>
      <c r="MM9" s="35"/>
      <c r="MN9" s="35"/>
      <c r="MO9" s="35"/>
      <c r="MP9" s="35"/>
      <c r="MQ9" s="35"/>
      <c r="MR9" s="35"/>
      <c r="MS9" s="35"/>
      <c r="MT9" s="35"/>
      <c r="MU9" s="35"/>
      <c r="MV9" s="35"/>
      <c r="MW9" s="35"/>
      <c r="MX9" s="35"/>
      <c r="MY9" s="35"/>
      <c r="MZ9" s="35"/>
      <c r="NA9" s="35"/>
      <c r="NB9" s="35"/>
      <c r="NC9" s="35"/>
      <c r="ND9" s="35"/>
      <c r="NE9" s="35"/>
      <c r="NF9" s="35"/>
      <c r="NG9" s="35"/>
      <c r="NH9" s="35"/>
      <c r="NI9" s="35"/>
      <c r="NJ9" s="35"/>
      <c r="NK9" s="35"/>
      <c r="NL9" s="35"/>
      <c r="NM9" s="35"/>
      <c r="NN9" s="35"/>
      <c r="NO9" s="35"/>
      <c r="NP9" s="35"/>
      <c r="NQ9" s="35"/>
      <c r="NR9" s="35"/>
      <c r="NS9" s="35"/>
      <c r="NT9" s="35"/>
      <c r="NU9" s="35"/>
      <c r="NV9" s="35"/>
      <c r="NW9" s="35"/>
      <c r="NX9" s="35"/>
      <c r="NY9" s="35"/>
      <c r="NZ9" s="35"/>
      <c r="OA9" s="35"/>
      <c r="OB9" s="35"/>
      <c r="OC9" s="35"/>
      <c r="OD9" s="35"/>
      <c r="OE9" s="35"/>
      <c r="OF9" s="35"/>
      <c r="OG9" s="35"/>
      <c r="OH9" s="35"/>
      <c r="OI9" s="35"/>
      <c r="OJ9" s="35"/>
      <c r="OK9" s="35"/>
      <c r="OL9" s="35"/>
      <c r="OM9" s="35"/>
      <c r="ON9" s="35"/>
      <c r="OO9" s="35"/>
      <c r="OP9" s="35"/>
      <c r="OQ9" s="35"/>
      <c r="OR9" s="35"/>
      <c r="OS9" s="35"/>
      <c r="OT9" s="35"/>
      <c r="OU9" s="35"/>
      <c r="OV9" s="35"/>
      <c r="OW9" s="35"/>
      <c r="OX9" s="35"/>
      <c r="OY9" s="35"/>
      <c r="OZ9" s="35"/>
      <c r="PA9" s="35"/>
      <c r="PB9" s="35"/>
      <c r="PC9" s="35"/>
      <c r="PD9" s="35"/>
      <c r="PE9" s="35"/>
      <c r="PF9" s="35"/>
      <c r="PG9" s="35"/>
      <c r="PH9" s="35"/>
      <c r="PI9" s="35"/>
      <c r="PJ9" s="35"/>
      <c r="PK9" s="35"/>
      <c r="PL9" s="35"/>
      <c r="PM9" s="35"/>
      <c r="PN9" s="35"/>
      <c r="PO9" s="35"/>
      <c r="PP9" s="35"/>
      <c r="PQ9" s="35"/>
      <c r="PR9" s="35"/>
      <c r="PS9" s="35"/>
      <c r="PT9" s="35"/>
      <c r="PU9" s="35"/>
      <c r="PV9" s="35"/>
      <c r="PW9" s="35"/>
      <c r="PX9" s="35"/>
      <c r="PY9" s="35"/>
      <c r="PZ9" s="35"/>
      <c r="QA9" s="35"/>
      <c r="QB9" s="35"/>
      <c r="QC9" s="35"/>
      <c r="QD9" s="35"/>
      <c r="QE9" s="35"/>
      <c r="QF9" s="35"/>
      <c r="QG9" s="35"/>
      <c r="QH9" s="35"/>
      <c r="QI9" s="35"/>
      <c r="QJ9" s="35"/>
      <c r="QK9" s="35"/>
      <c r="QL9" s="35"/>
      <c r="QM9" s="35"/>
      <c r="QN9" s="35"/>
      <c r="QO9" s="35"/>
      <c r="QP9" s="35"/>
      <c r="QQ9" s="35"/>
      <c r="QR9" s="35"/>
      <c r="QS9" s="35"/>
      <c r="QT9" s="35"/>
      <c r="QU9" s="35"/>
      <c r="QV9" s="35"/>
      <c r="QW9" s="35"/>
      <c r="QX9" s="35"/>
      <c r="QY9" s="35"/>
      <c r="QZ9" s="35"/>
      <c r="RA9" s="35"/>
      <c r="RB9" s="35"/>
      <c r="RC9" s="35"/>
      <c r="RD9" s="35"/>
      <c r="RE9" s="35"/>
      <c r="RF9" s="35"/>
      <c r="RG9" s="35"/>
      <c r="RH9" s="35"/>
      <c r="RI9" s="35"/>
      <c r="RJ9" s="35"/>
      <c r="RK9" s="35"/>
      <c r="RL9" s="35"/>
      <c r="RM9" s="35"/>
      <c r="RN9" s="35"/>
      <c r="RO9" s="35"/>
      <c r="RP9" s="35"/>
      <c r="RQ9" s="35"/>
      <c r="RR9" s="35"/>
      <c r="RS9" s="35"/>
      <c r="RT9" s="35"/>
      <c r="RU9" s="35"/>
      <c r="RV9" s="35"/>
      <c r="RW9" s="35"/>
      <c r="RX9" s="35"/>
      <c r="RY9" s="35"/>
      <c r="RZ9" s="35"/>
      <c r="SA9" s="35"/>
      <c r="SB9" s="35"/>
      <c r="SC9" s="35"/>
      <c r="SD9" s="35"/>
      <c r="SE9" s="35"/>
      <c r="SF9" s="35"/>
      <c r="SG9" s="35"/>
      <c r="SH9" s="35"/>
      <c r="SI9" s="35"/>
      <c r="SJ9" s="35"/>
      <c r="SK9" s="35"/>
      <c r="SL9" s="35"/>
      <c r="SM9" s="35"/>
      <c r="SN9" s="35"/>
      <c r="SO9" s="35"/>
      <c r="SP9" s="35"/>
      <c r="SQ9" s="35"/>
      <c r="SR9" s="35"/>
      <c r="SS9" s="35"/>
      <c r="ST9" s="35"/>
      <c r="SU9" s="35"/>
      <c r="SV9" s="35"/>
      <c r="SW9" s="35"/>
      <c r="SX9" s="35"/>
      <c r="SY9" s="35"/>
      <c r="SZ9" s="35"/>
      <c r="TA9" s="35"/>
      <c r="TB9" s="35"/>
      <c r="TC9" s="35"/>
      <c r="TD9" s="35"/>
      <c r="TE9" s="35"/>
      <c r="TF9" s="35"/>
      <c r="TG9" s="35"/>
      <c r="TH9" s="35"/>
      <c r="TI9" s="35"/>
      <c r="TJ9" s="35"/>
      <c r="TK9" s="35"/>
      <c r="TL9" s="35"/>
      <c r="TM9" s="35"/>
      <c r="TN9" s="35"/>
      <c r="TO9" s="35"/>
      <c r="TP9" s="35"/>
      <c r="TQ9" s="35"/>
      <c r="TR9" s="35"/>
      <c r="TS9" s="35"/>
      <c r="TT9" s="35"/>
      <c r="TU9" s="35"/>
      <c r="TV9" s="35"/>
      <c r="TW9" s="35"/>
      <c r="TX9" s="35"/>
      <c r="TY9" s="35"/>
      <c r="TZ9" s="35"/>
      <c r="UA9" s="35"/>
      <c r="UB9" s="35"/>
      <c r="UC9" s="35"/>
      <c r="UD9" s="35"/>
      <c r="UE9" s="35"/>
      <c r="UF9" s="35"/>
      <c r="UG9" s="35"/>
      <c r="UH9" s="35"/>
      <c r="UI9" s="35"/>
      <c r="UJ9" s="35"/>
      <c r="UK9" s="35"/>
      <c r="UL9" s="35"/>
      <c r="UM9" s="35"/>
      <c r="UN9" s="35"/>
      <c r="UO9" s="35"/>
      <c r="UP9" s="35"/>
      <c r="UQ9" s="35"/>
      <c r="UR9" s="35"/>
      <c r="US9" s="35"/>
      <c r="UT9" s="35"/>
      <c r="UU9" s="35"/>
      <c r="UV9" s="35"/>
      <c r="UW9" s="35"/>
      <c r="UX9" s="35"/>
      <c r="UY9" s="35"/>
      <c r="UZ9" s="35"/>
      <c r="VA9" s="35"/>
      <c r="VB9" s="35"/>
      <c r="VC9" s="35"/>
      <c r="VD9" s="35"/>
      <c r="VE9" s="35"/>
      <c r="VF9" s="35"/>
      <c r="VG9" s="35"/>
      <c r="VH9" s="35"/>
      <c r="VI9" s="35"/>
      <c r="VJ9" s="35"/>
      <c r="VK9" s="35"/>
      <c r="VL9" s="35"/>
      <c r="VM9" s="35"/>
      <c r="VN9" s="35"/>
      <c r="VO9" s="35"/>
      <c r="VP9" s="35"/>
      <c r="VQ9" s="35"/>
      <c r="VR9" s="35"/>
      <c r="VS9" s="35"/>
      <c r="VT9" s="35"/>
      <c r="VU9" s="35"/>
      <c r="VV9" s="35"/>
      <c r="VW9" s="35"/>
      <c r="VX9" s="35"/>
      <c r="VY9" s="35"/>
      <c r="VZ9" s="35"/>
      <c r="WA9" s="35"/>
      <c r="WB9" s="35"/>
      <c r="WC9" s="35"/>
      <c r="WD9" s="35"/>
      <c r="WE9" s="35"/>
      <c r="WF9" s="35"/>
      <c r="WG9" s="35"/>
      <c r="WH9" s="35"/>
      <c r="WI9" s="35"/>
      <c r="WJ9" s="35"/>
      <c r="WK9" s="35"/>
      <c r="WL9" s="35"/>
      <c r="WM9" s="35"/>
      <c r="WN9" s="35"/>
      <c r="WO9" s="35"/>
      <c r="WP9" s="35"/>
      <c r="WQ9" s="35"/>
      <c r="WR9" s="35"/>
      <c r="WS9" s="35"/>
      <c r="WT9" s="35"/>
      <c r="WU9" s="35"/>
      <c r="WV9" s="35"/>
      <c r="WW9" s="35"/>
      <c r="WX9" s="35"/>
      <c r="WY9" s="35"/>
      <c r="WZ9" s="35"/>
      <c r="XA9" s="35"/>
      <c r="XB9" s="35"/>
      <c r="XC9" s="35"/>
      <c r="XD9" s="35"/>
      <c r="XE9" s="35"/>
      <c r="XF9" s="35"/>
      <c r="XG9" s="35"/>
      <c r="XH9" s="35"/>
      <c r="XI9" s="35"/>
      <c r="XJ9" s="35"/>
      <c r="XK9" s="35"/>
      <c r="XL9" s="35"/>
      <c r="XM9" s="35"/>
      <c r="XN9" s="35"/>
      <c r="XO9" s="35"/>
      <c r="XP9" s="35"/>
      <c r="XQ9" s="35"/>
      <c r="XR9" s="35"/>
      <c r="XS9" s="35"/>
      <c r="XT9" s="35"/>
      <c r="XU9" s="35"/>
      <c r="XV9" s="35"/>
      <c r="XW9" s="35"/>
      <c r="XX9" s="35"/>
      <c r="XY9" s="35"/>
      <c r="XZ9" s="35"/>
      <c r="YA9" s="35"/>
      <c r="YB9" s="35"/>
      <c r="YC9" s="35"/>
      <c r="YD9" s="35"/>
      <c r="YE9" s="35"/>
      <c r="YF9" s="35"/>
      <c r="YG9" s="35"/>
      <c r="YH9" s="35"/>
      <c r="YI9" s="35"/>
      <c r="YJ9" s="35"/>
      <c r="YK9" s="35"/>
      <c r="YL9" s="35"/>
      <c r="YM9" s="35"/>
      <c r="YN9" s="35"/>
      <c r="YO9" s="35"/>
      <c r="YP9" s="35"/>
      <c r="YQ9" s="35"/>
      <c r="YR9" s="35"/>
      <c r="YS9" s="35"/>
      <c r="YT9" s="35"/>
      <c r="YU9" s="35"/>
      <c r="YV9" s="35"/>
      <c r="YW9" s="35"/>
      <c r="YX9" s="35"/>
      <c r="YY9" s="35"/>
      <c r="YZ9" s="35"/>
      <c r="ZA9" s="35"/>
      <c r="ZB9" s="35"/>
      <c r="ZC9" s="35"/>
      <c r="ZD9" s="35"/>
      <c r="ZE9" s="35"/>
      <c r="ZF9" s="35"/>
      <c r="ZG9" s="35"/>
      <c r="ZH9" s="35"/>
      <c r="ZI9" s="35"/>
      <c r="ZJ9" s="35"/>
      <c r="ZK9" s="35"/>
      <c r="ZL9" s="35"/>
      <c r="ZM9" s="35"/>
      <c r="ZN9" s="35"/>
      <c r="ZO9" s="35"/>
      <c r="ZP9" s="35"/>
      <c r="ZQ9" s="35"/>
      <c r="ZR9" s="35"/>
      <c r="ZS9" s="35"/>
      <c r="ZT9" s="35"/>
      <c r="ZU9" s="35"/>
      <c r="ZV9" s="35"/>
      <c r="ZW9" s="35"/>
      <c r="ZX9" s="35"/>
      <c r="ZY9" s="35"/>
      <c r="ZZ9" s="35"/>
      <c r="AAA9" s="35"/>
      <c r="AAB9" s="35"/>
      <c r="AAC9" s="35"/>
      <c r="AAD9" s="35"/>
      <c r="AAE9" s="35"/>
      <c r="AAF9" s="35"/>
      <c r="AAG9" s="35"/>
      <c r="AAH9" s="35"/>
      <c r="AAI9" s="35"/>
      <c r="AAJ9" s="35"/>
      <c r="AAK9" s="35"/>
      <c r="AAL9" s="35"/>
      <c r="AAM9" s="35"/>
      <c r="AAN9" s="35"/>
      <c r="AAO9" s="35"/>
      <c r="AAP9" s="35"/>
      <c r="AAQ9" s="35"/>
      <c r="AAR9" s="35"/>
      <c r="AAS9" s="35"/>
      <c r="AAT9" s="35"/>
      <c r="AAU9" s="35"/>
      <c r="AAV9" s="35"/>
      <c r="AAW9" s="35"/>
      <c r="AAX9" s="35"/>
      <c r="AAY9" s="35"/>
      <c r="AAZ9" s="35"/>
      <c r="ABA9" s="35"/>
      <c r="ABB9" s="35"/>
      <c r="ABC9" s="35"/>
      <c r="ABD9" s="35"/>
      <c r="ABE9" s="35"/>
      <c r="ABF9" s="35"/>
      <c r="ABG9" s="35"/>
      <c r="ABH9" s="35"/>
      <c r="ABI9" s="35"/>
      <c r="ABJ9" s="35"/>
      <c r="ABK9" s="35"/>
      <c r="ABL9" s="35"/>
      <c r="ABM9" s="35"/>
      <c r="ABN9" s="35"/>
      <c r="ABO9" s="35"/>
      <c r="ABP9" s="35"/>
      <c r="ABQ9" s="35"/>
      <c r="ABR9" s="35"/>
      <c r="ABS9" s="35"/>
      <c r="ABT9" s="35"/>
      <c r="ABU9" s="35"/>
      <c r="ABV9" s="35"/>
      <c r="ABW9" s="35"/>
      <c r="ABX9" s="35"/>
      <c r="ABY9" s="35"/>
      <c r="ABZ9" s="35"/>
      <c r="ACA9" s="35"/>
      <c r="ACB9" s="35"/>
      <c r="ACC9" s="35"/>
      <c r="ACD9" s="35"/>
      <c r="ACE9" s="35"/>
      <c r="ACF9" s="35"/>
      <c r="ACG9" s="35"/>
      <c r="ACH9" s="35"/>
      <c r="ACI9" s="35"/>
      <c r="ACJ9" s="35"/>
      <c r="ACK9" s="35"/>
      <c r="ACL9" s="35"/>
      <c r="ACM9" s="35"/>
      <c r="ACN9" s="35"/>
      <c r="ACO9" s="35"/>
      <c r="ACP9" s="35"/>
      <c r="ACQ9" s="35"/>
      <c r="ACR9" s="35"/>
      <c r="ACS9" s="35"/>
      <c r="ACT9" s="35"/>
      <c r="ACU9" s="35"/>
      <c r="ACV9" s="35"/>
      <c r="ACW9" s="35"/>
      <c r="ACX9" s="35"/>
      <c r="ACY9" s="35"/>
      <c r="ACZ9" s="35"/>
      <c r="ADA9" s="35"/>
      <c r="ADB9" s="35"/>
      <c r="ADC9" s="35"/>
      <c r="ADD9" s="35"/>
      <c r="ADE9" s="35"/>
      <c r="ADF9" s="35"/>
      <c r="ADG9" s="35"/>
      <c r="ADH9" s="35"/>
      <c r="ADI9" s="35"/>
      <c r="ADJ9" s="35"/>
      <c r="ADK9" s="35"/>
      <c r="ADL9" s="35"/>
      <c r="ADM9" s="35"/>
      <c r="ADN9" s="35"/>
      <c r="ADO9" s="35"/>
      <c r="ADP9" s="35"/>
      <c r="ADQ9" s="35"/>
      <c r="ADR9" s="35"/>
      <c r="ADS9" s="35"/>
      <c r="ADT9" s="35"/>
      <c r="ADU9" s="35"/>
      <c r="ADV9" s="35"/>
      <c r="ADW9" s="35"/>
      <c r="ADX9" s="35"/>
      <c r="ADY9" s="35"/>
      <c r="ADZ9" s="35"/>
      <c r="AEA9" s="35"/>
      <c r="AEB9" s="35"/>
      <c r="AEC9" s="35"/>
      <c r="AED9" s="35"/>
      <c r="AEE9" s="35"/>
      <c r="AEF9" s="35"/>
      <c r="AEG9" s="35"/>
      <c r="AEH9" s="35"/>
      <c r="AEI9" s="35"/>
      <c r="AEJ9" s="35"/>
      <c r="AEK9" s="35"/>
      <c r="AEL9" s="35"/>
      <c r="AEM9" s="35"/>
      <c r="AEN9" s="35"/>
      <c r="AEO9" s="35"/>
      <c r="AEP9" s="35"/>
      <c r="AEQ9" s="35"/>
      <c r="AER9" s="35"/>
      <c r="AES9" s="35"/>
      <c r="AET9" s="35"/>
      <c r="AEU9" s="35"/>
      <c r="AEV9" s="35"/>
      <c r="AEW9" s="35"/>
      <c r="AEX9" s="35"/>
      <c r="AEY9" s="35"/>
      <c r="AEZ9" s="35"/>
      <c r="AFA9" s="35"/>
      <c r="AFB9" s="35"/>
      <c r="AFC9" s="35"/>
      <c r="AFD9" s="35"/>
      <c r="AFE9" s="35"/>
      <c r="AFF9" s="35"/>
      <c r="AFG9" s="35"/>
      <c r="AFH9" s="35"/>
      <c r="AFI9" s="35"/>
      <c r="AFJ9" s="35"/>
      <c r="AFK9" s="35"/>
      <c r="AFL9" s="35"/>
      <c r="AFM9" s="35"/>
      <c r="AFN9" s="35"/>
      <c r="AFO9" s="35"/>
      <c r="AFP9" s="35"/>
      <c r="AFQ9" s="35"/>
      <c r="AFR9" s="35"/>
      <c r="AFS9" s="35"/>
      <c r="AFT9" s="35"/>
      <c r="AFU9" s="35"/>
      <c r="AFV9" s="35"/>
      <c r="AFW9" s="35"/>
      <c r="AFX9" s="35"/>
      <c r="AFY9" s="35"/>
      <c r="AFZ9" s="35"/>
      <c r="AGA9" s="35"/>
      <c r="AGB9" s="35"/>
      <c r="AGC9" s="35"/>
      <c r="AGD9" s="35"/>
      <c r="AGE9" s="35"/>
      <c r="AGF9" s="35"/>
      <c r="AGG9" s="35"/>
      <c r="AGH9" s="35"/>
      <c r="AGI9" s="35"/>
      <c r="AGJ9" s="35"/>
      <c r="AGK9" s="35"/>
      <c r="AGL9" s="35"/>
      <c r="AGM9" s="35"/>
      <c r="AGN9" s="35"/>
      <c r="AGO9" s="35"/>
      <c r="AGP9" s="35"/>
      <c r="AGQ9" s="35"/>
      <c r="AGR9" s="35"/>
      <c r="AGS9" s="35"/>
      <c r="AGT9" s="35"/>
      <c r="AGU9" s="35"/>
      <c r="AGV9" s="35"/>
      <c r="AGW9" s="35"/>
      <c r="AGX9" s="35"/>
      <c r="AGY9" s="35"/>
      <c r="AGZ9" s="35"/>
      <c r="AHA9" s="35"/>
      <c r="AHB9" s="35"/>
      <c r="AHC9" s="35"/>
      <c r="AHD9" s="35"/>
      <c r="AHE9" s="35"/>
      <c r="AHF9" s="35"/>
      <c r="AHG9" s="35"/>
      <c r="AHH9" s="35"/>
      <c r="AHI9" s="35"/>
      <c r="AHJ9" s="35"/>
      <c r="AHK9" s="35"/>
      <c r="AHL9" s="35"/>
      <c r="AHM9" s="35"/>
      <c r="AHN9" s="35"/>
      <c r="AHO9" s="35"/>
      <c r="AHP9" s="35"/>
      <c r="AHQ9" s="35"/>
      <c r="AHR9" s="35"/>
      <c r="AHS9" s="35"/>
      <c r="AHT9" s="35"/>
      <c r="AHU9" s="35"/>
      <c r="AHV9" s="35"/>
      <c r="AHW9" s="35"/>
      <c r="AHX9" s="35"/>
      <c r="AHY9" s="35"/>
      <c r="AHZ9" s="35"/>
      <c r="AIA9" s="35"/>
      <c r="AIB9" s="35"/>
      <c r="AIC9" s="35"/>
      <c r="AID9" s="35"/>
      <c r="AIE9" s="35"/>
      <c r="AIF9" s="35"/>
      <c r="AIG9" s="35"/>
      <c r="AIH9" s="35"/>
      <c r="AII9" s="35"/>
      <c r="AIJ9" s="35"/>
      <c r="AIK9" s="35"/>
      <c r="AIL9" s="35"/>
      <c r="AIM9" s="35"/>
      <c r="AIN9" s="35"/>
      <c r="AIO9" s="35"/>
      <c r="AIP9" s="35"/>
      <c r="AIQ9" s="35"/>
      <c r="AIR9" s="35"/>
      <c r="AIS9" s="35"/>
      <c r="AIT9" s="35"/>
      <c r="AIU9" s="35"/>
      <c r="AIV9" s="35"/>
      <c r="AIW9" s="35"/>
      <c r="AIX9" s="35"/>
      <c r="AIY9" s="35"/>
      <c r="AIZ9" s="35"/>
      <c r="AJA9" s="35"/>
      <c r="AJB9" s="35"/>
      <c r="AJC9" s="35"/>
      <c r="AJD9" s="35"/>
      <c r="AJE9" s="35"/>
      <c r="AJF9" s="35"/>
      <c r="AJG9" s="35"/>
      <c r="AJH9" s="35"/>
      <c r="AJI9" s="35"/>
      <c r="AJJ9" s="35"/>
      <c r="AJK9" s="35"/>
      <c r="AJL9" s="35"/>
      <c r="AJM9" s="35"/>
      <c r="AJN9" s="35"/>
      <c r="AJO9" s="35"/>
      <c r="AJP9" s="35"/>
      <c r="AJQ9" s="35"/>
      <c r="AJR9" s="35"/>
      <c r="AJS9" s="35"/>
      <c r="AJT9" s="35"/>
      <c r="AJU9" s="35"/>
      <c r="AJV9" s="35"/>
      <c r="AJW9" s="35"/>
      <c r="AJX9" s="35"/>
      <c r="AJY9" s="35"/>
      <c r="AJZ9" s="35"/>
      <c r="AKA9" s="35"/>
      <c r="AKB9" s="35"/>
      <c r="AKC9" s="35"/>
      <c r="AKD9" s="35"/>
      <c r="AKE9" s="35"/>
      <c r="AKF9" s="35"/>
      <c r="AKG9" s="35"/>
      <c r="AKH9" s="35"/>
      <c r="AKI9" s="35"/>
      <c r="AKJ9" s="35"/>
      <c r="AKK9" s="35"/>
      <c r="AKL9" s="35"/>
      <c r="AKM9" s="35"/>
      <c r="AKN9" s="35"/>
      <c r="AKO9" s="35"/>
      <c r="AKP9" s="35"/>
      <c r="AKQ9" s="35"/>
      <c r="AKR9" s="35"/>
      <c r="AKS9" s="35"/>
      <c r="AKT9" s="35"/>
      <c r="AKU9" s="35"/>
      <c r="AKV9" s="35"/>
      <c r="AKW9" s="35"/>
      <c r="AKX9" s="35"/>
      <c r="AKY9" s="35"/>
      <c r="AKZ9" s="35"/>
      <c r="ALA9" s="35"/>
      <c r="ALB9" s="35"/>
      <c r="ALC9" s="35"/>
      <c r="ALD9" s="35"/>
      <c r="ALE9" s="35"/>
      <c r="ALF9" s="35"/>
      <c r="ALG9" s="35"/>
      <c r="ALH9" s="35"/>
      <c r="ALI9" s="35"/>
      <c r="ALJ9" s="35"/>
      <c r="ALK9" s="35"/>
      <c r="ALL9" s="35"/>
      <c r="ALM9" s="35"/>
      <c r="ALN9" s="35"/>
      <c r="ALO9" s="35"/>
      <c r="ALP9" s="35"/>
      <c r="ALQ9" s="35"/>
      <c r="ALR9" s="35"/>
      <c r="ALS9" s="35"/>
      <c r="ALT9" s="35"/>
      <c r="ALU9" s="35"/>
      <c r="ALV9" s="35"/>
      <c r="ALW9" s="35"/>
      <c r="ALX9" s="35"/>
      <c r="ALY9" s="35"/>
    </row>
    <row r="10" customFormat="false" ht="12.8" hidden="false" customHeight="true" outlineLevel="0" collapsed="false">
      <c r="A10" s="40"/>
      <c r="B10" s="40"/>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t="s">
        <v>572</v>
      </c>
      <c r="AD10" s="40"/>
      <c r="AE10" s="40"/>
      <c r="AF10" s="40"/>
      <c r="AG10" s="40"/>
      <c r="AH10" s="40"/>
      <c r="AI10" s="40"/>
      <c r="AJ10" s="40"/>
      <c r="AK10" s="40"/>
      <c r="AL10" s="40"/>
      <c r="AM10" s="40"/>
      <c r="AN10" s="40"/>
      <c r="AO10" s="40"/>
      <c r="AP10" s="40"/>
      <c r="AQ10" s="40"/>
      <c r="AR10" s="40"/>
      <c r="AS10" s="40"/>
      <c r="AT10" s="40"/>
      <c r="AU10" s="40" t="s">
        <v>364</v>
      </c>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5"/>
      <c r="EG10" s="35"/>
      <c r="EH10" s="35"/>
      <c r="EI10" s="35"/>
      <c r="EJ10" s="35"/>
      <c r="EK10" s="35"/>
      <c r="EL10" s="35"/>
      <c r="EM10" s="35"/>
      <c r="EN10" s="35"/>
      <c r="EO10" s="35"/>
      <c r="EP10" s="35"/>
      <c r="EQ10" s="35"/>
      <c r="ER10" s="35"/>
      <c r="ES10" s="35"/>
      <c r="ET10" s="35"/>
      <c r="EU10" s="35"/>
      <c r="EV10" s="35"/>
      <c r="EW10" s="35"/>
      <c r="EX10" s="35"/>
      <c r="EY10" s="35"/>
      <c r="EZ10" s="35"/>
      <c r="FA10" s="35"/>
      <c r="FB10" s="35"/>
      <c r="FC10" s="35"/>
      <c r="FD10" s="35"/>
      <c r="FE10" s="35"/>
      <c r="FF10" s="35"/>
      <c r="FG10" s="35"/>
      <c r="FH10" s="35"/>
      <c r="FI10" s="35"/>
      <c r="FJ10" s="35"/>
      <c r="FK10" s="35"/>
      <c r="FL10" s="35"/>
      <c r="FM10" s="35"/>
      <c r="FN10" s="35"/>
      <c r="FO10" s="35"/>
      <c r="FP10" s="35"/>
      <c r="FQ10" s="35"/>
      <c r="FR10" s="35"/>
      <c r="FS10" s="35"/>
      <c r="FT10" s="35"/>
      <c r="FU10" s="35"/>
      <c r="FV10" s="35"/>
      <c r="FW10" s="35"/>
      <c r="FX10" s="35"/>
      <c r="FY10" s="35"/>
      <c r="FZ10" s="35"/>
      <c r="GA10" s="35"/>
      <c r="GB10" s="35"/>
      <c r="GC10" s="35"/>
      <c r="GD10" s="35"/>
      <c r="GE10" s="35"/>
      <c r="GF10" s="35"/>
      <c r="GG10" s="35"/>
      <c r="GH10" s="35"/>
      <c r="GI10" s="35"/>
      <c r="GJ10" s="35"/>
      <c r="GK10" s="35"/>
      <c r="GL10" s="35"/>
      <c r="GM10" s="35"/>
      <c r="GN10" s="35"/>
      <c r="GO10" s="35"/>
      <c r="GP10" s="35"/>
      <c r="GQ10" s="35"/>
      <c r="GR10" s="35"/>
      <c r="GS10" s="35"/>
      <c r="GT10" s="35"/>
      <c r="GU10" s="35"/>
      <c r="GV10" s="35"/>
      <c r="GW10" s="35"/>
      <c r="GX10" s="35"/>
      <c r="GY10" s="35"/>
      <c r="GZ10" s="35"/>
      <c r="HA10" s="35"/>
      <c r="HB10" s="35"/>
      <c r="HC10" s="35"/>
      <c r="HD10" s="35"/>
      <c r="HE10" s="35"/>
      <c r="HF10" s="35"/>
      <c r="HG10" s="35"/>
      <c r="HH10" s="35"/>
      <c r="HI10" s="35"/>
      <c r="HJ10" s="35"/>
      <c r="HK10" s="35"/>
      <c r="HL10" s="35"/>
      <c r="HM10" s="35"/>
      <c r="HN10" s="35"/>
      <c r="HO10" s="35"/>
      <c r="HP10" s="35"/>
      <c r="HQ10" s="35"/>
      <c r="HR10" s="35"/>
      <c r="HS10" s="35"/>
      <c r="HT10" s="35"/>
      <c r="HU10" s="35"/>
      <c r="HV10" s="35"/>
      <c r="HW10" s="35"/>
      <c r="HX10" s="35"/>
      <c r="HY10" s="35"/>
      <c r="HZ10" s="35"/>
      <c r="IA10" s="35"/>
      <c r="IB10" s="35"/>
      <c r="IC10" s="35"/>
      <c r="ID10" s="35"/>
      <c r="IE10" s="35"/>
      <c r="IF10" s="35"/>
      <c r="IG10" s="35"/>
      <c r="IH10" s="35"/>
      <c r="II10" s="35"/>
      <c r="IJ10" s="35"/>
      <c r="IK10" s="35"/>
      <c r="IL10" s="35"/>
      <c r="IM10" s="35"/>
      <c r="IN10" s="35"/>
      <c r="IO10" s="35"/>
      <c r="IP10" s="35"/>
      <c r="IQ10" s="35"/>
      <c r="IR10" s="35"/>
      <c r="IS10" s="35"/>
      <c r="IT10" s="35"/>
      <c r="IU10" s="35"/>
      <c r="IV10" s="35"/>
      <c r="IW10" s="35"/>
      <c r="IX10" s="35"/>
      <c r="IY10" s="35"/>
      <c r="IZ10" s="35"/>
      <c r="JA10" s="35"/>
      <c r="JB10" s="35"/>
      <c r="JC10" s="35"/>
      <c r="JD10" s="35"/>
      <c r="JE10" s="35"/>
      <c r="JF10" s="35"/>
      <c r="JG10" s="35"/>
      <c r="JH10" s="35"/>
      <c r="JI10" s="35"/>
      <c r="JJ10" s="35"/>
      <c r="JK10" s="35"/>
      <c r="JL10" s="35"/>
      <c r="JM10" s="35"/>
      <c r="JN10" s="35"/>
      <c r="JO10" s="35"/>
      <c r="JP10" s="35"/>
      <c r="JQ10" s="35"/>
      <c r="JR10" s="35"/>
      <c r="JS10" s="35"/>
      <c r="JT10" s="35"/>
      <c r="JU10" s="35"/>
      <c r="JV10" s="35"/>
      <c r="JW10" s="35"/>
      <c r="JX10" s="35"/>
      <c r="JY10" s="35"/>
      <c r="JZ10" s="35"/>
      <c r="KA10" s="35"/>
      <c r="KB10" s="35"/>
      <c r="KC10" s="35"/>
      <c r="KD10" s="35"/>
      <c r="KE10" s="35"/>
      <c r="KF10" s="35"/>
      <c r="KG10" s="35"/>
      <c r="KH10" s="35"/>
      <c r="KI10" s="35"/>
      <c r="KJ10" s="35"/>
      <c r="KK10" s="35"/>
      <c r="KL10" s="35"/>
      <c r="KM10" s="35"/>
      <c r="KN10" s="35"/>
      <c r="KO10" s="35"/>
      <c r="KP10" s="35"/>
      <c r="KQ10" s="35"/>
      <c r="KR10" s="35"/>
      <c r="KS10" s="35"/>
      <c r="KT10" s="35"/>
      <c r="KU10" s="35"/>
      <c r="KV10" s="35"/>
      <c r="KW10" s="35"/>
      <c r="KX10" s="35"/>
      <c r="KY10" s="35"/>
      <c r="KZ10" s="35"/>
      <c r="LA10" s="35"/>
      <c r="LB10" s="35"/>
      <c r="LC10" s="35"/>
      <c r="LD10" s="35"/>
      <c r="LE10" s="35"/>
      <c r="LF10" s="35"/>
      <c r="LG10" s="35"/>
      <c r="LH10" s="35"/>
      <c r="LI10" s="35"/>
      <c r="LJ10" s="35"/>
      <c r="LK10" s="35"/>
      <c r="LL10" s="35"/>
      <c r="LM10" s="35"/>
      <c r="LN10" s="35"/>
      <c r="LO10" s="35"/>
      <c r="LP10" s="35"/>
      <c r="LQ10" s="35"/>
      <c r="LR10" s="35"/>
      <c r="LS10" s="35"/>
      <c r="LT10" s="35"/>
      <c r="LU10" s="35"/>
      <c r="LV10" s="35"/>
      <c r="LW10" s="35"/>
      <c r="LX10" s="35"/>
      <c r="LY10" s="35"/>
      <c r="LZ10" s="35"/>
      <c r="MA10" s="35"/>
      <c r="MB10" s="35"/>
      <c r="MC10" s="35"/>
      <c r="MD10" s="35"/>
      <c r="ME10" s="35"/>
      <c r="MF10" s="35"/>
      <c r="MG10" s="35"/>
      <c r="MH10" s="35"/>
      <c r="MI10" s="35"/>
      <c r="MJ10" s="35"/>
      <c r="MK10" s="35"/>
      <c r="ML10" s="35"/>
      <c r="MM10" s="35"/>
      <c r="MN10" s="35"/>
      <c r="MO10" s="35"/>
      <c r="MP10" s="35"/>
      <c r="MQ10" s="35"/>
      <c r="MR10" s="35"/>
      <c r="MS10" s="35"/>
      <c r="MT10" s="35"/>
      <c r="MU10" s="35"/>
      <c r="MV10" s="35"/>
      <c r="MW10" s="35"/>
      <c r="MX10" s="35"/>
      <c r="MY10" s="35"/>
      <c r="MZ10" s="35"/>
      <c r="NA10" s="35"/>
      <c r="NB10" s="35"/>
      <c r="NC10" s="35"/>
      <c r="ND10" s="35"/>
      <c r="NE10" s="35"/>
      <c r="NF10" s="35"/>
      <c r="NG10" s="35"/>
      <c r="NH10" s="35"/>
      <c r="NI10" s="35"/>
      <c r="NJ10" s="35"/>
      <c r="NK10" s="35"/>
      <c r="NL10" s="35"/>
      <c r="NM10" s="35"/>
      <c r="NN10" s="35"/>
      <c r="NO10" s="35"/>
      <c r="NP10" s="35"/>
      <c r="NQ10" s="35"/>
      <c r="NR10" s="35"/>
      <c r="NS10" s="35"/>
      <c r="NT10" s="35"/>
      <c r="NU10" s="35"/>
      <c r="NV10" s="35"/>
      <c r="NW10" s="35"/>
      <c r="NX10" s="35"/>
      <c r="NY10" s="35"/>
      <c r="NZ10" s="35"/>
      <c r="OA10" s="35"/>
      <c r="OB10" s="35"/>
      <c r="OC10" s="35"/>
      <c r="OD10" s="35"/>
      <c r="OE10" s="35"/>
      <c r="OF10" s="35"/>
      <c r="OG10" s="35"/>
      <c r="OH10" s="35"/>
      <c r="OI10" s="35"/>
      <c r="OJ10" s="35"/>
      <c r="OK10" s="35"/>
      <c r="OL10" s="35"/>
      <c r="OM10" s="35"/>
      <c r="ON10" s="35"/>
      <c r="OO10" s="35"/>
      <c r="OP10" s="35"/>
      <c r="OQ10" s="35"/>
      <c r="OR10" s="35"/>
      <c r="OS10" s="35"/>
      <c r="OT10" s="35"/>
      <c r="OU10" s="35"/>
      <c r="OV10" s="35"/>
      <c r="OW10" s="35"/>
      <c r="OX10" s="35"/>
      <c r="OY10" s="35"/>
      <c r="OZ10" s="35"/>
      <c r="PA10" s="35"/>
      <c r="PB10" s="35"/>
      <c r="PC10" s="35"/>
      <c r="PD10" s="35"/>
      <c r="PE10" s="35"/>
      <c r="PF10" s="35"/>
      <c r="PG10" s="35"/>
      <c r="PH10" s="35"/>
      <c r="PI10" s="35"/>
      <c r="PJ10" s="35"/>
      <c r="PK10" s="35"/>
      <c r="PL10" s="35"/>
      <c r="PM10" s="35"/>
      <c r="PN10" s="35"/>
      <c r="PO10" s="35"/>
      <c r="PP10" s="35"/>
      <c r="PQ10" s="35"/>
      <c r="PR10" s="35"/>
      <c r="PS10" s="35"/>
      <c r="PT10" s="35"/>
      <c r="PU10" s="35"/>
      <c r="PV10" s="35"/>
      <c r="PW10" s="35"/>
      <c r="PX10" s="35"/>
      <c r="PY10" s="35"/>
      <c r="PZ10" s="35"/>
      <c r="QA10" s="35"/>
      <c r="QB10" s="35"/>
      <c r="QC10" s="35"/>
      <c r="QD10" s="35"/>
      <c r="QE10" s="35"/>
      <c r="QF10" s="35"/>
      <c r="QG10" s="35"/>
      <c r="QH10" s="35"/>
      <c r="QI10" s="35"/>
      <c r="QJ10" s="35"/>
      <c r="QK10" s="35"/>
      <c r="QL10" s="35"/>
      <c r="QM10" s="35"/>
      <c r="QN10" s="35"/>
      <c r="QO10" s="35"/>
      <c r="QP10" s="35"/>
      <c r="QQ10" s="35"/>
      <c r="QR10" s="35"/>
      <c r="QS10" s="35"/>
      <c r="QT10" s="35"/>
      <c r="QU10" s="35"/>
      <c r="QV10" s="35"/>
      <c r="QW10" s="35"/>
      <c r="QX10" s="35"/>
      <c r="QY10" s="35"/>
      <c r="QZ10" s="35"/>
      <c r="RA10" s="35"/>
      <c r="RB10" s="35"/>
      <c r="RC10" s="35"/>
      <c r="RD10" s="35"/>
      <c r="RE10" s="35"/>
      <c r="RF10" s="35"/>
      <c r="RG10" s="35"/>
      <c r="RH10" s="35"/>
      <c r="RI10" s="35"/>
      <c r="RJ10" s="35"/>
      <c r="RK10" s="35"/>
      <c r="RL10" s="35"/>
      <c r="RM10" s="35"/>
      <c r="RN10" s="35"/>
      <c r="RO10" s="35"/>
      <c r="RP10" s="35"/>
      <c r="RQ10" s="35"/>
      <c r="RR10" s="35"/>
      <c r="RS10" s="35"/>
      <c r="RT10" s="35"/>
      <c r="RU10" s="35"/>
      <c r="RV10" s="35"/>
      <c r="RW10" s="35"/>
      <c r="RX10" s="35"/>
      <c r="RY10" s="35"/>
      <c r="RZ10" s="35"/>
      <c r="SA10" s="35"/>
      <c r="SB10" s="35"/>
      <c r="SC10" s="35"/>
      <c r="SD10" s="35"/>
      <c r="SE10" s="35"/>
      <c r="SF10" s="35"/>
      <c r="SG10" s="35"/>
      <c r="SH10" s="35"/>
      <c r="SI10" s="35"/>
      <c r="SJ10" s="35"/>
      <c r="SK10" s="35"/>
      <c r="SL10" s="35"/>
      <c r="SM10" s="35"/>
      <c r="SN10" s="35"/>
      <c r="SO10" s="35"/>
      <c r="SP10" s="35"/>
      <c r="SQ10" s="35"/>
      <c r="SR10" s="35"/>
      <c r="SS10" s="35"/>
      <c r="ST10" s="35"/>
      <c r="SU10" s="35"/>
      <c r="SV10" s="35"/>
      <c r="SW10" s="35"/>
      <c r="SX10" s="35"/>
      <c r="SY10" s="35"/>
      <c r="SZ10" s="35"/>
      <c r="TA10" s="35"/>
      <c r="TB10" s="35"/>
      <c r="TC10" s="35"/>
      <c r="TD10" s="35"/>
      <c r="TE10" s="35"/>
      <c r="TF10" s="35"/>
      <c r="TG10" s="35"/>
      <c r="TH10" s="35"/>
      <c r="TI10" s="35"/>
      <c r="TJ10" s="35"/>
      <c r="TK10" s="35"/>
      <c r="TL10" s="35"/>
      <c r="TM10" s="35"/>
      <c r="TN10" s="35"/>
      <c r="TO10" s="35"/>
      <c r="TP10" s="35"/>
      <c r="TQ10" s="35"/>
      <c r="TR10" s="35"/>
      <c r="TS10" s="35"/>
      <c r="TT10" s="35"/>
      <c r="TU10" s="35"/>
      <c r="TV10" s="35"/>
      <c r="TW10" s="35"/>
      <c r="TX10" s="35"/>
      <c r="TY10" s="35"/>
      <c r="TZ10" s="35"/>
      <c r="UA10" s="35"/>
      <c r="UB10" s="35"/>
      <c r="UC10" s="35"/>
      <c r="UD10" s="35"/>
      <c r="UE10" s="35"/>
      <c r="UF10" s="35"/>
      <c r="UG10" s="35"/>
      <c r="UH10" s="35"/>
      <c r="UI10" s="35"/>
      <c r="UJ10" s="35"/>
      <c r="UK10" s="35"/>
      <c r="UL10" s="35"/>
      <c r="UM10" s="35"/>
      <c r="UN10" s="35"/>
      <c r="UO10" s="35"/>
      <c r="UP10" s="35"/>
      <c r="UQ10" s="35"/>
      <c r="UR10" s="35"/>
      <c r="US10" s="35"/>
      <c r="UT10" s="35"/>
      <c r="UU10" s="35"/>
      <c r="UV10" s="35"/>
      <c r="UW10" s="35"/>
      <c r="UX10" s="35"/>
      <c r="UY10" s="35"/>
      <c r="UZ10" s="35"/>
      <c r="VA10" s="35"/>
      <c r="VB10" s="35"/>
      <c r="VC10" s="35"/>
      <c r="VD10" s="35"/>
      <c r="VE10" s="35"/>
      <c r="VF10" s="35"/>
      <c r="VG10" s="35"/>
      <c r="VH10" s="35"/>
      <c r="VI10" s="35"/>
      <c r="VJ10" s="35"/>
      <c r="VK10" s="35"/>
      <c r="VL10" s="35"/>
      <c r="VM10" s="35"/>
      <c r="VN10" s="35"/>
      <c r="VO10" s="35"/>
      <c r="VP10" s="35"/>
      <c r="VQ10" s="35"/>
      <c r="VR10" s="35"/>
      <c r="VS10" s="35"/>
      <c r="VT10" s="35"/>
      <c r="VU10" s="35"/>
      <c r="VV10" s="35"/>
      <c r="VW10" s="35"/>
      <c r="VX10" s="35"/>
      <c r="VY10" s="35"/>
      <c r="VZ10" s="35"/>
      <c r="WA10" s="35"/>
      <c r="WB10" s="35"/>
      <c r="WC10" s="35"/>
      <c r="WD10" s="35"/>
      <c r="WE10" s="35"/>
      <c r="WF10" s="35"/>
      <c r="WG10" s="35"/>
      <c r="WH10" s="35"/>
      <c r="WI10" s="35"/>
      <c r="WJ10" s="35"/>
      <c r="WK10" s="35"/>
      <c r="WL10" s="35"/>
      <c r="WM10" s="35"/>
      <c r="WN10" s="35"/>
      <c r="WO10" s="35"/>
      <c r="WP10" s="35"/>
      <c r="WQ10" s="35"/>
      <c r="WR10" s="35"/>
      <c r="WS10" s="35"/>
      <c r="WT10" s="35"/>
      <c r="WU10" s="35"/>
      <c r="WV10" s="35"/>
      <c r="WW10" s="35"/>
      <c r="WX10" s="35"/>
      <c r="WY10" s="35"/>
      <c r="WZ10" s="35"/>
      <c r="XA10" s="35"/>
      <c r="XB10" s="35"/>
      <c r="XC10" s="35"/>
      <c r="XD10" s="35"/>
      <c r="XE10" s="35"/>
      <c r="XF10" s="35"/>
      <c r="XG10" s="35"/>
      <c r="XH10" s="35"/>
      <c r="XI10" s="35"/>
      <c r="XJ10" s="35"/>
      <c r="XK10" s="35"/>
      <c r="XL10" s="35"/>
      <c r="XM10" s="35"/>
      <c r="XN10" s="35"/>
      <c r="XO10" s="35"/>
      <c r="XP10" s="35"/>
      <c r="XQ10" s="35"/>
      <c r="XR10" s="35"/>
      <c r="XS10" s="35"/>
      <c r="XT10" s="35"/>
      <c r="XU10" s="35"/>
      <c r="XV10" s="35"/>
      <c r="XW10" s="35"/>
      <c r="XX10" s="35"/>
      <c r="XY10" s="35"/>
      <c r="XZ10" s="35"/>
      <c r="YA10" s="35"/>
      <c r="YB10" s="35"/>
      <c r="YC10" s="35"/>
      <c r="YD10" s="35"/>
      <c r="YE10" s="35"/>
      <c r="YF10" s="35"/>
      <c r="YG10" s="35"/>
      <c r="YH10" s="35"/>
      <c r="YI10" s="35"/>
      <c r="YJ10" s="35"/>
      <c r="YK10" s="35"/>
      <c r="YL10" s="35"/>
      <c r="YM10" s="35"/>
      <c r="YN10" s="35"/>
      <c r="YO10" s="35"/>
      <c r="YP10" s="35"/>
      <c r="YQ10" s="35"/>
      <c r="YR10" s="35"/>
      <c r="YS10" s="35"/>
      <c r="YT10" s="35"/>
      <c r="YU10" s="35"/>
      <c r="YV10" s="35"/>
      <c r="YW10" s="35"/>
      <c r="YX10" s="35"/>
      <c r="YY10" s="35"/>
      <c r="YZ10" s="35"/>
      <c r="ZA10" s="35"/>
      <c r="ZB10" s="35"/>
      <c r="ZC10" s="35"/>
      <c r="ZD10" s="35"/>
      <c r="ZE10" s="35"/>
      <c r="ZF10" s="35"/>
      <c r="ZG10" s="35"/>
      <c r="ZH10" s="35"/>
      <c r="ZI10" s="35"/>
      <c r="ZJ10" s="35"/>
      <c r="ZK10" s="35"/>
      <c r="ZL10" s="35"/>
      <c r="ZM10" s="35"/>
      <c r="ZN10" s="35"/>
      <c r="ZO10" s="35"/>
      <c r="ZP10" s="35"/>
      <c r="ZQ10" s="35"/>
      <c r="ZR10" s="35"/>
      <c r="ZS10" s="35"/>
      <c r="ZT10" s="35"/>
      <c r="ZU10" s="35"/>
      <c r="ZV10" s="35"/>
      <c r="ZW10" s="35"/>
      <c r="ZX10" s="35"/>
      <c r="ZY10" s="35"/>
      <c r="ZZ10" s="35"/>
      <c r="AAA10" s="35"/>
      <c r="AAB10" s="35"/>
      <c r="AAC10" s="35"/>
      <c r="AAD10" s="35"/>
      <c r="AAE10" s="35"/>
      <c r="AAF10" s="35"/>
      <c r="AAG10" s="35"/>
      <c r="AAH10" s="35"/>
      <c r="AAI10" s="35"/>
      <c r="AAJ10" s="35"/>
      <c r="AAK10" s="35"/>
      <c r="AAL10" s="35"/>
      <c r="AAM10" s="35"/>
      <c r="AAN10" s="35"/>
      <c r="AAO10" s="35"/>
      <c r="AAP10" s="35"/>
      <c r="AAQ10" s="35"/>
      <c r="AAR10" s="35"/>
      <c r="AAS10" s="35"/>
      <c r="AAT10" s="35"/>
      <c r="AAU10" s="35"/>
      <c r="AAV10" s="35"/>
      <c r="AAW10" s="35"/>
      <c r="AAX10" s="35"/>
      <c r="AAY10" s="35"/>
      <c r="AAZ10" s="35"/>
      <c r="ABA10" s="35"/>
      <c r="ABB10" s="35"/>
      <c r="ABC10" s="35"/>
      <c r="ABD10" s="35"/>
      <c r="ABE10" s="35"/>
      <c r="ABF10" s="35"/>
      <c r="ABG10" s="35"/>
      <c r="ABH10" s="35"/>
      <c r="ABI10" s="35"/>
      <c r="ABJ10" s="35"/>
      <c r="ABK10" s="35"/>
      <c r="ABL10" s="35"/>
      <c r="ABM10" s="35"/>
      <c r="ABN10" s="35"/>
      <c r="ABO10" s="35"/>
      <c r="ABP10" s="35"/>
      <c r="ABQ10" s="35"/>
      <c r="ABR10" s="35"/>
      <c r="ABS10" s="35"/>
      <c r="ABT10" s="35"/>
      <c r="ABU10" s="35"/>
      <c r="ABV10" s="35"/>
      <c r="ABW10" s="35"/>
      <c r="ABX10" s="35"/>
      <c r="ABY10" s="35"/>
      <c r="ABZ10" s="35"/>
      <c r="ACA10" s="35"/>
      <c r="ACB10" s="35"/>
      <c r="ACC10" s="35"/>
      <c r="ACD10" s="35"/>
      <c r="ACE10" s="35"/>
      <c r="ACF10" s="35"/>
      <c r="ACG10" s="35"/>
      <c r="ACH10" s="35"/>
      <c r="ACI10" s="35"/>
      <c r="ACJ10" s="35"/>
      <c r="ACK10" s="35"/>
      <c r="ACL10" s="35"/>
      <c r="ACM10" s="35"/>
      <c r="ACN10" s="35"/>
      <c r="ACO10" s="35"/>
      <c r="ACP10" s="35"/>
      <c r="ACQ10" s="35"/>
      <c r="ACR10" s="35"/>
      <c r="ACS10" s="35"/>
      <c r="ACT10" s="35"/>
      <c r="ACU10" s="35"/>
      <c r="ACV10" s="35"/>
      <c r="ACW10" s="35"/>
      <c r="ACX10" s="35"/>
      <c r="ACY10" s="35"/>
      <c r="ACZ10" s="35"/>
      <c r="ADA10" s="35"/>
      <c r="ADB10" s="35"/>
      <c r="ADC10" s="35"/>
      <c r="ADD10" s="35"/>
      <c r="ADE10" s="35"/>
      <c r="ADF10" s="35"/>
      <c r="ADG10" s="35"/>
      <c r="ADH10" s="35"/>
      <c r="ADI10" s="35"/>
      <c r="ADJ10" s="35"/>
      <c r="ADK10" s="35"/>
      <c r="ADL10" s="35"/>
      <c r="ADM10" s="35"/>
      <c r="ADN10" s="35"/>
      <c r="ADO10" s="35"/>
      <c r="ADP10" s="35"/>
      <c r="ADQ10" s="35"/>
      <c r="ADR10" s="35"/>
      <c r="ADS10" s="35"/>
      <c r="ADT10" s="35"/>
      <c r="ADU10" s="35"/>
      <c r="ADV10" s="35"/>
      <c r="ADW10" s="35"/>
      <c r="ADX10" s="35"/>
      <c r="ADY10" s="35"/>
      <c r="ADZ10" s="35"/>
      <c r="AEA10" s="35"/>
      <c r="AEB10" s="35"/>
      <c r="AEC10" s="35"/>
      <c r="AED10" s="35"/>
      <c r="AEE10" s="35"/>
      <c r="AEF10" s="35"/>
      <c r="AEG10" s="35"/>
      <c r="AEH10" s="35"/>
      <c r="AEI10" s="35"/>
      <c r="AEJ10" s="35"/>
      <c r="AEK10" s="35"/>
      <c r="AEL10" s="35"/>
      <c r="AEM10" s="35"/>
      <c r="AEN10" s="35"/>
      <c r="AEO10" s="35"/>
      <c r="AEP10" s="35"/>
      <c r="AEQ10" s="35"/>
      <c r="AER10" s="35"/>
      <c r="AES10" s="35"/>
      <c r="AET10" s="35"/>
      <c r="AEU10" s="35"/>
      <c r="AEV10" s="35"/>
      <c r="AEW10" s="35"/>
      <c r="AEX10" s="35"/>
      <c r="AEY10" s="35"/>
      <c r="AEZ10" s="35"/>
      <c r="AFA10" s="35"/>
      <c r="AFB10" s="35"/>
      <c r="AFC10" s="35"/>
      <c r="AFD10" s="35"/>
      <c r="AFE10" s="35"/>
      <c r="AFF10" s="35"/>
      <c r="AFG10" s="35"/>
      <c r="AFH10" s="35"/>
      <c r="AFI10" s="35"/>
      <c r="AFJ10" s="35"/>
      <c r="AFK10" s="35"/>
      <c r="AFL10" s="35"/>
      <c r="AFM10" s="35"/>
      <c r="AFN10" s="35"/>
      <c r="AFO10" s="35"/>
      <c r="AFP10" s="35"/>
      <c r="AFQ10" s="35"/>
      <c r="AFR10" s="35"/>
      <c r="AFS10" s="35"/>
      <c r="AFT10" s="35"/>
      <c r="AFU10" s="35"/>
      <c r="AFV10" s="35"/>
      <c r="AFW10" s="35"/>
      <c r="AFX10" s="35"/>
      <c r="AFY10" s="35"/>
      <c r="AFZ10" s="35"/>
      <c r="AGA10" s="35"/>
      <c r="AGB10" s="35"/>
      <c r="AGC10" s="35"/>
      <c r="AGD10" s="35"/>
      <c r="AGE10" s="35"/>
      <c r="AGF10" s="35"/>
      <c r="AGG10" s="35"/>
      <c r="AGH10" s="35"/>
      <c r="AGI10" s="35"/>
      <c r="AGJ10" s="35"/>
      <c r="AGK10" s="35"/>
      <c r="AGL10" s="35"/>
      <c r="AGM10" s="35"/>
      <c r="AGN10" s="35"/>
      <c r="AGO10" s="35"/>
      <c r="AGP10" s="35"/>
      <c r="AGQ10" s="35"/>
      <c r="AGR10" s="35"/>
      <c r="AGS10" s="35"/>
      <c r="AGT10" s="35"/>
      <c r="AGU10" s="35"/>
      <c r="AGV10" s="35"/>
      <c r="AGW10" s="35"/>
      <c r="AGX10" s="35"/>
      <c r="AGY10" s="35"/>
      <c r="AGZ10" s="35"/>
      <c r="AHA10" s="35"/>
      <c r="AHB10" s="35"/>
      <c r="AHC10" s="35"/>
      <c r="AHD10" s="35"/>
      <c r="AHE10" s="35"/>
      <c r="AHF10" s="35"/>
      <c r="AHG10" s="35"/>
      <c r="AHH10" s="35"/>
      <c r="AHI10" s="35"/>
      <c r="AHJ10" s="35"/>
      <c r="AHK10" s="35"/>
      <c r="AHL10" s="35"/>
      <c r="AHM10" s="35"/>
      <c r="AHN10" s="35"/>
      <c r="AHO10" s="35"/>
      <c r="AHP10" s="35"/>
      <c r="AHQ10" s="35"/>
      <c r="AHR10" s="35"/>
      <c r="AHS10" s="35"/>
      <c r="AHT10" s="35"/>
      <c r="AHU10" s="35"/>
      <c r="AHV10" s="35"/>
      <c r="AHW10" s="35"/>
      <c r="AHX10" s="35"/>
      <c r="AHY10" s="35"/>
      <c r="AHZ10" s="35"/>
      <c r="AIA10" s="35"/>
      <c r="AIB10" s="35"/>
      <c r="AIC10" s="35"/>
      <c r="AID10" s="35"/>
      <c r="AIE10" s="35"/>
      <c r="AIF10" s="35"/>
      <c r="AIG10" s="35"/>
      <c r="AIH10" s="35"/>
      <c r="AII10" s="35"/>
      <c r="AIJ10" s="35"/>
      <c r="AIK10" s="35"/>
      <c r="AIL10" s="35"/>
      <c r="AIM10" s="35"/>
      <c r="AIN10" s="35"/>
      <c r="AIO10" s="35"/>
      <c r="AIP10" s="35"/>
      <c r="AIQ10" s="35"/>
      <c r="AIR10" s="35"/>
      <c r="AIS10" s="35"/>
      <c r="AIT10" s="35"/>
      <c r="AIU10" s="35"/>
      <c r="AIV10" s="35"/>
      <c r="AIW10" s="35"/>
      <c r="AIX10" s="35"/>
      <c r="AIY10" s="35"/>
      <c r="AIZ10" s="35"/>
      <c r="AJA10" s="35"/>
      <c r="AJB10" s="35"/>
      <c r="AJC10" s="35"/>
      <c r="AJD10" s="35"/>
      <c r="AJE10" s="35"/>
      <c r="AJF10" s="35"/>
      <c r="AJG10" s="35"/>
      <c r="AJH10" s="35"/>
      <c r="AJI10" s="35"/>
      <c r="AJJ10" s="35"/>
      <c r="AJK10" s="35"/>
      <c r="AJL10" s="35"/>
      <c r="AJM10" s="35"/>
      <c r="AJN10" s="35"/>
      <c r="AJO10" s="35"/>
      <c r="AJP10" s="35"/>
      <c r="AJQ10" s="35"/>
      <c r="AJR10" s="35"/>
      <c r="AJS10" s="35"/>
      <c r="AJT10" s="35"/>
      <c r="AJU10" s="35"/>
      <c r="AJV10" s="35"/>
      <c r="AJW10" s="35"/>
      <c r="AJX10" s="35"/>
      <c r="AJY10" s="35"/>
      <c r="AJZ10" s="35"/>
      <c r="AKA10" s="35"/>
      <c r="AKB10" s="35"/>
      <c r="AKC10" s="35"/>
      <c r="AKD10" s="35"/>
      <c r="AKE10" s="35"/>
      <c r="AKF10" s="35"/>
      <c r="AKG10" s="35"/>
      <c r="AKH10" s="35"/>
      <c r="AKI10" s="35"/>
      <c r="AKJ10" s="35"/>
      <c r="AKK10" s="35"/>
      <c r="AKL10" s="35"/>
      <c r="AKM10" s="35"/>
      <c r="AKN10" s="35"/>
      <c r="AKO10" s="35"/>
      <c r="AKP10" s="35"/>
      <c r="AKQ10" s="35"/>
      <c r="AKR10" s="35"/>
      <c r="AKS10" s="35"/>
      <c r="AKT10" s="35"/>
      <c r="AKU10" s="35"/>
      <c r="AKV10" s="35"/>
      <c r="AKW10" s="35"/>
      <c r="AKX10" s="35"/>
      <c r="AKY10" s="35"/>
      <c r="AKZ10" s="35"/>
      <c r="ALA10" s="35"/>
      <c r="ALB10" s="35"/>
      <c r="ALC10" s="35"/>
      <c r="ALD10" s="35"/>
      <c r="ALE10" s="35"/>
      <c r="ALF10" s="35"/>
      <c r="ALG10" s="35"/>
      <c r="ALH10" s="35"/>
      <c r="ALI10" s="35"/>
      <c r="ALJ10" s="35"/>
      <c r="ALK10" s="35"/>
      <c r="ALL10" s="35"/>
      <c r="ALM10" s="35"/>
      <c r="ALN10" s="35"/>
      <c r="ALO10" s="35"/>
      <c r="ALP10" s="35"/>
      <c r="ALQ10" s="35"/>
      <c r="ALR10" s="35"/>
      <c r="ALS10" s="35"/>
      <c r="ALT10" s="35"/>
      <c r="ALU10" s="35"/>
      <c r="ALV10" s="35"/>
      <c r="ALW10" s="35"/>
      <c r="ALX10" s="35"/>
      <c r="ALY10" s="35"/>
    </row>
    <row r="11" customFormat="false" ht="12.8" hidden="false" customHeight="true" outlineLevel="0" collapsed="false">
      <c r="A11" s="40"/>
      <c r="B11" s="40"/>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t="s">
        <v>364</v>
      </c>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c r="JI11" s="35"/>
      <c r="JJ11" s="35"/>
      <c r="JK11" s="35"/>
      <c r="JL11" s="35"/>
      <c r="JM11" s="35"/>
      <c r="JN11" s="35"/>
      <c r="JO11" s="35"/>
      <c r="JP11" s="35"/>
      <c r="JQ11" s="35"/>
      <c r="JR11" s="35"/>
      <c r="JS11" s="35"/>
      <c r="JT11" s="35"/>
      <c r="JU11" s="35"/>
      <c r="JV11" s="35"/>
      <c r="JW11" s="35"/>
      <c r="JX11" s="35"/>
      <c r="JY11" s="35"/>
      <c r="JZ11" s="35"/>
      <c r="KA11" s="35"/>
      <c r="KB11" s="35"/>
      <c r="KC11" s="35"/>
      <c r="KD11" s="35"/>
      <c r="KE11" s="35"/>
      <c r="KF11" s="35"/>
      <c r="KG11" s="35"/>
      <c r="KH11" s="35"/>
      <c r="KI11" s="35"/>
      <c r="KJ11" s="35"/>
      <c r="KK11" s="35"/>
      <c r="KL11" s="35"/>
      <c r="KM11" s="35"/>
      <c r="KN11" s="35"/>
      <c r="KO11" s="35"/>
      <c r="KP11" s="35"/>
      <c r="KQ11" s="35"/>
      <c r="KR11" s="35"/>
      <c r="KS11" s="35"/>
      <c r="KT11" s="35"/>
      <c r="KU11" s="35"/>
      <c r="KV11" s="35"/>
      <c r="KW11" s="35"/>
      <c r="KX11" s="35"/>
      <c r="KY11" s="35"/>
      <c r="KZ11" s="35"/>
      <c r="LA11" s="35"/>
      <c r="LB11" s="35"/>
      <c r="LC11" s="35"/>
      <c r="LD11" s="35"/>
      <c r="LE11" s="35"/>
      <c r="LF11" s="35"/>
      <c r="LG11" s="35"/>
      <c r="LH11" s="35"/>
      <c r="LI11" s="35"/>
      <c r="LJ11" s="35"/>
      <c r="LK11" s="35"/>
      <c r="LL11" s="35"/>
      <c r="LM11" s="35"/>
      <c r="LN11" s="35"/>
      <c r="LO11" s="35"/>
      <c r="LP11" s="35"/>
      <c r="LQ11" s="35"/>
      <c r="LR11" s="35"/>
      <c r="LS11" s="35"/>
      <c r="LT11" s="35"/>
      <c r="LU11" s="35"/>
      <c r="LV11" s="35"/>
      <c r="LW11" s="35"/>
      <c r="LX11" s="35"/>
      <c r="LY11" s="35"/>
      <c r="LZ11" s="35"/>
      <c r="MA11" s="35"/>
      <c r="MB11" s="35"/>
      <c r="MC11" s="35"/>
      <c r="MD11" s="35"/>
      <c r="ME11" s="35"/>
      <c r="MF11" s="35"/>
      <c r="MG11" s="35"/>
      <c r="MH11" s="35"/>
      <c r="MI11" s="35"/>
      <c r="MJ11" s="35"/>
      <c r="MK11" s="35"/>
      <c r="ML11" s="35"/>
      <c r="MM11" s="35"/>
      <c r="MN11" s="35"/>
      <c r="MO11" s="35"/>
      <c r="MP11" s="35"/>
      <c r="MQ11" s="35"/>
      <c r="MR11" s="35"/>
      <c r="MS11" s="35"/>
      <c r="MT11" s="35"/>
      <c r="MU11" s="35"/>
      <c r="MV11" s="35"/>
      <c r="MW11" s="35"/>
      <c r="MX11" s="35"/>
      <c r="MY11" s="35"/>
      <c r="MZ11" s="35"/>
      <c r="NA11" s="35"/>
      <c r="NB11" s="35"/>
      <c r="NC11" s="35"/>
      <c r="ND11" s="35"/>
      <c r="NE11" s="35"/>
      <c r="NF11" s="35"/>
      <c r="NG11" s="35"/>
      <c r="NH11" s="35"/>
      <c r="NI11" s="35"/>
      <c r="NJ11" s="35"/>
      <c r="NK11" s="35"/>
      <c r="NL11" s="35"/>
      <c r="NM11" s="35"/>
      <c r="NN11" s="35"/>
      <c r="NO11" s="35"/>
      <c r="NP11" s="35"/>
      <c r="NQ11" s="35"/>
      <c r="NR11" s="35"/>
      <c r="NS11" s="35"/>
      <c r="NT11" s="35"/>
      <c r="NU11" s="35"/>
      <c r="NV11" s="35"/>
      <c r="NW11" s="35"/>
      <c r="NX11" s="35"/>
      <c r="NY11" s="35"/>
      <c r="NZ11" s="35"/>
      <c r="OA11" s="35"/>
      <c r="OB11" s="35"/>
      <c r="OC11" s="35"/>
      <c r="OD11" s="35"/>
      <c r="OE11" s="35"/>
      <c r="OF11" s="35"/>
      <c r="OG11" s="35"/>
      <c r="OH11" s="35"/>
      <c r="OI11" s="35"/>
      <c r="OJ11" s="35"/>
      <c r="OK11" s="35"/>
      <c r="OL11" s="35"/>
      <c r="OM11" s="35"/>
      <c r="ON11" s="35"/>
      <c r="OO11" s="35"/>
      <c r="OP11" s="35"/>
      <c r="OQ11" s="35"/>
      <c r="OR11" s="35"/>
      <c r="OS11" s="35"/>
      <c r="OT11" s="35"/>
      <c r="OU11" s="35"/>
      <c r="OV11" s="35"/>
      <c r="OW11" s="35"/>
      <c r="OX11" s="35"/>
      <c r="OY11" s="35"/>
      <c r="OZ11" s="35"/>
      <c r="PA11" s="35"/>
      <c r="PB11" s="35"/>
      <c r="PC11" s="35"/>
      <c r="PD11" s="35"/>
      <c r="PE11" s="35"/>
      <c r="PF11" s="35"/>
      <c r="PG11" s="35"/>
      <c r="PH11" s="35"/>
      <c r="PI11" s="35"/>
      <c r="PJ11" s="35"/>
      <c r="PK11" s="35"/>
      <c r="PL11" s="35"/>
      <c r="PM11" s="35"/>
      <c r="PN11" s="35"/>
      <c r="PO11" s="35"/>
      <c r="PP11" s="35"/>
      <c r="PQ11" s="35"/>
      <c r="PR11" s="35"/>
      <c r="PS11" s="35"/>
      <c r="PT11" s="35"/>
      <c r="PU11" s="35"/>
      <c r="PV11" s="35"/>
      <c r="PW11" s="35"/>
      <c r="PX11" s="35"/>
      <c r="PY11" s="35"/>
      <c r="PZ11" s="35"/>
      <c r="QA11" s="35"/>
      <c r="QB11" s="35"/>
      <c r="QC11" s="35"/>
      <c r="QD11" s="35"/>
      <c r="QE11" s="35"/>
      <c r="QF11" s="35"/>
      <c r="QG11" s="35"/>
      <c r="QH11" s="35"/>
      <c r="QI11" s="35"/>
      <c r="QJ11" s="35"/>
      <c r="QK11" s="35"/>
      <c r="QL11" s="35"/>
      <c r="QM11" s="35"/>
      <c r="QN11" s="35"/>
      <c r="QO11" s="35"/>
      <c r="QP11" s="35"/>
      <c r="QQ11" s="35"/>
      <c r="QR11" s="35"/>
      <c r="QS11" s="35"/>
      <c r="QT11" s="35"/>
      <c r="QU11" s="35"/>
      <c r="QV11" s="35"/>
      <c r="QW11" s="35"/>
      <c r="QX11" s="35"/>
      <c r="QY11" s="35"/>
      <c r="QZ11" s="35"/>
      <c r="RA11" s="35"/>
      <c r="RB11" s="35"/>
      <c r="RC11" s="35"/>
      <c r="RD11" s="35"/>
      <c r="RE11" s="35"/>
      <c r="RF11" s="35"/>
      <c r="RG11" s="35"/>
      <c r="RH11" s="35"/>
      <c r="RI11" s="35"/>
      <c r="RJ11" s="35"/>
      <c r="RK11" s="35"/>
      <c r="RL11" s="35"/>
      <c r="RM11" s="35"/>
      <c r="RN11" s="35"/>
      <c r="RO11" s="35"/>
      <c r="RP11" s="35"/>
      <c r="RQ11" s="35"/>
      <c r="RR11" s="35"/>
      <c r="RS11" s="35"/>
      <c r="RT11" s="35"/>
      <c r="RU11" s="35"/>
      <c r="RV11" s="35"/>
      <c r="RW11" s="35"/>
      <c r="RX11" s="35"/>
      <c r="RY11" s="35"/>
      <c r="RZ11" s="35"/>
      <c r="SA11" s="35"/>
      <c r="SB11" s="35"/>
      <c r="SC11" s="35"/>
      <c r="SD11" s="35"/>
      <c r="SE11" s="35"/>
      <c r="SF11" s="35"/>
      <c r="SG11" s="35"/>
      <c r="SH11" s="35"/>
      <c r="SI11" s="35"/>
      <c r="SJ11" s="35"/>
      <c r="SK11" s="35"/>
      <c r="SL11" s="35"/>
      <c r="SM11" s="35"/>
      <c r="SN11" s="35"/>
      <c r="SO11" s="35"/>
      <c r="SP11" s="35"/>
      <c r="SQ11" s="35"/>
      <c r="SR11" s="35"/>
      <c r="SS11" s="35"/>
      <c r="ST11" s="35"/>
      <c r="SU11" s="35"/>
      <c r="SV11" s="35"/>
      <c r="SW11" s="35"/>
      <c r="SX11" s="35"/>
      <c r="SY11" s="35"/>
      <c r="SZ11" s="35"/>
      <c r="TA11" s="35"/>
      <c r="TB11" s="35"/>
      <c r="TC11" s="35"/>
      <c r="TD11" s="35"/>
      <c r="TE11" s="35"/>
      <c r="TF11" s="35"/>
      <c r="TG11" s="35"/>
      <c r="TH11" s="35"/>
      <c r="TI11" s="35"/>
      <c r="TJ11" s="35"/>
      <c r="TK11" s="35"/>
      <c r="TL11" s="35"/>
      <c r="TM11" s="35"/>
      <c r="TN11" s="35"/>
      <c r="TO11" s="35"/>
      <c r="TP11" s="35"/>
      <c r="TQ11" s="35"/>
      <c r="TR11" s="35"/>
      <c r="TS11" s="35"/>
      <c r="TT11" s="35"/>
      <c r="TU11" s="35"/>
      <c r="TV11" s="35"/>
      <c r="TW11" s="35"/>
      <c r="TX11" s="35"/>
      <c r="TY11" s="35"/>
      <c r="TZ11" s="35"/>
      <c r="UA11" s="35"/>
      <c r="UB11" s="35"/>
      <c r="UC11" s="35"/>
      <c r="UD11" s="35"/>
      <c r="UE11" s="35"/>
      <c r="UF11" s="35"/>
      <c r="UG11" s="35"/>
      <c r="UH11" s="35"/>
      <c r="UI11" s="35"/>
      <c r="UJ11" s="35"/>
      <c r="UK11" s="35"/>
      <c r="UL11" s="35"/>
      <c r="UM11" s="35"/>
      <c r="UN11" s="35"/>
      <c r="UO11" s="35"/>
      <c r="UP11" s="35"/>
      <c r="UQ11" s="35"/>
      <c r="UR11" s="35"/>
      <c r="US11" s="35"/>
      <c r="UT11" s="35"/>
      <c r="UU11" s="35"/>
      <c r="UV11" s="35"/>
      <c r="UW11" s="35"/>
      <c r="UX11" s="35"/>
      <c r="UY11" s="35"/>
      <c r="UZ11" s="35"/>
      <c r="VA11" s="35"/>
      <c r="VB11" s="35"/>
      <c r="VC11" s="35"/>
      <c r="VD11" s="35"/>
      <c r="VE11" s="35"/>
      <c r="VF11" s="35"/>
      <c r="VG11" s="35"/>
      <c r="VH11" s="35"/>
      <c r="VI11" s="35"/>
      <c r="VJ11" s="35"/>
      <c r="VK11" s="35"/>
      <c r="VL11" s="35"/>
      <c r="VM11" s="35"/>
      <c r="VN11" s="35"/>
      <c r="VO11" s="35"/>
      <c r="VP11" s="35"/>
      <c r="VQ11" s="35"/>
      <c r="VR11" s="35"/>
      <c r="VS11" s="35"/>
      <c r="VT11" s="35"/>
      <c r="VU11" s="35"/>
      <c r="VV11" s="35"/>
      <c r="VW11" s="35"/>
      <c r="VX11" s="35"/>
      <c r="VY11" s="35"/>
      <c r="VZ11" s="35"/>
      <c r="WA11" s="35"/>
      <c r="WB11" s="35"/>
      <c r="WC11" s="35"/>
      <c r="WD11" s="35"/>
      <c r="WE11" s="35"/>
      <c r="WF11" s="35"/>
      <c r="WG11" s="35"/>
      <c r="WH11" s="35"/>
      <c r="WI11" s="35"/>
      <c r="WJ11" s="35"/>
      <c r="WK11" s="35"/>
      <c r="WL11" s="35"/>
      <c r="WM11" s="35"/>
      <c r="WN11" s="35"/>
      <c r="WO11" s="35"/>
      <c r="WP11" s="35"/>
      <c r="WQ11" s="35"/>
      <c r="WR11" s="35"/>
      <c r="WS11" s="35"/>
      <c r="WT11" s="35"/>
      <c r="WU11" s="35"/>
      <c r="WV11" s="35"/>
      <c r="WW11" s="35"/>
      <c r="WX11" s="35"/>
      <c r="WY11" s="35"/>
      <c r="WZ11" s="35"/>
      <c r="XA11" s="35"/>
      <c r="XB11" s="35"/>
      <c r="XC11" s="35"/>
      <c r="XD11" s="35"/>
      <c r="XE11" s="35"/>
      <c r="XF11" s="35"/>
      <c r="XG11" s="35"/>
      <c r="XH11" s="35"/>
      <c r="XI11" s="35"/>
      <c r="XJ11" s="35"/>
      <c r="XK11" s="35"/>
      <c r="XL11" s="35"/>
      <c r="XM11" s="35"/>
      <c r="XN11" s="35"/>
      <c r="XO11" s="35"/>
      <c r="XP11" s="35"/>
      <c r="XQ11" s="35"/>
      <c r="XR11" s="35"/>
      <c r="XS11" s="35"/>
      <c r="XT11" s="35"/>
      <c r="XU11" s="35"/>
      <c r="XV11" s="35"/>
      <c r="XW11" s="35"/>
      <c r="XX11" s="35"/>
      <c r="XY11" s="35"/>
      <c r="XZ11" s="35"/>
      <c r="YA11" s="35"/>
      <c r="YB11" s="35"/>
      <c r="YC11" s="35"/>
      <c r="YD11" s="35"/>
      <c r="YE11" s="35"/>
      <c r="YF11" s="35"/>
      <c r="YG11" s="35"/>
      <c r="YH11" s="35"/>
      <c r="YI11" s="35"/>
      <c r="YJ11" s="35"/>
      <c r="YK11" s="35"/>
      <c r="YL11" s="35"/>
      <c r="YM11" s="35"/>
      <c r="YN11" s="35"/>
      <c r="YO11" s="35"/>
      <c r="YP11" s="35"/>
      <c r="YQ11" s="35"/>
      <c r="YR11" s="35"/>
      <c r="YS11" s="35"/>
      <c r="YT11" s="35"/>
      <c r="YU11" s="35"/>
      <c r="YV11" s="35"/>
      <c r="YW11" s="35"/>
      <c r="YX11" s="35"/>
      <c r="YY11" s="35"/>
      <c r="YZ11" s="35"/>
      <c r="ZA11" s="35"/>
      <c r="ZB11" s="35"/>
      <c r="ZC11" s="35"/>
      <c r="ZD11" s="35"/>
      <c r="ZE11" s="35"/>
      <c r="ZF11" s="35"/>
      <c r="ZG11" s="35"/>
      <c r="ZH11" s="35"/>
      <c r="ZI11" s="35"/>
      <c r="ZJ11" s="35"/>
      <c r="ZK11" s="35"/>
      <c r="ZL11" s="35"/>
      <c r="ZM11" s="35"/>
      <c r="ZN11" s="35"/>
      <c r="ZO11" s="35"/>
      <c r="ZP11" s="35"/>
      <c r="ZQ11" s="35"/>
      <c r="ZR11" s="35"/>
      <c r="ZS11" s="35"/>
      <c r="ZT11" s="35"/>
      <c r="ZU11" s="35"/>
      <c r="ZV11" s="35"/>
      <c r="ZW11" s="35"/>
      <c r="ZX11" s="35"/>
      <c r="ZY11" s="35"/>
      <c r="ZZ11" s="35"/>
      <c r="AAA11" s="35"/>
      <c r="AAB11" s="35"/>
      <c r="AAC11" s="35"/>
      <c r="AAD11" s="35"/>
      <c r="AAE11" s="35"/>
      <c r="AAF11" s="35"/>
      <c r="AAG11" s="35"/>
      <c r="AAH11" s="35"/>
      <c r="AAI11" s="35"/>
      <c r="AAJ11" s="35"/>
      <c r="AAK11" s="35"/>
      <c r="AAL11" s="35"/>
      <c r="AAM11" s="35"/>
      <c r="AAN11" s="35"/>
      <c r="AAO11" s="35"/>
      <c r="AAP11" s="35"/>
      <c r="AAQ11" s="35"/>
      <c r="AAR11" s="35"/>
      <c r="AAS11" s="35"/>
      <c r="AAT11" s="35"/>
      <c r="AAU11" s="35"/>
      <c r="AAV11" s="35"/>
      <c r="AAW11" s="35"/>
      <c r="AAX11" s="35"/>
      <c r="AAY11" s="35"/>
      <c r="AAZ11" s="35"/>
      <c r="ABA11" s="35"/>
      <c r="ABB11" s="35"/>
      <c r="ABC11" s="35"/>
      <c r="ABD11" s="35"/>
      <c r="ABE11" s="35"/>
      <c r="ABF11" s="35"/>
      <c r="ABG11" s="35"/>
      <c r="ABH11" s="35"/>
      <c r="ABI11" s="35"/>
      <c r="ABJ11" s="35"/>
      <c r="ABK11" s="35"/>
      <c r="ABL11" s="35"/>
      <c r="ABM11" s="35"/>
      <c r="ABN11" s="35"/>
      <c r="ABO11" s="35"/>
      <c r="ABP11" s="35"/>
      <c r="ABQ11" s="35"/>
      <c r="ABR11" s="35"/>
      <c r="ABS11" s="35"/>
      <c r="ABT11" s="35"/>
      <c r="ABU11" s="35"/>
      <c r="ABV11" s="35"/>
      <c r="ABW11" s="35"/>
      <c r="ABX11" s="35"/>
      <c r="ABY11" s="35"/>
      <c r="ABZ11" s="35"/>
      <c r="ACA11" s="35"/>
      <c r="ACB11" s="35"/>
      <c r="ACC11" s="35"/>
      <c r="ACD11" s="35"/>
      <c r="ACE11" s="35"/>
      <c r="ACF11" s="35"/>
      <c r="ACG11" s="35"/>
      <c r="ACH11" s="35"/>
      <c r="ACI11" s="35"/>
      <c r="ACJ11" s="35"/>
      <c r="ACK11" s="35"/>
      <c r="ACL11" s="35"/>
      <c r="ACM11" s="35"/>
      <c r="ACN11" s="35"/>
      <c r="ACO11" s="35"/>
      <c r="ACP11" s="35"/>
      <c r="ACQ11" s="35"/>
      <c r="ACR11" s="35"/>
      <c r="ACS11" s="35"/>
      <c r="ACT11" s="35"/>
      <c r="ACU11" s="35"/>
      <c r="ACV11" s="35"/>
      <c r="ACW11" s="35"/>
      <c r="ACX11" s="35"/>
      <c r="ACY11" s="35"/>
      <c r="ACZ11" s="35"/>
      <c r="ADA11" s="35"/>
      <c r="ADB11" s="35"/>
      <c r="ADC11" s="35"/>
      <c r="ADD11" s="35"/>
      <c r="ADE11" s="35"/>
      <c r="ADF11" s="35"/>
      <c r="ADG11" s="35"/>
      <c r="ADH11" s="35"/>
      <c r="ADI11" s="35"/>
      <c r="ADJ11" s="35"/>
      <c r="ADK11" s="35"/>
      <c r="ADL11" s="35"/>
      <c r="ADM11" s="35"/>
      <c r="ADN11" s="35"/>
      <c r="ADO11" s="35"/>
      <c r="ADP11" s="35"/>
      <c r="ADQ11" s="35"/>
      <c r="ADR11" s="35"/>
      <c r="ADS11" s="35"/>
      <c r="ADT11" s="35"/>
      <c r="ADU11" s="35"/>
      <c r="ADV11" s="35"/>
      <c r="ADW11" s="35"/>
      <c r="ADX11" s="35"/>
      <c r="ADY11" s="35"/>
      <c r="ADZ11" s="35"/>
      <c r="AEA11" s="35"/>
      <c r="AEB11" s="35"/>
      <c r="AEC11" s="35"/>
      <c r="AED11" s="35"/>
      <c r="AEE11" s="35"/>
      <c r="AEF11" s="35"/>
      <c r="AEG11" s="35"/>
      <c r="AEH11" s="35"/>
      <c r="AEI11" s="35"/>
      <c r="AEJ11" s="35"/>
      <c r="AEK11" s="35"/>
      <c r="AEL11" s="35"/>
      <c r="AEM11" s="35"/>
      <c r="AEN11" s="35"/>
      <c r="AEO11" s="35"/>
      <c r="AEP11" s="35"/>
      <c r="AEQ11" s="35"/>
      <c r="AER11" s="35"/>
      <c r="AES11" s="35"/>
      <c r="AET11" s="35"/>
      <c r="AEU11" s="35"/>
      <c r="AEV11" s="35"/>
      <c r="AEW11" s="35"/>
      <c r="AEX11" s="35"/>
      <c r="AEY11" s="35"/>
      <c r="AEZ11" s="35"/>
      <c r="AFA11" s="35"/>
      <c r="AFB11" s="35"/>
      <c r="AFC11" s="35"/>
      <c r="AFD11" s="35"/>
      <c r="AFE11" s="35"/>
      <c r="AFF11" s="35"/>
      <c r="AFG11" s="35"/>
      <c r="AFH11" s="35"/>
      <c r="AFI11" s="35"/>
      <c r="AFJ11" s="35"/>
      <c r="AFK11" s="35"/>
      <c r="AFL11" s="35"/>
      <c r="AFM11" s="35"/>
      <c r="AFN11" s="35"/>
      <c r="AFO11" s="35"/>
      <c r="AFP11" s="35"/>
      <c r="AFQ11" s="35"/>
      <c r="AFR11" s="35"/>
      <c r="AFS11" s="35"/>
      <c r="AFT11" s="35"/>
      <c r="AFU11" s="35"/>
      <c r="AFV11" s="35"/>
      <c r="AFW11" s="35"/>
      <c r="AFX11" s="35"/>
      <c r="AFY11" s="35"/>
      <c r="AFZ11" s="35"/>
      <c r="AGA11" s="35"/>
      <c r="AGB11" s="35"/>
      <c r="AGC11" s="35"/>
      <c r="AGD11" s="35"/>
      <c r="AGE11" s="35"/>
      <c r="AGF11" s="35"/>
      <c r="AGG11" s="35"/>
      <c r="AGH11" s="35"/>
      <c r="AGI11" s="35"/>
      <c r="AGJ11" s="35"/>
      <c r="AGK11" s="35"/>
      <c r="AGL11" s="35"/>
      <c r="AGM11" s="35"/>
      <c r="AGN11" s="35"/>
      <c r="AGO11" s="35"/>
      <c r="AGP11" s="35"/>
      <c r="AGQ11" s="35"/>
      <c r="AGR11" s="35"/>
      <c r="AGS11" s="35"/>
      <c r="AGT11" s="35"/>
      <c r="AGU11" s="35"/>
      <c r="AGV11" s="35"/>
      <c r="AGW11" s="35"/>
      <c r="AGX11" s="35"/>
      <c r="AGY11" s="35"/>
      <c r="AGZ11" s="35"/>
      <c r="AHA11" s="35"/>
      <c r="AHB11" s="35"/>
      <c r="AHC11" s="35"/>
      <c r="AHD11" s="35"/>
      <c r="AHE11" s="35"/>
      <c r="AHF11" s="35"/>
      <c r="AHG11" s="35"/>
      <c r="AHH11" s="35"/>
      <c r="AHI11" s="35"/>
      <c r="AHJ11" s="35"/>
      <c r="AHK11" s="35"/>
      <c r="AHL11" s="35"/>
      <c r="AHM11" s="35"/>
      <c r="AHN11" s="35"/>
      <c r="AHO11" s="35"/>
      <c r="AHP11" s="35"/>
      <c r="AHQ11" s="35"/>
      <c r="AHR11" s="35"/>
      <c r="AHS11" s="35"/>
      <c r="AHT11" s="35"/>
      <c r="AHU11" s="35"/>
      <c r="AHV11" s="35"/>
      <c r="AHW11" s="35"/>
      <c r="AHX11" s="35"/>
      <c r="AHY11" s="35"/>
      <c r="AHZ11" s="35"/>
      <c r="AIA11" s="35"/>
      <c r="AIB11" s="35"/>
      <c r="AIC11" s="35"/>
      <c r="AID11" s="35"/>
      <c r="AIE11" s="35"/>
      <c r="AIF11" s="35"/>
      <c r="AIG11" s="35"/>
      <c r="AIH11" s="35"/>
      <c r="AII11" s="35"/>
      <c r="AIJ11" s="35"/>
      <c r="AIK11" s="35"/>
      <c r="AIL11" s="35"/>
      <c r="AIM11" s="35"/>
      <c r="AIN11" s="35"/>
      <c r="AIO11" s="35"/>
      <c r="AIP11" s="35"/>
      <c r="AIQ11" s="35"/>
      <c r="AIR11" s="35"/>
      <c r="AIS11" s="35"/>
      <c r="AIT11" s="35"/>
      <c r="AIU11" s="35"/>
      <c r="AIV11" s="35"/>
      <c r="AIW11" s="35"/>
      <c r="AIX11" s="35"/>
      <c r="AIY11" s="35"/>
      <c r="AIZ11" s="35"/>
      <c r="AJA11" s="35"/>
      <c r="AJB11" s="35"/>
      <c r="AJC11" s="35"/>
      <c r="AJD11" s="35"/>
      <c r="AJE11" s="35"/>
      <c r="AJF11" s="35"/>
      <c r="AJG11" s="35"/>
      <c r="AJH11" s="35"/>
      <c r="AJI11" s="35"/>
      <c r="AJJ11" s="35"/>
      <c r="AJK11" s="35"/>
      <c r="AJL11" s="35"/>
      <c r="AJM11" s="35"/>
      <c r="AJN11" s="35"/>
      <c r="AJO11" s="35"/>
      <c r="AJP11" s="35"/>
      <c r="AJQ11" s="35"/>
      <c r="AJR11" s="35"/>
      <c r="AJS11" s="35"/>
      <c r="AJT11" s="35"/>
      <c r="AJU11" s="35"/>
      <c r="AJV11" s="35"/>
      <c r="AJW11" s="35"/>
      <c r="AJX11" s="35"/>
      <c r="AJY11" s="35"/>
      <c r="AJZ11" s="35"/>
      <c r="AKA11" s="35"/>
      <c r="AKB11" s="35"/>
      <c r="AKC11" s="35"/>
      <c r="AKD11" s="35"/>
      <c r="AKE11" s="35"/>
      <c r="AKF11" s="35"/>
      <c r="AKG11" s="35"/>
      <c r="AKH11" s="35"/>
      <c r="AKI11" s="35"/>
      <c r="AKJ11" s="35"/>
      <c r="AKK11" s="35"/>
      <c r="AKL11" s="35"/>
      <c r="AKM11" s="35"/>
      <c r="AKN11" s="35"/>
      <c r="AKO11" s="35"/>
      <c r="AKP11" s="35"/>
      <c r="AKQ11" s="35"/>
      <c r="AKR11" s="35"/>
      <c r="AKS11" s="35"/>
      <c r="AKT11" s="35"/>
      <c r="AKU11" s="35"/>
      <c r="AKV11" s="35"/>
      <c r="AKW11" s="35"/>
      <c r="AKX11" s="35"/>
      <c r="AKY11" s="35"/>
      <c r="AKZ11" s="35"/>
      <c r="ALA11" s="35"/>
      <c r="ALB11" s="35"/>
      <c r="ALC11" s="35"/>
      <c r="ALD11" s="35"/>
      <c r="ALE11" s="35"/>
      <c r="ALF11" s="35"/>
      <c r="ALG11" s="35"/>
      <c r="ALH11" s="35"/>
      <c r="ALI11" s="35"/>
      <c r="ALJ11" s="35"/>
      <c r="ALK11" s="35"/>
      <c r="ALL11" s="35"/>
      <c r="ALM11" s="35"/>
      <c r="ALN11" s="35"/>
      <c r="ALO11" s="35"/>
      <c r="ALP11" s="35"/>
      <c r="ALQ11" s="35"/>
      <c r="ALR11" s="35"/>
      <c r="ALS11" s="35"/>
      <c r="ALT11" s="35"/>
      <c r="ALU11" s="35"/>
      <c r="ALV11" s="35"/>
      <c r="ALW11" s="35"/>
      <c r="ALX11" s="35"/>
      <c r="ALY11" s="35"/>
    </row>
    <row r="12" customFormat="false" ht="12.8" hidden="false" customHeight="true" outlineLevel="0" collapsed="false">
      <c r="A12" s="40"/>
      <c r="B12" s="40"/>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t="s">
        <v>364</v>
      </c>
      <c r="AV12" s="35"/>
      <c r="AW12" s="35"/>
      <c r="AX12" s="35"/>
      <c r="AY12" s="35"/>
      <c r="AZ12" s="35"/>
      <c r="BA12" s="35"/>
      <c r="BB12" s="35"/>
      <c r="BC12" s="35"/>
      <c r="BD12" s="35"/>
      <c r="BE12" s="35"/>
      <c r="BF12" s="35"/>
      <c r="BG12" s="35"/>
      <c r="BH12" s="35"/>
      <c r="BI12" s="35"/>
      <c r="BJ12" s="35"/>
      <c r="BK12" s="35"/>
      <c r="BL12" s="35"/>
      <c r="BM12" s="35"/>
      <c r="BN12" s="35"/>
      <c r="BO12" s="35"/>
      <c r="BP12" s="35"/>
      <c r="BQ12" s="35"/>
      <c r="BR12" s="35"/>
      <c r="BS12" s="35"/>
      <c r="BT12" s="35"/>
      <c r="BU12" s="35"/>
      <c r="BV12" s="35"/>
      <c r="BW12" s="35"/>
      <c r="BX12" s="35"/>
      <c r="BY12" s="35"/>
      <c r="BZ12" s="35"/>
      <c r="CA12" s="35"/>
      <c r="CB12" s="35"/>
      <c r="CC12" s="35"/>
      <c r="CD12" s="35"/>
      <c r="CE12" s="35"/>
      <c r="CF12" s="35"/>
      <c r="CG12" s="35"/>
      <c r="CH12" s="35"/>
      <c r="CI12" s="35"/>
      <c r="CJ12" s="35"/>
      <c r="CK12" s="35"/>
      <c r="CL12" s="35"/>
      <c r="CM12" s="35"/>
      <c r="CN12" s="35"/>
      <c r="CO12" s="35"/>
      <c r="CP12" s="35"/>
      <c r="CQ12" s="35"/>
      <c r="CR12" s="35"/>
      <c r="CS12" s="35"/>
      <c r="CT12" s="35"/>
      <c r="CU12" s="35"/>
      <c r="CV12" s="35"/>
      <c r="CW12" s="35"/>
      <c r="CX12" s="35"/>
      <c r="CY12" s="35"/>
      <c r="CZ12" s="35"/>
      <c r="DA12" s="35"/>
      <c r="DB12" s="35"/>
      <c r="DC12" s="35"/>
      <c r="DD12" s="35"/>
      <c r="DE12" s="35"/>
      <c r="DF12" s="35"/>
      <c r="DG12" s="35"/>
      <c r="DH12" s="35"/>
      <c r="DI12" s="35"/>
      <c r="DJ12" s="35"/>
      <c r="DK12" s="35"/>
      <c r="DL12" s="35"/>
      <c r="DM12" s="35"/>
      <c r="DN12" s="35"/>
      <c r="DO12" s="35"/>
      <c r="DP12" s="35"/>
      <c r="DQ12" s="35"/>
      <c r="DR12" s="35"/>
      <c r="DS12" s="35"/>
      <c r="DT12" s="35"/>
      <c r="DU12" s="35"/>
      <c r="DV12" s="35"/>
      <c r="DW12" s="35"/>
      <c r="DX12" s="35"/>
      <c r="DY12" s="35"/>
      <c r="DZ12" s="35"/>
      <c r="EA12" s="35"/>
      <c r="EB12" s="35"/>
      <c r="EC12" s="35"/>
      <c r="ED12" s="35"/>
      <c r="EE12" s="35"/>
      <c r="EF12" s="35"/>
      <c r="EG12" s="35"/>
      <c r="EH12" s="35"/>
      <c r="EI12" s="35"/>
      <c r="EJ12" s="35"/>
      <c r="EK12" s="35"/>
      <c r="EL12" s="35"/>
      <c r="EM12" s="35"/>
      <c r="EN12" s="35"/>
      <c r="EO12" s="35"/>
      <c r="EP12" s="35"/>
      <c r="EQ12" s="35"/>
      <c r="ER12" s="35"/>
      <c r="ES12" s="35"/>
      <c r="ET12" s="35"/>
      <c r="EU12" s="35"/>
      <c r="EV12" s="35"/>
      <c r="EW12" s="35"/>
      <c r="EX12" s="35"/>
      <c r="EY12" s="35"/>
      <c r="EZ12" s="35"/>
      <c r="FA12" s="35"/>
      <c r="FB12" s="35"/>
      <c r="FC12" s="35"/>
      <c r="FD12" s="35"/>
      <c r="FE12" s="35"/>
      <c r="FF12" s="35"/>
      <c r="FG12" s="35"/>
      <c r="FH12" s="35"/>
      <c r="FI12" s="35"/>
      <c r="FJ12" s="35"/>
      <c r="FK12" s="35"/>
      <c r="FL12" s="35"/>
      <c r="FM12" s="35"/>
      <c r="FN12" s="35"/>
      <c r="FO12" s="35"/>
      <c r="FP12" s="35"/>
      <c r="FQ12" s="35"/>
      <c r="FR12" s="35"/>
      <c r="FS12" s="35"/>
      <c r="FT12" s="35"/>
      <c r="FU12" s="35"/>
      <c r="FV12" s="35"/>
      <c r="FW12" s="35"/>
      <c r="FX12" s="35"/>
      <c r="FY12" s="35"/>
      <c r="FZ12" s="35"/>
      <c r="GA12" s="35"/>
      <c r="GB12" s="35"/>
      <c r="GC12" s="35"/>
      <c r="GD12" s="35"/>
      <c r="GE12" s="35"/>
      <c r="GF12" s="35"/>
      <c r="GG12" s="35"/>
      <c r="GH12" s="35"/>
      <c r="GI12" s="35"/>
      <c r="GJ12" s="35"/>
      <c r="GK12" s="35"/>
      <c r="GL12" s="35"/>
      <c r="GM12" s="35"/>
      <c r="GN12" s="35"/>
      <c r="GO12" s="35"/>
      <c r="GP12" s="35"/>
      <c r="GQ12" s="35"/>
      <c r="GR12" s="35"/>
      <c r="GS12" s="35"/>
      <c r="GT12" s="35"/>
      <c r="GU12" s="35"/>
      <c r="GV12" s="35"/>
      <c r="GW12" s="35"/>
      <c r="GX12" s="35"/>
      <c r="GY12" s="35"/>
      <c r="GZ12" s="35"/>
      <c r="HA12" s="35"/>
      <c r="HB12" s="35"/>
      <c r="HC12" s="35"/>
      <c r="HD12" s="35"/>
      <c r="HE12" s="35"/>
      <c r="HF12" s="35"/>
      <c r="HG12" s="35"/>
      <c r="HH12" s="35"/>
      <c r="HI12" s="35"/>
      <c r="HJ12" s="35"/>
      <c r="HK12" s="35"/>
      <c r="HL12" s="35"/>
      <c r="HM12" s="35"/>
      <c r="HN12" s="35"/>
      <c r="HO12" s="35"/>
      <c r="HP12" s="35"/>
      <c r="HQ12" s="35"/>
      <c r="HR12" s="35"/>
      <c r="HS12" s="35"/>
      <c r="HT12" s="35"/>
      <c r="HU12" s="35"/>
      <c r="HV12" s="35"/>
      <c r="HW12" s="35"/>
      <c r="HX12" s="35"/>
      <c r="HY12" s="35"/>
      <c r="HZ12" s="35"/>
      <c r="IA12" s="35"/>
      <c r="IB12" s="35"/>
      <c r="IC12" s="35"/>
      <c r="ID12" s="35"/>
      <c r="IE12" s="35"/>
      <c r="IF12" s="35"/>
      <c r="IG12" s="35"/>
      <c r="IH12" s="35"/>
      <c r="II12" s="35"/>
      <c r="IJ12" s="35"/>
      <c r="IK12" s="35"/>
      <c r="IL12" s="35"/>
      <c r="IM12" s="35"/>
      <c r="IN12" s="35"/>
      <c r="IO12" s="35"/>
      <c r="IP12" s="35"/>
      <c r="IQ12" s="35"/>
      <c r="IR12" s="35"/>
      <c r="IS12" s="35"/>
      <c r="IT12" s="35"/>
      <c r="IU12" s="35"/>
      <c r="IV12" s="35"/>
      <c r="IW12" s="35"/>
      <c r="IX12" s="35"/>
      <c r="IY12" s="35"/>
      <c r="IZ12" s="35"/>
      <c r="JA12" s="35"/>
      <c r="JB12" s="35"/>
      <c r="JC12" s="35"/>
      <c r="JD12" s="35"/>
      <c r="JE12" s="35"/>
      <c r="JF12" s="35"/>
      <c r="JG12" s="35"/>
      <c r="JH12" s="35"/>
      <c r="JI12" s="35"/>
      <c r="JJ12" s="35"/>
      <c r="JK12" s="35"/>
      <c r="JL12" s="35"/>
      <c r="JM12" s="35"/>
      <c r="JN12" s="35"/>
      <c r="JO12" s="35"/>
      <c r="JP12" s="35"/>
      <c r="JQ12" s="35"/>
      <c r="JR12" s="35"/>
      <c r="JS12" s="35"/>
      <c r="JT12" s="35"/>
      <c r="JU12" s="35"/>
      <c r="JV12" s="35"/>
      <c r="JW12" s="35"/>
      <c r="JX12" s="35"/>
      <c r="JY12" s="35"/>
      <c r="JZ12" s="35"/>
      <c r="KA12" s="35"/>
      <c r="KB12" s="35"/>
      <c r="KC12" s="35"/>
      <c r="KD12" s="35"/>
      <c r="KE12" s="35"/>
      <c r="KF12" s="35"/>
      <c r="KG12" s="35"/>
      <c r="KH12" s="35"/>
      <c r="KI12" s="35"/>
      <c r="KJ12" s="35"/>
      <c r="KK12" s="35"/>
      <c r="KL12" s="35"/>
      <c r="KM12" s="35"/>
      <c r="KN12" s="35"/>
      <c r="KO12" s="35"/>
      <c r="KP12" s="35"/>
      <c r="KQ12" s="35"/>
      <c r="KR12" s="35"/>
      <c r="KS12" s="35"/>
      <c r="KT12" s="35"/>
      <c r="KU12" s="35"/>
      <c r="KV12" s="35"/>
      <c r="KW12" s="35"/>
      <c r="KX12" s="35"/>
      <c r="KY12" s="35"/>
      <c r="KZ12" s="35"/>
      <c r="LA12" s="35"/>
      <c r="LB12" s="35"/>
      <c r="LC12" s="35"/>
      <c r="LD12" s="35"/>
      <c r="LE12" s="35"/>
      <c r="LF12" s="35"/>
      <c r="LG12" s="35"/>
      <c r="LH12" s="35"/>
      <c r="LI12" s="35"/>
      <c r="LJ12" s="35"/>
      <c r="LK12" s="35"/>
      <c r="LL12" s="35"/>
      <c r="LM12" s="35"/>
      <c r="LN12" s="35"/>
      <c r="LO12" s="35"/>
      <c r="LP12" s="35"/>
      <c r="LQ12" s="35"/>
      <c r="LR12" s="35"/>
      <c r="LS12" s="35"/>
      <c r="LT12" s="35"/>
      <c r="LU12" s="35"/>
      <c r="LV12" s="35"/>
      <c r="LW12" s="35"/>
      <c r="LX12" s="35"/>
      <c r="LY12" s="35"/>
      <c r="LZ12" s="35"/>
      <c r="MA12" s="35"/>
      <c r="MB12" s="35"/>
      <c r="MC12" s="35"/>
      <c r="MD12" s="35"/>
      <c r="ME12" s="35"/>
      <c r="MF12" s="35"/>
      <c r="MG12" s="35"/>
      <c r="MH12" s="35"/>
      <c r="MI12" s="35"/>
      <c r="MJ12" s="35"/>
      <c r="MK12" s="35"/>
      <c r="ML12" s="35"/>
      <c r="MM12" s="35"/>
      <c r="MN12" s="35"/>
      <c r="MO12" s="35"/>
      <c r="MP12" s="35"/>
      <c r="MQ12" s="35"/>
      <c r="MR12" s="35"/>
      <c r="MS12" s="35"/>
      <c r="MT12" s="35"/>
      <c r="MU12" s="35"/>
      <c r="MV12" s="35"/>
      <c r="MW12" s="35"/>
      <c r="MX12" s="35"/>
      <c r="MY12" s="35"/>
      <c r="MZ12" s="35"/>
      <c r="NA12" s="35"/>
      <c r="NB12" s="35"/>
      <c r="NC12" s="35"/>
      <c r="ND12" s="35"/>
      <c r="NE12" s="35"/>
      <c r="NF12" s="35"/>
      <c r="NG12" s="35"/>
      <c r="NH12" s="35"/>
      <c r="NI12" s="35"/>
      <c r="NJ12" s="35"/>
      <c r="NK12" s="35"/>
      <c r="NL12" s="35"/>
      <c r="NM12" s="35"/>
      <c r="NN12" s="35"/>
      <c r="NO12" s="35"/>
      <c r="NP12" s="35"/>
      <c r="NQ12" s="35"/>
      <c r="NR12" s="35"/>
      <c r="NS12" s="35"/>
      <c r="NT12" s="35"/>
      <c r="NU12" s="35"/>
      <c r="NV12" s="35"/>
      <c r="NW12" s="35"/>
      <c r="NX12" s="35"/>
      <c r="NY12" s="35"/>
      <c r="NZ12" s="35"/>
      <c r="OA12" s="35"/>
      <c r="OB12" s="35"/>
      <c r="OC12" s="35"/>
      <c r="OD12" s="35"/>
      <c r="OE12" s="35"/>
      <c r="OF12" s="35"/>
      <c r="OG12" s="35"/>
      <c r="OH12" s="35"/>
      <c r="OI12" s="35"/>
      <c r="OJ12" s="35"/>
      <c r="OK12" s="35"/>
      <c r="OL12" s="35"/>
      <c r="OM12" s="35"/>
      <c r="ON12" s="35"/>
      <c r="OO12" s="35"/>
      <c r="OP12" s="35"/>
      <c r="OQ12" s="35"/>
      <c r="OR12" s="35"/>
      <c r="OS12" s="35"/>
      <c r="OT12" s="35"/>
      <c r="OU12" s="35"/>
      <c r="OV12" s="35"/>
      <c r="OW12" s="35"/>
      <c r="OX12" s="35"/>
      <c r="OY12" s="35"/>
      <c r="OZ12" s="35"/>
      <c r="PA12" s="35"/>
      <c r="PB12" s="35"/>
      <c r="PC12" s="35"/>
      <c r="PD12" s="35"/>
      <c r="PE12" s="35"/>
      <c r="PF12" s="35"/>
      <c r="PG12" s="35"/>
      <c r="PH12" s="35"/>
      <c r="PI12" s="35"/>
      <c r="PJ12" s="35"/>
      <c r="PK12" s="35"/>
      <c r="PL12" s="35"/>
      <c r="PM12" s="35"/>
      <c r="PN12" s="35"/>
      <c r="PO12" s="35"/>
      <c r="PP12" s="35"/>
      <c r="PQ12" s="35"/>
      <c r="PR12" s="35"/>
      <c r="PS12" s="35"/>
      <c r="PT12" s="35"/>
      <c r="PU12" s="35"/>
      <c r="PV12" s="35"/>
      <c r="PW12" s="35"/>
      <c r="PX12" s="35"/>
      <c r="PY12" s="35"/>
      <c r="PZ12" s="35"/>
      <c r="QA12" s="35"/>
      <c r="QB12" s="35"/>
      <c r="QC12" s="35"/>
      <c r="QD12" s="35"/>
      <c r="QE12" s="35"/>
      <c r="QF12" s="35"/>
      <c r="QG12" s="35"/>
      <c r="QH12" s="35"/>
      <c r="QI12" s="35"/>
      <c r="QJ12" s="35"/>
      <c r="QK12" s="35"/>
      <c r="QL12" s="35"/>
      <c r="QM12" s="35"/>
      <c r="QN12" s="35"/>
      <c r="QO12" s="35"/>
      <c r="QP12" s="35"/>
      <c r="QQ12" s="35"/>
      <c r="QR12" s="35"/>
      <c r="QS12" s="35"/>
      <c r="QT12" s="35"/>
      <c r="QU12" s="35"/>
      <c r="QV12" s="35"/>
      <c r="QW12" s="35"/>
      <c r="QX12" s="35"/>
      <c r="QY12" s="35"/>
      <c r="QZ12" s="35"/>
      <c r="RA12" s="35"/>
      <c r="RB12" s="35"/>
      <c r="RC12" s="35"/>
      <c r="RD12" s="35"/>
      <c r="RE12" s="35"/>
      <c r="RF12" s="35"/>
      <c r="RG12" s="35"/>
      <c r="RH12" s="35"/>
      <c r="RI12" s="35"/>
      <c r="RJ12" s="35"/>
      <c r="RK12" s="35"/>
      <c r="RL12" s="35"/>
      <c r="RM12" s="35"/>
      <c r="RN12" s="35"/>
      <c r="RO12" s="35"/>
      <c r="RP12" s="35"/>
      <c r="RQ12" s="35"/>
      <c r="RR12" s="35"/>
      <c r="RS12" s="35"/>
      <c r="RT12" s="35"/>
      <c r="RU12" s="35"/>
      <c r="RV12" s="35"/>
      <c r="RW12" s="35"/>
      <c r="RX12" s="35"/>
      <c r="RY12" s="35"/>
      <c r="RZ12" s="35"/>
      <c r="SA12" s="35"/>
      <c r="SB12" s="35"/>
      <c r="SC12" s="35"/>
      <c r="SD12" s="35"/>
      <c r="SE12" s="35"/>
      <c r="SF12" s="35"/>
      <c r="SG12" s="35"/>
      <c r="SH12" s="35"/>
      <c r="SI12" s="35"/>
      <c r="SJ12" s="35"/>
      <c r="SK12" s="35"/>
      <c r="SL12" s="35"/>
      <c r="SM12" s="35"/>
      <c r="SN12" s="35"/>
      <c r="SO12" s="35"/>
      <c r="SP12" s="35"/>
      <c r="SQ12" s="35"/>
      <c r="SR12" s="35"/>
      <c r="SS12" s="35"/>
      <c r="ST12" s="35"/>
      <c r="SU12" s="35"/>
      <c r="SV12" s="35"/>
      <c r="SW12" s="35"/>
      <c r="SX12" s="35"/>
      <c r="SY12" s="35"/>
      <c r="SZ12" s="35"/>
      <c r="TA12" s="35"/>
      <c r="TB12" s="35"/>
      <c r="TC12" s="35"/>
      <c r="TD12" s="35"/>
      <c r="TE12" s="35"/>
      <c r="TF12" s="35"/>
      <c r="TG12" s="35"/>
      <c r="TH12" s="35"/>
      <c r="TI12" s="35"/>
      <c r="TJ12" s="35"/>
      <c r="TK12" s="35"/>
      <c r="TL12" s="35"/>
      <c r="TM12" s="35"/>
      <c r="TN12" s="35"/>
      <c r="TO12" s="35"/>
      <c r="TP12" s="35"/>
      <c r="TQ12" s="35"/>
      <c r="TR12" s="35"/>
      <c r="TS12" s="35"/>
      <c r="TT12" s="35"/>
      <c r="TU12" s="35"/>
      <c r="TV12" s="35"/>
      <c r="TW12" s="35"/>
      <c r="TX12" s="35"/>
      <c r="TY12" s="35"/>
      <c r="TZ12" s="35"/>
      <c r="UA12" s="35"/>
      <c r="UB12" s="35"/>
      <c r="UC12" s="35"/>
      <c r="UD12" s="35"/>
      <c r="UE12" s="35"/>
      <c r="UF12" s="35"/>
      <c r="UG12" s="35"/>
      <c r="UH12" s="35"/>
      <c r="UI12" s="35"/>
      <c r="UJ12" s="35"/>
      <c r="UK12" s="35"/>
      <c r="UL12" s="35"/>
      <c r="UM12" s="35"/>
      <c r="UN12" s="35"/>
      <c r="UO12" s="35"/>
      <c r="UP12" s="35"/>
      <c r="UQ12" s="35"/>
      <c r="UR12" s="35"/>
      <c r="US12" s="35"/>
      <c r="UT12" s="35"/>
      <c r="UU12" s="35"/>
      <c r="UV12" s="35"/>
      <c r="UW12" s="35"/>
      <c r="UX12" s="35"/>
      <c r="UY12" s="35"/>
      <c r="UZ12" s="35"/>
      <c r="VA12" s="35"/>
      <c r="VB12" s="35"/>
      <c r="VC12" s="35"/>
      <c r="VD12" s="35"/>
      <c r="VE12" s="35"/>
      <c r="VF12" s="35"/>
      <c r="VG12" s="35"/>
      <c r="VH12" s="35"/>
      <c r="VI12" s="35"/>
      <c r="VJ12" s="35"/>
      <c r="VK12" s="35"/>
      <c r="VL12" s="35"/>
      <c r="VM12" s="35"/>
      <c r="VN12" s="35"/>
      <c r="VO12" s="35"/>
      <c r="VP12" s="35"/>
      <c r="VQ12" s="35"/>
      <c r="VR12" s="35"/>
      <c r="VS12" s="35"/>
      <c r="VT12" s="35"/>
      <c r="VU12" s="35"/>
      <c r="VV12" s="35"/>
      <c r="VW12" s="35"/>
      <c r="VX12" s="35"/>
      <c r="VY12" s="35"/>
      <c r="VZ12" s="35"/>
      <c r="WA12" s="35"/>
      <c r="WB12" s="35"/>
      <c r="WC12" s="35"/>
      <c r="WD12" s="35"/>
      <c r="WE12" s="35"/>
      <c r="WF12" s="35"/>
      <c r="WG12" s="35"/>
      <c r="WH12" s="35"/>
      <c r="WI12" s="35"/>
      <c r="WJ12" s="35"/>
      <c r="WK12" s="35"/>
      <c r="WL12" s="35"/>
      <c r="WM12" s="35"/>
      <c r="WN12" s="35"/>
      <c r="WO12" s="35"/>
      <c r="WP12" s="35"/>
      <c r="WQ12" s="35"/>
      <c r="WR12" s="35"/>
      <c r="WS12" s="35"/>
      <c r="WT12" s="35"/>
      <c r="WU12" s="35"/>
      <c r="WV12" s="35"/>
      <c r="WW12" s="35"/>
      <c r="WX12" s="35"/>
      <c r="WY12" s="35"/>
      <c r="WZ12" s="35"/>
      <c r="XA12" s="35"/>
      <c r="XB12" s="35"/>
      <c r="XC12" s="35"/>
      <c r="XD12" s="35"/>
      <c r="XE12" s="35"/>
      <c r="XF12" s="35"/>
      <c r="XG12" s="35"/>
      <c r="XH12" s="35"/>
      <c r="XI12" s="35"/>
      <c r="XJ12" s="35"/>
      <c r="XK12" s="35"/>
      <c r="XL12" s="35"/>
      <c r="XM12" s="35"/>
      <c r="XN12" s="35"/>
      <c r="XO12" s="35"/>
      <c r="XP12" s="35"/>
      <c r="XQ12" s="35"/>
      <c r="XR12" s="35"/>
      <c r="XS12" s="35"/>
      <c r="XT12" s="35"/>
      <c r="XU12" s="35"/>
      <c r="XV12" s="35"/>
      <c r="XW12" s="35"/>
      <c r="XX12" s="35"/>
      <c r="XY12" s="35"/>
      <c r="XZ12" s="35"/>
      <c r="YA12" s="35"/>
      <c r="YB12" s="35"/>
      <c r="YC12" s="35"/>
      <c r="YD12" s="35"/>
      <c r="YE12" s="35"/>
      <c r="YF12" s="35"/>
      <c r="YG12" s="35"/>
      <c r="YH12" s="35"/>
      <c r="YI12" s="35"/>
      <c r="YJ12" s="35"/>
      <c r="YK12" s="35"/>
      <c r="YL12" s="35"/>
      <c r="YM12" s="35"/>
      <c r="YN12" s="35"/>
      <c r="YO12" s="35"/>
      <c r="YP12" s="35"/>
      <c r="YQ12" s="35"/>
      <c r="YR12" s="35"/>
      <c r="YS12" s="35"/>
      <c r="YT12" s="35"/>
      <c r="YU12" s="35"/>
      <c r="YV12" s="35"/>
      <c r="YW12" s="35"/>
      <c r="YX12" s="35"/>
      <c r="YY12" s="35"/>
      <c r="YZ12" s="35"/>
      <c r="ZA12" s="35"/>
      <c r="ZB12" s="35"/>
      <c r="ZC12" s="35"/>
      <c r="ZD12" s="35"/>
      <c r="ZE12" s="35"/>
      <c r="ZF12" s="35"/>
      <c r="ZG12" s="35"/>
      <c r="ZH12" s="35"/>
      <c r="ZI12" s="35"/>
      <c r="ZJ12" s="35"/>
      <c r="ZK12" s="35"/>
      <c r="ZL12" s="35"/>
      <c r="ZM12" s="35"/>
      <c r="ZN12" s="35"/>
      <c r="ZO12" s="35"/>
      <c r="ZP12" s="35"/>
      <c r="ZQ12" s="35"/>
      <c r="ZR12" s="35"/>
      <c r="ZS12" s="35"/>
      <c r="ZT12" s="35"/>
      <c r="ZU12" s="35"/>
      <c r="ZV12" s="35"/>
      <c r="ZW12" s="35"/>
      <c r="ZX12" s="35"/>
      <c r="ZY12" s="35"/>
      <c r="ZZ12" s="35"/>
      <c r="AAA12" s="35"/>
      <c r="AAB12" s="35"/>
      <c r="AAC12" s="35"/>
      <c r="AAD12" s="35"/>
      <c r="AAE12" s="35"/>
      <c r="AAF12" s="35"/>
      <c r="AAG12" s="35"/>
      <c r="AAH12" s="35"/>
      <c r="AAI12" s="35"/>
      <c r="AAJ12" s="35"/>
      <c r="AAK12" s="35"/>
      <c r="AAL12" s="35"/>
      <c r="AAM12" s="35"/>
      <c r="AAN12" s="35"/>
      <c r="AAO12" s="35"/>
      <c r="AAP12" s="35"/>
      <c r="AAQ12" s="35"/>
      <c r="AAR12" s="35"/>
      <c r="AAS12" s="35"/>
      <c r="AAT12" s="35"/>
      <c r="AAU12" s="35"/>
      <c r="AAV12" s="35"/>
      <c r="AAW12" s="35"/>
      <c r="AAX12" s="35"/>
      <c r="AAY12" s="35"/>
      <c r="AAZ12" s="35"/>
      <c r="ABA12" s="35"/>
      <c r="ABB12" s="35"/>
      <c r="ABC12" s="35"/>
      <c r="ABD12" s="35"/>
      <c r="ABE12" s="35"/>
      <c r="ABF12" s="35"/>
      <c r="ABG12" s="35"/>
      <c r="ABH12" s="35"/>
      <c r="ABI12" s="35"/>
      <c r="ABJ12" s="35"/>
      <c r="ABK12" s="35"/>
      <c r="ABL12" s="35"/>
      <c r="ABM12" s="35"/>
      <c r="ABN12" s="35"/>
      <c r="ABO12" s="35"/>
      <c r="ABP12" s="35"/>
      <c r="ABQ12" s="35"/>
      <c r="ABR12" s="35"/>
      <c r="ABS12" s="35"/>
      <c r="ABT12" s="35"/>
      <c r="ABU12" s="35"/>
      <c r="ABV12" s="35"/>
      <c r="ABW12" s="35"/>
      <c r="ABX12" s="35"/>
      <c r="ABY12" s="35"/>
      <c r="ABZ12" s="35"/>
      <c r="ACA12" s="35"/>
      <c r="ACB12" s="35"/>
      <c r="ACC12" s="35"/>
      <c r="ACD12" s="35"/>
      <c r="ACE12" s="35"/>
      <c r="ACF12" s="35"/>
      <c r="ACG12" s="35"/>
      <c r="ACH12" s="35"/>
      <c r="ACI12" s="35"/>
      <c r="ACJ12" s="35"/>
      <c r="ACK12" s="35"/>
      <c r="ACL12" s="35"/>
      <c r="ACM12" s="35"/>
      <c r="ACN12" s="35"/>
      <c r="ACO12" s="35"/>
      <c r="ACP12" s="35"/>
      <c r="ACQ12" s="35"/>
      <c r="ACR12" s="35"/>
      <c r="ACS12" s="35"/>
      <c r="ACT12" s="35"/>
      <c r="ACU12" s="35"/>
      <c r="ACV12" s="35"/>
      <c r="ACW12" s="35"/>
      <c r="ACX12" s="35"/>
      <c r="ACY12" s="35"/>
      <c r="ACZ12" s="35"/>
      <c r="ADA12" s="35"/>
      <c r="ADB12" s="35"/>
      <c r="ADC12" s="35"/>
      <c r="ADD12" s="35"/>
      <c r="ADE12" s="35"/>
      <c r="ADF12" s="35"/>
      <c r="ADG12" s="35"/>
      <c r="ADH12" s="35"/>
      <c r="ADI12" s="35"/>
      <c r="ADJ12" s="35"/>
      <c r="ADK12" s="35"/>
      <c r="ADL12" s="35"/>
      <c r="ADM12" s="35"/>
      <c r="ADN12" s="35"/>
      <c r="ADO12" s="35"/>
      <c r="ADP12" s="35"/>
      <c r="ADQ12" s="35"/>
      <c r="ADR12" s="35"/>
      <c r="ADS12" s="35"/>
      <c r="ADT12" s="35"/>
      <c r="ADU12" s="35"/>
      <c r="ADV12" s="35"/>
      <c r="ADW12" s="35"/>
      <c r="ADX12" s="35"/>
      <c r="ADY12" s="35"/>
      <c r="ADZ12" s="35"/>
      <c r="AEA12" s="35"/>
      <c r="AEB12" s="35"/>
      <c r="AEC12" s="35"/>
      <c r="AED12" s="35"/>
      <c r="AEE12" s="35"/>
      <c r="AEF12" s="35"/>
      <c r="AEG12" s="35"/>
      <c r="AEH12" s="35"/>
      <c r="AEI12" s="35"/>
      <c r="AEJ12" s="35"/>
      <c r="AEK12" s="35"/>
      <c r="AEL12" s="35"/>
      <c r="AEM12" s="35"/>
      <c r="AEN12" s="35"/>
      <c r="AEO12" s="35"/>
      <c r="AEP12" s="35"/>
      <c r="AEQ12" s="35"/>
      <c r="AER12" s="35"/>
      <c r="AES12" s="35"/>
      <c r="AET12" s="35"/>
      <c r="AEU12" s="35"/>
      <c r="AEV12" s="35"/>
      <c r="AEW12" s="35"/>
      <c r="AEX12" s="35"/>
      <c r="AEY12" s="35"/>
      <c r="AEZ12" s="35"/>
      <c r="AFA12" s="35"/>
      <c r="AFB12" s="35"/>
      <c r="AFC12" s="35"/>
      <c r="AFD12" s="35"/>
      <c r="AFE12" s="35"/>
      <c r="AFF12" s="35"/>
      <c r="AFG12" s="35"/>
      <c r="AFH12" s="35"/>
      <c r="AFI12" s="35"/>
      <c r="AFJ12" s="35"/>
      <c r="AFK12" s="35"/>
      <c r="AFL12" s="35"/>
      <c r="AFM12" s="35"/>
      <c r="AFN12" s="35"/>
      <c r="AFO12" s="35"/>
      <c r="AFP12" s="35"/>
      <c r="AFQ12" s="35"/>
      <c r="AFR12" s="35"/>
      <c r="AFS12" s="35"/>
      <c r="AFT12" s="35"/>
      <c r="AFU12" s="35"/>
      <c r="AFV12" s="35"/>
      <c r="AFW12" s="35"/>
      <c r="AFX12" s="35"/>
      <c r="AFY12" s="35"/>
      <c r="AFZ12" s="35"/>
      <c r="AGA12" s="35"/>
      <c r="AGB12" s="35"/>
      <c r="AGC12" s="35"/>
      <c r="AGD12" s="35"/>
      <c r="AGE12" s="35"/>
      <c r="AGF12" s="35"/>
      <c r="AGG12" s="35"/>
      <c r="AGH12" s="35"/>
      <c r="AGI12" s="35"/>
      <c r="AGJ12" s="35"/>
      <c r="AGK12" s="35"/>
      <c r="AGL12" s="35"/>
      <c r="AGM12" s="35"/>
      <c r="AGN12" s="35"/>
      <c r="AGO12" s="35"/>
      <c r="AGP12" s="35"/>
      <c r="AGQ12" s="35"/>
      <c r="AGR12" s="35"/>
      <c r="AGS12" s="35"/>
      <c r="AGT12" s="35"/>
      <c r="AGU12" s="35"/>
      <c r="AGV12" s="35"/>
      <c r="AGW12" s="35"/>
      <c r="AGX12" s="35"/>
      <c r="AGY12" s="35"/>
      <c r="AGZ12" s="35"/>
      <c r="AHA12" s="35"/>
      <c r="AHB12" s="35"/>
      <c r="AHC12" s="35"/>
      <c r="AHD12" s="35"/>
      <c r="AHE12" s="35"/>
      <c r="AHF12" s="35"/>
      <c r="AHG12" s="35"/>
      <c r="AHH12" s="35"/>
      <c r="AHI12" s="35"/>
      <c r="AHJ12" s="35"/>
      <c r="AHK12" s="35"/>
      <c r="AHL12" s="35"/>
      <c r="AHM12" s="35"/>
      <c r="AHN12" s="35"/>
      <c r="AHO12" s="35"/>
      <c r="AHP12" s="35"/>
      <c r="AHQ12" s="35"/>
      <c r="AHR12" s="35"/>
      <c r="AHS12" s="35"/>
      <c r="AHT12" s="35"/>
      <c r="AHU12" s="35"/>
      <c r="AHV12" s="35"/>
      <c r="AHW12" s="35"/>
      <c r="AHX12" s="35"/>
      <c r="AHY12" s="35"/>
      <c r="AHZ12" s="35"/>
      <c r="AIA12" s="35"/>
      <c r="AIB12" s="35"/>
      <c r="AIC12" s="35"/>
      <c r="AID12" s="35"/>
      <c r="AIE12" s="35"/>
      <c r="AIF12" s="35"/>
      <c r="AIG12" s="35"/>
      <c r="AIH12" s="35"/>
      <c r="AII12" s="35"/>
      <c r="AIJ12" s="35"/>
      <c r="AIK12" s="35"/>
      <c r="AIL12" s="35"/>
      <c r="AIM12" s="35"/>
      <c r="AIN12" s="35"/>
      <c r="AIO12" s="35"/>
      <c r="AIP12" s="35"/>
      <c r="AIQ12" s="35"/>
      <c r="AIR12" s="35"/>
      <c r="AIS12" s="35"/>
      <c r="AIT12" s="35"/>
      <c r="AIU12" s="35"/>
      <c r="AIV12" s="35"/>
      <c r="AIW12" s="35"/>
      <c r="AIX12" s="35"/>
      <c r="AIY12" s="35"/>
      <c r="AIZ12" s="35"/>
      <c r="AJA12" s="35"/>
      <c r="AJB12" s="35"/>
      <c r="AJC12" s="35"/>
      <c r="AJD12" s="35"/>
      <c r="AJE12" s="35"/>
      <c r="AJF12" s="35"/>
      <c r="AJG12" s="35"/>
      <c r="AJH12" s="35"/>
      <c r="AJI12" s="35"/>
      <c r="AJJ12" s="35"/>
      <c r="AJK12" s="35"/>
      <c r="AJL12" s="35"/>
      <c r="AJM12" s="35"/>
      <c r="AJN12" s="35"/>
      <c r="AJO12" s="35"/>
      <c r="AJP12" s="35"/>
      <c r="AJQ12" s="35"/>
      <c r="AJR12" s="35"/>
      <c r="AJS12" s="35"/>
      <c r="AJT12" s="35"/>
      <c r="AJU12" s="35"/>
      <c r="AJV12" s="35"/>
      <c r="AJW12" s="35"/>
      <c r="AJX12" s="35"/>
      <c r="AJY12" s="35"/>
      <c r="AJZ12" s="35"/>
      <c r="AKA12" s="35"/>
      <c r="AKB12" s="35"/>
      <c r="AKC12" s="35"/>
      <c r="AKD12" s="35"/>
      <c r="AKE12" s="35"/>
      <c r="AKF12" s="35"/>
      <c r="AKG12" s="35"/>
      <c r="AKH12" s="35"/>
      <c r="AKI12" s="35"/>
      <c r="AKJ12" s="35"/>
      <c r="AKK12" s="35"/>
      <c r="AKL12" s="35"/>
      <c r="AKM12" s="35"/>
      <c r="AKN12" s="35"/>
      <c r="AKO12" s="35"/>
      <c r="AKP12" s="35"/>
      <c r="AKQ12" s="35"/>
      <c r="AKR12" s="35"/>
      <c r="AKS12" s="35"/>
      <c r="AKT12" s="35"/>
      <c r="AKU12" s="35"/>
      <c r="AKV12" s="35"/>
      <c r="AKW12" s="35"/>
      <c r="AKX12" s="35"/>
      <c r="AKY12" s="35"/>
      <c r="AKZ12" s="35"/>
      <c r="ALA12" s="35"/>
      <c r="ALB12" s="35"/>
      <c r="ALC12" s="35"/>
      <c r="ALD12" s="35"/>
      <c r="ALE12" s="35"/>
      <c r="ALF12" s="35"/>
      <c r="ALG12" s="35"/>
      <c r="ALH12" s="35"/>
      <c r="ALI12" s="35"/>
      <c r="ALJ12" s="35"/>
      <c r="ALK12" s="35"/>
      <c r="ALL12" s="35"/>
      <c r="ALM12" s="35"/>
      <c r="ALN12" s="35"/>
      <c r="ALO12" s="35"/>
      <c r="ALP12" s="35"/>
      <c r="ALQ12" s="35"/>
      <c r="ALR12" s="35"/>
      <c r="ALS12" s="35"/>
      <c r="ALT12" s="35"/>
      <c r="ALU12" s="35"/>
      <c r="ALV12" s="35"/>
      <c r="ALW12" s="35"/>
      <c r="ALX12" s="35"/>
      <c r="ALY12" s="35"/>
    </row>
    <row r="13" customFormat="false" ht="12.8" hidden="false" customHeight="true" outlineLevel="0" collapsed="false">
      <c r="A13" s="40"/>
      <c r="B13" s="40"/>
      <c r="C13" s="40"/>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t="s">
        <v>364</v>
      </c>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5"/>
      <c r="GC13" s="35"/>
      <c r="GD13" s="35"/>
      <c r="GE13" s="35"/>
      <c r="GF13" s="35"/>
      <c r="GG13" s="35"/>
      <c r="GH13" s="35"/>
      <c r="GI13" s="35"/>
      <c r="GJ13" s="35"/>
      <c r="GK13" s="35"/>
      <c r="GL13" s="35"/>
      <c r="GM13" s="35"/>
      <c r="GN13" s="35"/>
      <c r="GO13" s="35"/>
      <c r="GP13" s="35"/>
      <c r="GQ13" s="35"/>
      <c r="GR13" s="35"/>
      <c r="GS13" s="35"/>
      <c r="GT13" s="35"/>
      <c r="GU13" s="35"/>
      <c r="GV13" s="35"/>
      <c r="GW13" s="35"/>
      <c r="GX13" s="35"/>
      <c r="GY13" s="35"/>
      <c r="GZ13" s="35"/>
      <c r="HA13" s="35"/>
      <c r="HB13" s="35"/>
      <c r="HC13" s="35"/>
      <c r="HD13" s="35"/>
      <c r="HE13" s="35"/>
      <c r="HF13" s="35"/>
      <c r="HG13" s="35"/>
      <c r="HH13" s="35"/>
      <c r="HI13" s="35"/>
      <c r="HJ13" s="35"/>
      <c r="HK13" s="35"/>
      <c r="HL13" s="35"/>
      <c r="HM13" s="35"/>
      <c r="HN13" s="35"/>
      <c r="HO13" s="35"/>
      <c r="HP13" s="35"/>
      <c r="HQ13" s="35"/>
      <c r="HR13" s="35"/>
      <c r="HS13" s="35"/>
      <c r="HT13" s="35"/>
      <c r="HU13" s="35"/>
      <c r="HV13" s="35"/>
      <c r="HW13" s="35"/>
      <c r="HX13" s="35"/>
      <c r="HY13" s="35"/>
      <c r="HZ13" s="35"/>
      <c r="IA13" s="35"/>
      <c r="IB13" s="35"/>
      <c r="IC13" s="35"/>
      <c r="ID13" s="35"/>
      <c r="IE13" s="35"/>
      <c r="IF13" s="35"/>
      <c r="IG13" s="35"/>
      <c r="IH13" s="35"/>
      <c r="II13" s="35"/>
      <c r="IJ13" s="35"/>
      <c r="IK13" s="35"/>
      <c r="IL13" s="35"/>
      <c r="IM13" s="35"/>
      <c r="IN13" s="35"/>
      <c r="IO13" s="35"/>
      <c r="IP13" s="35"/>
      <c r="IQ13" s="35"/>
      <c r="IR13" s="35"/>
      <c r="IS13" s="35"/>
      <c r="IT13" s="35"/>
      <c r="IU13" s="35"/>
      <c r="IV13" s="35"/>
      <c r="IW13" s="35"/>
      <c r="IX13" s="35"/>
      <c r="IY13" s="35"/>
      <c r="IZ13" s="35"/>
      <c r="JA13" s="35"/>
      <c r="JB13" s="35"/>
      <c r="JC13" s="35"/>
      <c r="JD13" s="35"/>
      <c r="JE13" s="35"/>
      <c r="JF13" s="35"/>
      <c r="JG13" s="35"/>
      <c r="JH13" s="35"/>
      <c r="JI13" s="35"/>
      <c r="JJ13" s="35"/>
      <c r="JK13" s="35"/>
      <c r="JL13" s="35"/>
      <c r="JM13" s="35"/>
      <c r="JN13" s="35"/>
      <c r="JO13" s="35"/>
      <c r="JP13" s="35"/>
      <c r="JQ13" s="35"/>
      <c r="JR13" s="35"/>
      <c r="JS13" s="35"/>
      <c r="JT13" s="35"/>
      <c r="JU13" s="35"/>
      <c r="JV13" s="35"/>
      <c r="JW13" s="35"/>
      <c r="JX13" s="35"/>
      <c r="JY13" s="35"/>
      <c r="JZ13" s="35"/>
      <c r="KA13" s="35"/>
      <c r="KB13" s="35"/>
      <c r="KC13" s="35"/>
      <c r="KD13" s="35"/>
      <c r="KE13" s="35"/>
      <c r="KF13" s="35"/>
      <c r="KG13" s="35"/>
      <c r="KH13" s="35"/>
      <c r="KI13" s="35"/>
      <c r="KJ13" s="35"/>
      <c r="KK13" s="35"/>
      <c r="KL13" s="35"/>
      <c r="KM13" s="35"/>
      <c r="KN13" s="35"/>
      <c r="KO13" s="35"/>
      <c r="KP13" s="35"/>
      <c r="KQ13" s="35"/>
      <c r="KR13" s="35"/>
      <c r="KS13" s="35"/>
      <c r="KT13" s="35"/>
      <c r="KU13" s="35"/>
      <c r="KV13" s="35"/>
      <c r="KW13" s="35"/>
      <c r="KX13" s="35"/>
      <c r="KY13" s="35"/>
      <c r="KZ13" s="35"/>
      <c r="LA13" s="35"/>
      <c r="LB13" s="35"/>
      <c r="LC13" s="35"/>
      <c r="LD13" s="35"/>
      <c r="LE13" s="35"/>
      <c r="LF13" s="35"/>
      <c r="LG13" s="35"/>
      <c r="LH13" s="35"/>
      <c r="LI13" s="35"/>
      <c r="LJ13" s="35"/>
      <c r="LK13" s="35"/>
      <c r="LL13" s="35"/>
      <c r="LM13" s="35"/>
      <c r="LN13" s="35"/>
      <c r="LO13" s="35"/>
      <c r="LP13" s="35"/>
      <c r="LQ13" s="35"/>
      <c r="LR13" s="35"/>
      <c r="LS13" s="35"/>
      <c r="LT13" s="35"/>
      <c r="LU13" s="35"/>
      <c r="LV13" s="35"/>
      <c r="LW13" s="35"/>
      <c r="LX13" s="35"/>
      <c r="LY13" s="35"/>
      <c r="LZ13" s="35"/>
      <c r="MA13" s="35"/>
      <c r="MB13" s="35"/>
      <c r="MC13" s="35"/>
      <c r="MD13" s="35"/>
      <c r="ME13" s="35"/>
      <c r="MF13" s="35"/>
      <c r="MG13" s="35"/>
      <c r="MH13" s="35"/>
      <c r="MI13" s="35"/>
      <c r="MJ13" s="35"/>
      <c r="MK13" s="35"/>
      <c r="ML13" s="35"/>
      <c r="MM13" s="35"/>
      <c r="MN13" s="35"/>
      <c r="MO13" s="35"/>
      <c r="MP13" s="35"/>
      <c r="MQ13" s="35"/>
      <c r="MR13" s="35"/>
      <c r="MS13" s="35"/>
      <c r="MT13" s="35"/>
      <c r="MU13" s="35"/>
      <c r="MV13" s="35"/>
      <c r="MW13" s="35"/>
      <c r="MX13" s="35"/>
      <c r="MY13" s="35"/>
      <c r="MZ13" s="35"/>
      <c r="NA13" s="35"/>
      <c r="NB13" s="35"/>
      <c r="NC13" s="35"/>
      <c r="ND13" s="35"/>
      <c r="NE13" s="35"/>
      <c r="NF13" s="35"/>
      <c r="NG13" s="35"/>
      <c r="NH13" s="35"/>
      <c r="NI13" s="35"/>
      <c r="NJ13" s="35"/>
      <c r="NK13" s="35"/>
      <c r="NL13" s="35"/>
      <c r="NM13" s="35"/>
      <c r="NN13" s="35"/>
      <c r="NO13" s="35"/>
      <c r="NP13" s="35"/>
      <c r="NQ13" s="35"/>
      <c r="NR13" s="35"/>
      <c r="NS13" s="35"/>
      <c r="NT13" s="35"/>
      <c r="NU13" s="35"/>
      <c r="NV13" s="35"/>
      <c r="NW13" s="35"/>
      <c r="NX13" s="35"/>
      <c r="NY13" s="35"/>
      <c r="NZ13" s="35"/>
      <c r="OA13" s="35"/>
      <c r="OB13" s="35"/>
      <c r="OC13" s="35"/>
      <c r="OD13" s="35"/>
      <c r="OE13" s="35"/>
      <c r="OF13" s="35"/>
      <c r="OG13" s="35"/>
      <c r="OH13" s="35"/>
      <c r="OI13" s="35"/>
      <c r="OJ13" s="35"/>
      <c r="OK13" s="35"/>
      <c r="OL13" s="35"/>
      <c r="OM13" s="35"/>
      <c r="ON13" s="35"/>
      <c r="OO13" s="35"/>
      <c r="OP13" s="35"/>
      <c r="OQ13" s="35"/>
      <c r="OR13" s="35"/>
      <c r="OS13" s="35"/>
      <c r="OT13" s="35"/>
      <c r="OU13" s="35"/>
      <c r="OV13" s="35"/>
      <c r="OW13" s="35"/>
      <c r="OX13" s="35"/>
      <c r="OY13" s="35"/>
      <c r="OZ13" s="35"/>
      <c r="PA13" s="35"/>
      <c r="PB13" s="35"/>
      <c r="PC13" s="35"/>
      <c r="PD13" s="35"/>
      <c r="PE13" s="35"/>
      <c r="PF13" s="35"/>
      <c r="PG13" s="35"/>
      <c r="PH13" s="35"/>
      <c r="PI13" s="35"/>
      <c r="PJ13" s="35"/>
      <c r="PK13" s="35"/>
      <c r="PL13" s="35"/>
      <c r="PM13" s="35"/>
      <c r="PN13" s="35"/>
      <c r="PO13" s="35"/>
      <c r="PP13" s="35"/>
      <c r="PQ13" s="35"/>
      <c r="PR13" s="35"/>
      <c r="PS13" s="35"/>
      <c r="PT13" s="35"/>
      <c r="PU13" s="35"/>
      <c r="PV13" s="35"/>
      <c r="PW13" s="35"/>
      <c r="PX13" s="35"/>
      <c r="PY13" s="35"/>
      <c r="PZ13" s="35"/>
      <c r="QA13" s="35"/>
      <c r="QB13" s="35"/>
      <c r="QC13" s="35"/>
      <c r="QD13" s="35"/>
      <c r="QE13" s="35"/>
      <c r="QF13" s="35"/>
      <c r="QG13" s="35"/>
      <c r="QH13" s="35"/>
      <c r="QI13" s="35"/>
      <c r="QJ13" s="35"/>
      <c r="QK13" s="35"/>
      <c r="QL13" s="35"/>
      <c r="QM13" s="35"/>
      <c r="QN13" s="35"/>
      <c r="QO13" s="35"/>
      <c r="QP13" s="35"/>
      <c r="QQ13" s="35"/>
      <c r="QR13" s="35"/>
      <c r="QS13" s="35"/>
      <c r="QT13" s="35"/>
      <c r="QU13" s="35"/>
      <c r="QV13" s="35"/>
      <c r="QW13" s="35"/>
      <c r="QX13" s="35"/>
      <c r="QY13" s="35"/>
      <c r="QZ13" s="35"/>
      <c r="RA13" s="35"/>
      <c r="RB13" s="35"/>
      <c r="RC13" s="35"/>
      <c r="RD13" s="35"/>
      <c r="RE13" s="35"/>
      <c r="RF13" s="35"/>
      <c r="RG13" s="35"/>
      <c r="RH13" s="35"/>
      <c r="RI13" s="35"/>
      <c r="RJ13" s="35"/>
      <c r="RK13" s="35"/>
      <c r="RL13" s="35"/>
      <c r="RM13" s="35"/>
      <c r="RN13" s="35"/>
      <c r="RO13" s="35"/>
      <c r="RP13" s="35"/>
      <c r="RQ13" s="35"/>
      <c r="RR13" s="35"/>
      <c r="RS13" s="35"/>
      <c r="RT13" s="35"/>
      <c r="RU13" s="35"/>
      <c r="RV13" s="35"/>
      <c r="RW13" s="35"/>
      <c r="RX13" s="35"/>
      <c r="RY13" s="35"/>
      <c r="RZ13" s="35"/>
      <c r="SA13" s="35"/>
      <c r="SB13" s="35"/>
      <c r="SC13" s="35"/>
      <c r="SD13" s="35"/>
      <c r="SE13" s="35"/>
      <c r="SF13" s="35"/>
      <c r="SG13" s="35"/>
      <c r="SH13" s="35"/>
      <c r="SI13" s="35"/>
      <c r="SJ13" s="35"/>
      <c r="SK13" s="35"/>
      <c r="SL13" s="35"/>
      <c r="SM13" s="35"/>
      <c r="SN13" s="35"/>
      <c r="SO13" s="35"/>
      <c r="SP13" s="35"/>
      <c r="SQ13" s="35"/>
      <c r="SR13" s="35"/>
      <c r="SS13" s="35"/>
      <c r="ST13" s="35"/>
      <c r="SU13" s="35"/>
      <c r="SV13" s="35"/>
      <c r="SW13" s="35"/>
      <c r="SX13" s="35"/>
      <c r="SY13" s="35"/>
      <c r="SZ13" s="35"/>
      <c r="TA13" s="35"/>
      <c r="TB13" s="35"/>
      <c r="TC13" s="35"/>
      <c r="TD13" s="35"/>
      <c r="TE13" s="35"/>
      <c r="TF13" s="35"/>
      <c r="TG13" s="35"/>
      <c r="TH13" s="35"/>
      <c r="TI13" s="35"/>
      <c r="TJ13" s="35"/>
      <c r="TK13" s="35"/>
      <c r="TL13" s="35"/>
      <c r="TM13" s="35"/>
      <c r="TN13" s="35"/>
      <c r="TO13" s="35"/>
      <c r="TP13" s="35"/>
      <c r="TQ13" s="35"/>
      <c r="TR13" s="35"/>
      <c r="TS13" s="35"/>
      <c r="TT13" s="35"/>
      <c r="TU13" s="35"/>
      <c r="TV13" s="35"/>
      <c r="TW13" s="35"/>
      <c r="TX13" s="35"/>
      <c r="TY13" s="35"/>
      <c r="TZ13" s="35"/>
      <c r="UA13" s="35"/>
      <c r="UB13" s="35"/>
      <c r="UC13" s="35"/>
      <c r="UD13" s="35"/>
      <c r="UE13" s="35"/>
      <c r="UF13" s="35"/>
      <c r="UG13" s="35"/>
      <c r="UH13" s="35"/>
      <c r="UI13" s="35"/>
      <c r="UJ13" s="35"/>
      <c r="UK13" s="35"/>
      <c r="UL13" s="35"/>
      <c r="UM13" s="35"/>
      <c r="UN13" s="35"/>
      <c r="UO13" s="35"/>
      <c r="UP13" s="35"/>
      <c r="UQ13" s="35"/>
      <c r="UR13" s="35"/>
      <c r="US13" s="35"/>
      <c r="UT13" s="35"/>
      <c r="UU13" s="35"/>
      <c r="UV13" s="35"/>
      <c r="UW13" s="35"/>
      <c r="UX13" s="35"/>
      <c r="UY13" s="35"/>
      <c r="UZ13" s="35"/>
      <c r="VA13" s="35"/>
      <c r="VB13" s="35"/>
      <c r="VC13" s="35"/>
      <c r="VD13" s="35"/>
      <c r="VE13" s="35"/>
      <c r="VF13" s="35"/>
      <c r="VG13" s="35"/>
      <c r="VH13" s="35"/>
      <c r="VI13" s="35"/>
      <c r="VJ13" s="35"/>
      <c r="VK13" s="35"/>
      <c r="VL13" s="35"/>
      <c r="VM13" s="35"/>
      <c r="VN13" s="35"/>
      <c r="VO13" s="35"/>
      <c r="VP13" s="35"/>
      <c r="VQ13" s="35"/>
      <c r="VR13" s="35"/>
      <c r="VS13" s="35"/>
      <c r="VT13" s="35"/>
      <c r="VU13" s="35"/>
      <c r="VV13" s="35"/>
      <c r="VW13" s="35"/>
      <c r="VX13" s="35"/>
      <c r="VY13" s="35"/>
      <c r="VZ13" s="35"/>
      <c r="WA13" s="35"/>
      <c r="WB13" s="35"/>
      <c r="WC13" s="35"/>
      <c r="WD13" s="35"/>
      <c r="WE13" s="35"/>
      <c r="WF13" s="35"/>
      <c r="WG13" s="35"/>
      <c r="WH13" s="35"/>
      <c r="WI13" s="35"/>
      <c r="WJ13" s="35"/>
      <c r="WK13" s="35"/>
      <c r="WL13" s="35"/>
      <c r="WM13" s="35"/>
      <c r="WN13" s="35"/>
      <c r="WO13" s="35"/>
      <c r="WP13" s="35"/>
      <c r="WQ13" s="35"/>
      <c r="WR13" s="35"/>
      <c r="WS13" s="35"/>
      <c r="WT13" s="35"/>
      <c r="WU13" s="35"/>
      <c r="WV13" s="35"/>
      <c r="WW13" s="35"/>
      <c r="WX13" s="35"/>
      <c r="WY13" s="35"/>
      <c r="WZ13" s="35"/>
      <c r="XA13" s="35"/>
      <c r="XB13" s="35"/>
      <c r="XC13" s="35"/>
      <c r="XD13" s="35"/>
      <c r="XE13" s="35"/>
      <c r="XF13" s="35"/>
      <c r="XG13" s="35"/>
      <c r="XH13" s="35"/>
      <c r="XI13" s="35"/>
      <c r="XJ13" s="35"/>
      <c r="XK13" s="35"/>
      <c r="XL13" s="35"/>
      <c r="XM13" s="35"/>
      <c r="XN13" s="35"/>
      <c r="XO13" s="35"/>
      <c r="XP13" s="35"/>
      <c r="XQ13" s="35"/>
      <c r="XR13" s="35"/>
      <c r="XS13" s="35"/>
      <c r="XT13" s="35"/>
      <c r="XU13" s="35"/>
      <c r="XV13" s="35"/>
      <c r="XW13" s="35"/>
      <c r="XX13" s="35"/>
      <c r="XY13" s="35"/>
      <c r="XZ13" s="35"/>
      <c r="YA13" s="35"/>
      <c r="YB13" s="35"/>
      <c r="YC13" s="35"/>
      <c r="YD13" s="35"/>
      <c r="YE13" s="35"/>
      <c r="YF13" s="35"/>
      <c r="YG13" s="35"/>
      <c r="YH13" s="35"/>
      <c r="YI13" s="35"/>
      <c r="YJ13" s="35"/>
      <c r="YK13" s="35"/>
      <c r="YL13" s="35"/>
      <c r="YM13" s="35"/>
      <c r="YN13" s="35"/>
      <c r="YO13" s="35"/>
      <c r="YP13" s="35"/>
      <c r="YQ13" s="35"/>
      <c r="YR13" s="35"/>
      <c r="YS13" s="35"/>
      <c r="YT13" s="35"/>
      <c r="YU13" s="35"/>
      <c r="YV13" s="35"/>
      <c r="YW13" s="35"/>
      <c r="YX13" s="35"/>
      <c r="YY13" s="35"/>
      <c r="YZ13" s="35"/>
      <c r="ZA13" s="35"/>
      <c r="ZB13" s="35"/>
      <c r="ZC13" s="35"/>
      <c r="ZD13" s="35"/>
      <c r="ZE13" s="35"/>
      <c r="ZF13" s="35"/>
      <c r="ZG13" s="35"/>
      <c r="ZH13" s="35"/>
      <c r="ZI13" s="35"/>
      <c r="ZJ13" s="35"/>
      <c r="ZK13" s="35"/>
      <c r="ZL13" s="35"/>
      <c r="ZM13" s="35"/>
      <c r="ZN13" s="35"/>
      <c r="ZO13" s="35"/>
      <c r="ZP13" s="35"/>
      <c r="ZQ13" s="35"/>
      <c r="ZR13" s="35"/>
      <c r="ZS13" s="35"/>
      <c r="ZT13" s="35"/>
      <c r="ZU13" s="35"/>
      <c r="ZV13" s="35"/>
      <c r="ZW13" s="35"/>
      <c r="ZX13" s="35"/>
      <c r="ZY13" s="35"/>
      <c r="ZZ13" s="35"/>
      <c r="AAA13" s="35"/>
      <c r="AAB13" s="35"/>
      <c r="AAC13" s="35"/>
      <c r="AAD13" s="35"/>
      <c r="AAE13" s="35"/>
      <c r="AAF13" s="35"/>
      <c r="AAG13" s="35"/>
      <c r="AAH13" s="35"/>
      <c r="AAI13" s="35"/>
      <c r="AAJ13" s="35"/>
      <c r="AAK13" s="35"/>
      <c r="AAL13" s="35"/>
      <c r="AAM13" s="35"/>
      <c r="AAN13" s="35"/>
      <c r="AAO13" s="35"/>
      <c r="AAP13" s="35"/>
      <c r="AAQ13" s="35"/>
      <c r="AAR13" s="35"/>
      <c r="AAS13" s="35"/>
      <c r="AAT13" s="35"/>
      <c r="AAU13" s="35"/>
      <c r="AAV13" s="35"/>
      <c r="AAW13" s="35"/>
      <c r="AAX13" s="35"/>
      <c r="AAY13" s="35"/>
      <c r="AAZ13" s="35"/>
      <c r="ABA13" s="35"/>
      <c r="ABB13" s="35"/>
      <c r="ABC13" s="35"/>
      <c r="ABD13" s="35"/>
      <c r="ABE13" s="35"/>
      <c r="ABF13" s="35"/>
      <c r="ABG13" s="35"/>
      <c r="ABH13" s="35"/>
      <c r="ABI13" s="35"/>
      <c r="ABJ13" s="35"/>
      <c r="ABK13" s="35"/>
      <c r="ABL13" s="35"/>
      <c r="ABM13" s="35"/>
      <c r="ABN13" s="35"/>
      <c r="ABO13" s="35"/>
      <c r="ABP13" s="35"/>
      <c r="ABQ13" s="35"/>
      <c r="ABR13" s="35"/>
      <c r="ABS13" s="35"/>
      <c r="ABT13" s="35"/>
      <c r="ABU13" s="35"/>
      <c r="ABV13" s="35"/>
      <c r="ABW13" s="35"/>
      <c r="ABX13" s="35"/>
      <c r="ABY13" s="35"/>
      <c r="ABZ13" s="35"/>
      <c r="ACA13" s="35"/>
      <c r="ACB13" s="35"/>
      <c r="ACC13" s="35"/>
      <c r="ACD13" s="35"/>
      <c r="ACE13" s="35"/>
      <c r="ACF13" s="35"/>
      <c r="ACG13" s="35"/>
      <c r="ACH13" s="35"/>
      <c r="ACI13" s="35"/>
      <c r="ACJ13" s="35"/>
      <c r="ACK13" s="35"/>
      <c r="ACL13" s="35"/>
      <c r="ACM13" s="35"/>
      <c r="ACN13" s="35"/>
      <c r="ACO13" s="35"/>
      <c r="ACP13" s="35"/>
      <c r="ACQ13" s="35"/>
      <c r="ACR13" s="35"/>
      <c r="ACS13" s="35"/>
      <c r="ACT13" s="35"/>
      <c r="ACU13" s="35"/>
      <c r="ACV13" s="35"/>
      <c r="ACW13" s="35"/>
      <c r="ACX13" s="35"/>
      <c r="ACY13" s="35"/>
      <c r="ACZ13" s="35"/>
      <c r="ADA13" s="35"/>
      <c r="ADB13" s="35"/>
      <c r="ADC13" s="35"/>
      <c r="ADD13" s="35"/>
      <c r="ADE13" s="35"/>
      <c r="ADF13" s="35"/>
      <c r="ADG13" s="35"/>
      <c r="ADH13" s="35"/>
      <c r="ADI13" s="35"/>
      <c r="ADJ13" s="35"/>
      <c r="ADK13" s="35"/>
      <c r="ADL13" s="35"/>
      <c r="ADM13" s="35"/>
      <c r="ADN13" s="35"/>
      <c r="ADO13" s="35"/>
      <c r="ADP13" s="35"/>
      <c r="ADQ13" s="35"/>
      <c r="ADR13" s="35"/>
      <c r="ADS13" s="35"/>
      <c r="ADT13" s="35"/>
      <c r="ADU13" s="35"/>
      <c r="ADV13" s="35"/>
      <c r="ADW13" s="35"/>
      <c r="ADX13" s="35"/>
      <c r="ADY13" s="35"/>
      <c r="ADZ13" s="35"/>
      <c r="AEA13" s="35"/>
      <c r="AEB13" s="35"/>
      <c r="AEC13" s="35"/>
      <c r="AED13" s="35"/>
      <c r="AEE13" s="35"/>
      <c r="AEF13" s="35"/>
      <c r="AEG13" s="35"/>
      <c r="AEH13" s="35"/>
      <c r="AEI13" s="35"/>
      <c r="AEJ13" s="35"/>
      <c r="AEK13" s="35"/>
      <c r="AEL13" s="35"/>
      <c r="AEM13" s="35"/>
      <c r="AEN13" s="35"/>
      <c r="AEO13" s="35"/>
      <c r="AEP13" s="35"/>
      <c r="AEQ13" s="35"/>
      <c r="AER13" s="35"/>
      <c r="AES13" s="35"/>
      <c r="AET13" s="35"/>
      <c r="AEU13" s="35"/>
      <c r="AEV13" s="35"/>
      <c r="AEW13" s="35"/>
      <c r="AEX13" s="35"/>
      <c r="AEY13" s="35"/>
      <c r="AEZ13" s="35"/>
      <c r="AFA13" s="35"/>
      <c r="AFB13" s="35"/>
      <c r="AFC13" s="35"/>
      <c r="AFD13" s="35"/>
      <c r="AFE13" s="35"/>
      <c r="AFF13" s="35"/>
      <c r="AFG13" s="35"/>
      <c r="AFH13" s="35"/>
      <c r="AFI13" s="35"/>
      <c r="AFJ13" s="35"/>
      <c r="AFK13" s="35"/>
      <c r="AFL13" s="35"/>
      <c r="AFM13" s="35"/>
      <c r="AFN13" s="35"/>
      <c r="AFO13" s="35"/>
      <c r="AFP13" s="35"/>
      <c r="AFQ13" s="35"/>
      <c r="AFR13" s="35"/>
      <c r="AFS13" s="35"/>
      <c r="AFT13" s="35"/>
      <c r="AFU13" s="35"/>
      <c r="AFV13" s="35"/>
      <c r="AFW13" s="35"/>
      <c r="AFX13" s="35"/>
      <c r="AFY13" s="35"/>
      <c r="AFZ13" s="35"/>
      <c r="AGA13" s="35"/>
      <c r="AGB13" s="35"/>
      <c r="AGC13" s="35"/>
      <c r="AGD13" s="35"/>
      <c r="AGE13" s="35"/>
      <c r="AGF13" s="35"/>
      <c r="AGG13" s="35"/>
      <c r="AGH13" s="35"/>
      <c r="AGI13" s="35"/>
      <c r="AGJ13" s="35"/>
      <c r="AGK13" s="35"/>
      <c r="AGL13" s="35"/>
      <c r="AGM13" s="35"/>
      <c r="AGN13" s="35"/>
      <c r="AGO13" s="35"/>
      <c r="AGP13" s="35"/>
      <c r="AGQ13" s="35"/>
      <c r="AGR13" s="35"/>
      <c r="AGS13" s="35"/>
      <c r="AGT13" s="35"/>
      <c r="AGU13" s="35"/>
      <c r="AGV13" s="35"/>
      <c r="AGW13" s="35"/>
      <c r="AGX13" s="35"/>
      <c r="AGY13" s="35"/>
      <c r="AGZ13" s="35"/>
      <c r="AHA13" s="35"/>
      <c r="AHB13" s="35"/>
      <c r="AHC13" s="35"/>
      <c r="AHD13" s="35"/>
      <c r="AHE13" s="35"/>
      <c r="AHF13" s="35"/>
      <c r="AHG13" s="35"/>
      <c r="AHH13" s="35"/>
      <c r="AHI13" s="35"/>
      <c r="AHJ13" s="35"/>
      <c r="AHK13" s="35"/>
      <c r="AHL13" s="35"/>
      <c r="AHM13" s="35"/>
      <c r="AHN13" s="35"/>
      <c r="AHO13" s="35"/>
      <c r="AHP13" s="35"/>
      <c r="AHQ13" s="35"/>
      <c r="AHR13" s="35"/>
      <c r="AHS13" s="35"/>
      <c r="AHT13" s="35"/>
      <c r="AHU13" s="35"/>
      <c r="AHV13" s="35"/>
      <c r="AHW13" s="35"/>
      <c r="AHX13" s="35"/>
      <c r="AHY13" s="35"/>
      <c r="AHZ13" s="35"/>
      <c r="AIA13" s="35"/>
      <c r="AIB13" s="35"/>
      <c r="AIC13" s="35"/>
      <c r="AID13" s="35"/>
      <c r="AIE13" s="35"/>
      <c r="AIF13" s="35"/>
      <c r="AIG13" s="35"/>
      <c r="AIH13" s="35"/>
      <c r="AII13" s="35"/>
      <c r="AIJ13" s="35"/>
      <c r="AIK13" s="35"/>
      <c r="AIL13" s="35"/>
      <c r="AIM13" s="35"/>
      <c r="AIN13" s="35"/>
      <c r="AIO13" s="35"/>
      <c r="AIP13" s="35"/>
      <c r="AIQ13" s="35"/>
      <c r="AIR13" s="35"/>
      <c r="AIS13" s="35"/>
      <c r="AIT13" s="35"/>
      <c r="AIU13" s="35"/>
      <c r="AIV13" s="35"/>
      <c r="AIW13" s="35"/>
      <c r="AIX13" s="35"/>
      <c r="AIY13" s="35"/>
      <c r="AIZ13" s="35"/>
      <c r="AJA13" s="35"/>
      <c r="AJB13" s="35"/>
      <c r="AJC13" s="35"/>
      <c r="AJD13" s="35"/>
      <c r="AJE13" s="35"/>
      <c r="AJF13" s="35"/>
      <c r="AJG13" s="35"/>
      <c r="AJH13" s="35"/>
      <c r="AJI13" s="35"/>
      <c r="AJJ13" s="35"/>
      <c r="AJK13" s="35"/>
      <c r="AJL13" s="35"/>
      <c r="AJM13" s="35"/>
      <c r="AJN13" s="35"/>
      <c r="AJO13" s="35"/>
      <c r="AJP13" s="35"/>
      <c r="AJQ13" s="35"/>
      <c r="AJR13" s="35"/>
      <c r="AJS13" s="35"/>
      <c r="AJT13" s="35"/>
      <c r="AJU13" s="35"/>
      <c r="AJV13" s="35"/>
      <c r="AJW13" s="35"/>
      <c r="AJX13" s="35"/>
      <c r="AJY13" s="35"/>
      <c r="AJZ13" s="35"/>
      <c r="AKA13" s="35"/>
      <c r="AKB13" s="35"/>
      <c r="AKC13" s="35"/>
      <c r="AKD13" s="35"/>
      <c r="AKE13" s="35"/>
      <c r="AKF13" s="35"/>
      <c r="AKG13" s="35"/>
      <c r="AKH13" s="35"/>
      <c r="AKI13" s="35"/>
      <c r="AKJ13" s="35"/>
      <c r="AKK13" s="35"/>
      <c r="AKL13" s="35"/>
      <c r="AKM13" s="35"/>
      <c r="AKN13" s="35"/>
      <c r="AKO13" s="35"/>
      <c r="AKP13" s="35"/>
      <c r="AKQ13" s="35"/>
      <c r="AKR13" s="35"/>
      <c r="AKS13" s="35"/>
      <c r="AKT13" s="35"/>
      <c r="AKU13" s="35"/>
      <c r="AKV13" s="35"/>
      <c r="AKW13" s="35"/>
      <c r="AKX13" s="35"/>
      <c r="AKY13" s="35"/>
      <c r="AKZ13" s="35"/>
      <c r="ALA13" s="35"/>
      <c r="ALB13" s="35"/>
      <c r="ALC13" s="35"/>
      <c r="ALD13" s="35"/>
      <c r="ALE13" s="35"/>
      <c r="ALF13" s="35"/>
      <c r="ALG13" s="35"/>
      <c r="ALH13" s="35"/>
      <c r="ALI13" s="35"/>
      <c r="ALJ13" s="35"/>
      <c r="ALK13" s="35"/>
      <c r="ALL13" s="35"/>
      <c r="ALM13" s="35"/>
      <c r="ALN13" s="35"/>
      <c r="ALO13" s="35"/>
      <c r="ALP13" s="35"/>
      <c r="ALQ13" s="35"/>
      <c r="ALR13" s="35"/>
      <c r="ALS13" s="35"/>
      <c r="ALT13" s="35"/>
      <c r="ALU13" s="35"/>
      <c r="ALV13" s="35"/>
      <c r="ALW13" s="35"/>
      <c r="ALX13" s="35"/>
      <c r="ALY13" s="35"/>
    </row>
    <row r="14" customFormat="false" ht="120.95" hidden="true" customHeight="true" outlineLevel="1" collapsed="false">
      <c r="A14" s="30" t="n">
        <f aca="true">TODAY()</f>
        <v>46321</v>
      </c>
      <c r="B14" s="33" t="s">
        <v>573</v>
      </c>
      <c r="C14" s="33" t="s">
        <v>574</v>
      </c>
      <c r="D14" s="33" t="s">
        <v>369</v>
      </c>
      <c r="E14" s="33" t="s">
        <v>370</v>
      </c>
      <c r="F14" s="33" t="s">
        <v>371</v>
      </c>
      <c r="G14" s="33" t="s">
        <v>371</v>
      </c>
      <c r="H14" s="33" t="s">
        <v>371</v>
      </c>
      <c r="I14" s="33" t="s">
        <v>371</v>
      </c>
      <c r="J14" s="33" t="s">
        <v>371</v>
      </c>
      <c r="K14" s="33" t="s">
        <v>372</v>
      </c>
      <c r="L14" s="33" t="s">
        <v>575</v>
      </c>
      <c r="M14" s="33" t="s">
        <v>576</v>
      </c>
      <c r="N14" s="33" t="s">
        <v>577</v>
      </c>
      <c r="O14" s="33" t="s">
        <v>578</v>
      </c>
      <c r="P14" s="33" t="s">
        <v>579</v>
      </c>
      <c r="Q14" s="33" t="s">
        <v>373</v>
      </c>
      <c r="R14" s="33" t="s">
        <v>580</v>
      </c>
      <c r="S14" s="33" t="s">
        <v>581</v>
      </c>
      <c r="T14" s="33" t="s">
        <v>375</v>
      </c>
      <c r="U14" s="33" t="s">
        <v>582</v>
      </c>
      <c r="V14" s="34" t="s">
        <v>374</v>
      </c>
      <c r="W14" s="33" t="s">
        <v>583</v>
      </c>
      <c r="X14" s="33" t="s">
        <v>584</v>
      </c>
      <c r="Y14" s="33" t="s">
        <v>376</v>
      </c>
      <c r="Z14" s="33" t="s">
        <v>377</v>
      </c>
      <c r="AA14" s="31" t="s">
        <v>380</v>
      </c>
      <c r="AB14" s="34" t="s">
        <v>381</v>
      </c>
      <c r="AC14" s="34" t="s">
        <v>585</v>
      </c>
      <c r="AD14" s="33" t="s">
        <v>387</v>
      </c>
      <c r="AE14" s="33" t="s">
        <v>388</v>
      </c>
      <c r="AF14" s="33" t="s">
        <v>389</v>
      </c>
      <c r="AG14" s="33" t="s">
        <v>390</v>
      </c>
      <c r="AH14" s="33" t="s">
        <v>586</v>
      </c>
      <c r="AI14" s="33" t="s">
        <v>587</v>
      </c>
      <c r="AJ14" s="33" t="s">
        <v>588</v>
      </c>
      <c r="AK14" s="31" t="s">
        <v>379</v>
      </c>
      <c r="AL14" s="34" t="s">
        <v>382</v>
      </c>
      <c r="AM14" s="31" t="s">
        <v>383</v>
      </c>
      <c r="AN14" s="31" t="s">
        <v>384</v>
      </c>
      <c r="AO14" s="33" t="s">
        <v>385</v>
      </c>
      <c r="AP14" s="31" t="s">
        <v>386</v>
      </c>
      <c r="AQ14" s="31" t="s">
        <v>365</v>
      </c>
      <c r="AR14" s="31" t="s">
        <v>366</v>
      </c>
      <c r="AS14" s="32" t="s">
        <v>367</v>
      </c>
      <c r="AT14" s="32" t="s">
        <v>368</v>
      </c>
      <c r="AU14" s="31" t="s">
        <v>412</v>
      </c>
      <c r="AV14" s="35"/>
      <c r="AW14" s="35"/>
      <c r="AX14" s="35"/>
      <c r="AY14" s="35"/>
      <c r="AZ14" s="35"/>
      <c r="BA14" s="35"/>
      <c r="BB14" s="35"/>
      <c r="BC14" s="35"/>
      <c r="BD14" s="35"/>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5"/>
      <c r="CD14" s="35"/>
      <c r="CE14" s="35"/>
      <c r="CF14" s="35"/>
      <c r="CG14" s="35"/>
      <c r="CH14" s="35"/>
      <c r="CI14" s="35"/>
      <c r="CJ14" s="35"/>
      <c r="CK14" s="35"/>
      <c r="CL14" s="35"/>
      <c r="CM14" s="35"/>
      <c r="CN14" s="35"/>
      <c r="CO14" s="35"/>
      <c r="CP14" s="35"/>
      <c r="CQ14" s="35"/>
      <c r="CR14" s="35"/>
      <c r="CS14" s="35"/>
      <c r="CT14" s="35"/>
      <c r="CU14" s="35"/>
      <c r="CV14" s="35"/>
      <c r="CW14" s="35"/>
      <c r="CX14" s="35"/>
      <c r="CY14" s="35"/>
      <c r="CZ14" s="35"/>
      <c r="DA14" s="35"/>
      <c r="DB14" s="35"/>
      <c r="DC14" s="35"/>
      <c r="DD14" s="35"/>
      <c r="DE14" s="35"/>
      <c r="DF14" s="35"/>
      <c r="DG14" s="35"/>
      <c r="DH14" s="35"/>
      <c r="DI14" s="35"/>
      <c r="DJ14" s="35"/>
      <c r="DK14" s="35"/>
      <c r="DL14" s="35"/>
      <c r="DM14" s="35"/>
      <c r="DN14" s="35"/>
      <c r="DO14" s="35"/>
      <c r="DP14" s="35"/>
      <c r="DQ14" s="35"/>
      <c r="DR14" s="35"/>
      <c r="DS14" s="35"/>
      <c r="DT14" s="35"/>
      <c r="DU14" s="35"/>
      <c r="DV14" s="35"/>
      <c r="DW14" s="35"/>
      <c r="DX14" s="35"/>
      <c r="DY14" s="35"/>
      <c r="DZ14" s="35"/>
      <c r="EA14" s="35"/>
      <c r="EB14" s="35"/>
      <c r="EC14" s="35"/>
      <c r="ED14" s="35"/>
      <c r="EE14" s="35"/>
      <c r="EF14" s="35"/>
      <c r="EG14" s="35"/>
      <c r="EH14" s="35"/>
      <c r="EI14" s="35"/>
      <c r="EJ14" s="35"/>
      <c r="EK14" s="35"/>
      <c r="EL14" s="35"/>
      <c r="EM14" s="35"/>
      <c r="EN14" s="35"/>
      <c r="EO14" s="35"/>
      <c r="EP14" s="35"/>
      <c r="EQ14" s="35"/>
      <c r="ER14" s="35"/>
      <c r="ES14" s="35"/>
      <c r="ET14" s="35"/>
      <c r="EU14" s="35"/>
      <c r="EV14" s="35"/>
      <c r="EW14" s="35"/>
      <c r="EX14" s="35"/>
      <c r="EY14" s="35"/>
      <c r="EZ14" s="35"/>
      <c r="FA14" s="35"/>
      <c r="FB14" s="35"/>
      <c r="FC14" s="35"/>
      <c r="FD14" s="35"/>
      <c r="FE14" s="35"/>
      <c r="FF14" s="35"/>
      <c r="FG14" s="35"/>
      <c r="FH14" s="35"/>
      <c r="FI14" s="35"/>
      <c r="FJ14" s="35"/>
      <c r="FK14" s="35"/>
      <c r="FL14" s="35"/>
      <c r="FM14" s="35"/>
      <c r="FN14" s="35"/>
      <c r="FO14" s="35"/>
      <c r="FP14" s="35"/>
      <c r="FQ14" s="35"/>
      <c r="FR14" s="35"/>
      <c r="FS14" s="35"/>
      <c r="FT14" s="35"/>
      <c r="FU14" s="35"/>
      <c r="FV14" s="35"/>
      <c r="FW14" s="35"/>
      <c r="FX14" s="35"/>
      <c r="FY14" s="35"/>
      <c r="FZ14" s="35"/>
      <c r="GA14" s="35"/>
      <c r="GB14" s="35"/>
      <c r="GC14" s="35"/>
      <c r="GD14" s="35"/>
      <c r="GE14" s="35"/>
      <c r="GF14" s="35"/>
      <c r="GG14" s="35"/>
      <c r="GH14" s="35"/>
      <c r="GI14" s="35"/>
      <c r="GJ14" s="35"/>
      <c r="GK14" s="35"/>
      <c r="GL14" s="35"/>
      <c r="GM14" s="35"/>
      <c r="GN14" s="35"/>
      <c r="GO14" s="35"/>
      <c r="GP14" s="35"/>
      <c r="GQ14" s="35"/>
      <c r="GR14" s="35"/>
      <c r="GS14" s="35"/>
      <c r="GT14" s="35"/>
      <c r="GU14" s="35"/>
      <c r="GV14" s="35"/>
      <c r="GW14" s="35"/>
      <c r="GX14" s="35"/>
      <c r="GY14" s="35"/>
      <c r="GZ14" s="35"/>
      <c r="HA14" s="35"/>
      <c r="HB14" s="35"/>
      <c r="HC14" s="35"/>
      <c r="HD14" s="35"/>
      <c r="HE14" s="35"/>
      <c r="HF14" s="35"/>
      <c r="HG14" s="35"/>
      <c r="HH14" s="35"/>
      <c r="HI14" s="35"/>
      <c r="HJ14" s="35"/>
      <c r="HK14" s="35"/>
      <c r="HL14" s="35"/>
      <c r="HM14" s="35"/>
      <c r="HN14" s="35"/>
      <c r="HO14" s="35"/>
      <c r="HP14" s="35"/>
      <c r="HQ14" s="35"/>
      <c r="HR14" s="35"/>
      <c r="HS14" s="35"/>
      <c r="HT14" s="35"/>
      <c r="HU14" s="35"/>
      <c r="HV14" s="35"/>
      <c r="HW14" s="35"/>
      <c r="HX14" s="35"/>
      <c r="HY14" s="35"/>
      <c r="HZ14" s="35"/>
      <c r="IA14" s="35"/>
      <c r="IB14" s="35"/>
      <c r="IC14" s="35"/>
      <c r="ID14" s="35"/>
      <c r="IE14" s="35"/>
      <c r="IF14" s="35"/>
      <c r="IG14" s="35"/>
      <c r="IH14" s="35"/>
      <c r="II14" s="35"/>
      <c r="IJ14" s="35"/>
      <c r="IK14" s="35"/>
      <c r="IL14" s="35"/>
      <c r="IM14" s="35"/>
      <c r="IN14" s="35"/>
      <c r="IO14" s="35"/>
      <c r="IP14" s="35"/>
      <c r="IQ14" s="35"/>
      <c r="IR14" s="35"/>
      <c r="IS14" s="35"/>
      <c r="IT14" s="35"/>
      <c r="IU14" s="35"/>
      <c r="IV14" s="35"/>
      <c r="IW14" s="35"/>
      <c r="IX14" s="35"/>
      <c r="IY14" s="35"/>
      <c r="IZ14" s="35"/>
      <c r="JA14" s="35"/>
      <c r="JB14" s="35"/>
      <c r="JC14" s="35"/>
      <c r="JD14" s="35"/>
      <c r="JE14" s="35"/>
      <c r="JF14" s="35"/>
      <c r="JG14" s="35"/>
      <c r="JH14" s="35"/>
      <c r="JI14" s="35"/>
      <c r="JJ14" s="35"/>
      <c r="JK14" s="35"/>
      <c r="JL14" s="35"/>
      <c r="JM14" s="35"/>
      <c r="JN14" s="35"/>
      <c r="JO14" s="35"/>
      <c r="JP14" s="35"/>
      <c r="JQ14" s="35"/>
      <c r="JR14" s="35"/>
      <c r="JS14" s="35"/>
      <c r="JT14" s="35"/>
      <c r="JU14" s="35"/>
      <c r="JV14" s="35"/>
      <c r="JW14" s="35"/>
      <c r="JX14" s="35"/>
      <c r="JY14" s="35"/>
      <c r="JZ14" s="35"/>
      <c r="KA14" s="35"/>
      <c r="KB14" s="35"/>
      <c r="KC14" s="35"/>
      <c r="KD14" s="35"/>
      <c r="KE14" s="35"/>
      <c r="KF14" s="35"/>
      <c r="KG14" s="35"/>
      <c r="KH14" s="35"/>
      <c r="KI14" s="35"/>
      <c r="KJ14" s="35"/>
      <c r="KK14" s="35"/>
      <c r="KL14" s="35"/>
      <c r="KM14" s="35"/>
      <c r="KN14" s="35"/>
      <c r="KO14" s="35"/>
      <c r="KP14" s="35"/>
      <c r="KQ14" s="35"/>
      <c r="KR14" s="35"/>
      <c r="KS14" s="35"/>
      <c r="KT14" s="35"/>
      <c r="KU14" s="35"/>
      <c r="KV14" s="35"/>
      <c r="KW14" s="35"/>
      <c r="KX14" s="35"/>
      <c r="KY14" s="35"/>
      <c r="KZ14" s="35"/>
      <c r="LA14" s="35"/>
      <c r="LB14" s="35"/>
      <c r="LC14" s="35"/>
      <c r="LD14" s="35"/>
      <c r="LE14" s="35"/>
      <c r="LF14" s="35"/>
      <c r="LG14" s="35"/>
      <c r="LH14" s="35"/>
      <c r="LI14" s="35"/>
      <c r="LJ14" s="35"/>
      <c r="LK14" s="35"/>
      <c r="LL14" s="35"/>
      <c r="LM14" s="35"/>
      <c r="LN14" s="35"/>
      <c r="LO14" s="35"/>
      <c r="LP14" s="35"/>
      <c r="LQ14" s="35"/>
      <c r="LR14" s="35"/>
      <c r="LS14" s="35"/>
      <c r="LT14" s="35"/>
      <c r="LU14" s="35"/>
      <c r="LV14" s="35"/>
      <c r="LW14" s="35"/>
      <c r="LX14" s="35"/>
      <c r="LY14" s="35"/>
      <c r="LZ14" s="35"/>
      <c r="MA14" s="35"/>
      <c r="MB14" s="35"/>
      <c r="MC14" s="35"/>
      <c r="MD14" s="35"/>
      <c r="ME14" s="35"/>
      <c r="MF14" s="35"/>
      <c r="MG14" s="35"/>
      <c r="MH14" s="35"/>
      <c r="MI14" s="35"/>
      <c r="MJ14" s="35"/>
      <c r="MK14" s="35"/>
      <c r="ML14" s="35"/>
      <c r="MM14" s="35"/>
      <c r="MN14" s="35"/>
      <c r="MO14" s="35"/>
      <c r="MP14" s="35"/>
      <c r="MQ14" s="35"/>
      <c r="MR14" s="35"/>
      <c r="MS14" s="35"/>
      <c r="MT14" s="35"/>
      <c r="MU14" s="35"/>
      <c r="MV14" s="35"/>
      <c r="MW14" s="35"/>
      <c r="MX14" s="35"/>
      <c r="MY14" s="35"/>
      <c r="MZ14" s="35"/>
      <c r="NA14" s="35"/>
      <c r="NB14" s="35"/>
      <c r="NC14" s="35"/>
      <c r="ND14" s="35"/>
      <c r="NE14" s="35"/>
      <c r="NF14" s="35"/>
      <c r="NG14" s="35"/>
      <c r="NH14" s="35"/>
      <c r="NI14" s="35"/>
      <c r="NJ14" s="35"/>
      <c r="NK14" s="35"/>
      <c r="NL14" s="35"/>
      <c r="NM14" s="35"/>
      <c r="NN14" s="35"/>
      <c r="NO14" s="35"/>
      <c r="NP14" s="35"/>
      <c r="NQ14" s="35"/>
      <c r="NR14" s="35"/>
      <c r="NS14" s="35"/>
      <c r="NT14" s="35"/>
      <c r="NU14" s="35"/>
      <c r="NV14" s="35"/>
      <c r="NW14" s="35"/>
      <c r="NX14" s="35"/>
      <c r="NY14" s="35"/>
      <c r="NZ14" s="35"/>
      <c r="OA14" s="35"/>
      <c r="OB14" s="35"/>
      <c r="OC14" s="35"/>
      <c r="OD14" s="35"/>
      <c r="OE14" s="35"/>
      <c r="OF14" s="35"/>
      <c r="OG14" s="35"/>
      <c r="OH14" s="35"/>
      <c r="OI14" s="35"/>
      <c r="OJ14" s="35"/>
      <c r="OK14" s="35"/>
      <c r="OL14" s="35"/>
      <c r="OM14" s="35"/>
      <c r="ON14" s="35"/>
      <c r="OO14" s="35"/>
      <c r="OP14" s="35"/>
      <c r="OQ14" s="35"/>
      <c r="OR14" s="35"/>
      <c r="OS14" s="35"/>
      <c r="OT14" s="35"/>
      <c r="OU14" s="35"/>
      <c r="OV14" s="35"/>
      <c r="OW14" s="35"/>
      <c r="OX14" s="35"/>
      <c r="OY14" s="35"/>
      <c r="OZ14" s="35"/>
      <c r="PA14" s="35"/>
      <c r="PB14" s="35"/>
      <c r="PC14" s="35"/>
      <c r="PD14" s="35"/>
      <c r="PE14" s="35"/>
      <c r="PF14" s="35"/>
      <c r="PG14" s="35"/>
      <c r="PH14" s="35"/>
      <c r="PI14" s="35"/>
      <c r="PJ14" s="35"/>
      <c r="PK14" s="35"/>
      <c r="PL14" s="35"/>
      <c r="PM14" s="35"/>
      <c r="PN14" s="35"/>
      <c r="PO14" s="35"/>
      <c r="PP14" s="35"/>
      <c r="PQ14" s="35"/>
      <c r="PR14" s="35"/>
      <c r="PS14" s="35"/>
      <c r="PT14" s="35"/>
      <c r="PU14" s="35"/>
      <c r="PV14" s="35"/>
      <c r="PW14" s="35"/>
      <c r="PX14" s="35"/>
      <c r="PY14" s="35"/>
      <c r="PZ14" s="35"/>
      <c r="QA14" s="35"/>
      <c r="QB14" s="35"/>
      <c r="QC14" s="35"/>
      <c r="QD14" s="35"/>
      <c r="QE14" s="35"/>
      <c r="QF14" s="35"/>
      <c r="QG14" s="35"/>
      <c r="QH14" s="35"/>
      <c r="QI14" s="35"/>
      <c r="QJ14" s="35"/>
      <c r="QK14" s="35"/>
      <c r="QL14" s="35"/>
      <c r="QM14" s="35"/>
      <c r="QN14" s="35"/>
      <c r="QO14" s="35"/>
      <c r="QP14" s="35"/>
      <c r="QQ14" s="35"/>
      <c r="QR14" s="35"/>
      <c r="QS14" s="35"/>
      <c r="QT14" s="35"/>
      <c r="QU14" s="35"/>
      <c r="QV14" s="35"/>
      <c r="QW14" s="35"/>
      <c r="QX14" s="35"/>
      <c r="QY14" s="35"/>
      <c r="QZ14" s="35"/>
      <c r="RA14" s="35"/>
      <c r="RB14" s="35"/>
      <c r="RC14" s="35"/>
      <c r="RD14" s="35"/>
      <c r="RE14" s="35"/>
      <c r="RF14" s="35"/>
      <c r="RG14" s="35"/>
      <c r="RH14" s="35"/>
      <c r="RI14" s="35"/>
      <c r="RJ14" s="35"/>
      <c r="RK14" s="35"/>
      <c r="RL14" s="35"/>
      <c r="RM14" s="35"/>
      <c r="RN14" s="35"/>
      <c r="RO14" s="35"/>
      <c r="RP14" s="35"/>
      <c r="RQ14" s="35"/>
      <c r="RR14" s="35"/>
      <c r="RS14" s="35"/>
      <c r="RT14" s="35"/>
      <c r="RU14" s="35"/>
      <c r="RV14" s="35"/>
      <c r="RW14" s="35"/>
      <c r="RX14" s="35"/>
      <c r="RY14" s="35"/>
      <c r="RZ14" s="35"/>
      <c r="SA14" s="35"/>
      <c r="SB14" s="35"/>
      <c r="SC14" s="35"/>
      <c r="SD14" s="35"/>
      <c r="SE14" s="35"/>
      <c r="SF14" s="35"/>
      <c r="SG14" s="35"/>
      <c r="SH14" s="35"/>
      <c r="SI14" s="35"/>
      <c r="SJ14" s="35"/>
      <c r="SK14" s="35"/>
      <c r="SL14" s="35"/>
      <c r="SM14" s="35"/>
      <c r="SN14" s="35"/>
      <c r="SO14" s="35"/>
      <c r="SP14" s="35"/>
      <c r="SQ14" s="35"/>
      <c r="SR14" s="35"/>
      <c r="SS14" s="35"/>
      <c r="ST14" s="35"/>
      <c r="SU14" s="35"/>
      <c r="SV14" s="35"/>
      <c r="SW14" s="35"/>
      <c r="SX14" s="35"/>
      <c r="SY14" s="35"/>
      <c r="SZ14" s="35"/>
      <c r="TA14" s="35"/>
      <c r="TB14" s="35"/>
      <c r="TC14" s="35"/>
      <c r="TD14" s="35"/>
      <c r="TE14" s="35"/>
      <c r="TF14" s="35"/>
      <c r="TG14" s="35"/>
      <c r="TH14" s="35"/>
      <c r="TI14" s="35"/>
      <c r="TJ14" s="35"/>
      <c r="TK14" s="35"/>
      <c r="TL14" s="35"/>
      <c r="TM14" s="35"/>
      <c r="TN14" s="35"/>
      <c r="TO14" s="35"/>
      <c r="TP14" s="35"/>
      <c r="TQ14" s="35"/>
      <c r="TR14" s="35"/>
      <c r="TS14" s="35"/>
      <c r="TT14" s="35"/>
      <c r="TU14" s="35"/>
      <c r="TV14" s="35"/>
      <c r="TW14" s="35"/>
      <c r="TX14" s="35"/>
      <c r="TY14" s="35"/>
      <c r="TZ14" s="35"/>
      <c r="UA14" s="35"/>
      <c r="UB14" s="35"/>
      <c r="UC14" s="35"/>
      <c r="UD14" s="35"/>
      <c r="UE14" s="35"/>
      <c r="UF14" s="35"/>
      <c r="UG14" s="35"/>
      <c r="UH14" s="35"/>
      <c r="UI14" s="35"/>
      <c r="UJ14" s="35"/>
      <c r="UK14" s="35"/>
      <c r="UL14" s="35"/>
      <c r="UM14" s="35"/>
      <c r="UN14" s="35"/>
      <c r="UO14" s="35"/>
      <c r="UP14" s="35"/>
      <c r="UQ14" s="35"/>
      <c r="UR14" s="35"/>
      <c r="US14" s="35"/>
      <c r="UT14" s="35"/>
      <c r="UU14" s="35"/>
      <c r="UV14" s="35"/>
      <c r="UW14" s="35"/>
      <c r="UX14" s="35"/>
      <c r="UY14" s="35"/>
      <c r="UZ14" s="35"/>
      <c r="VA14" s="35"/>
      <c r="VB14" s="35"/>
      <c r="VC14" s="35"/>
      <c r="VD14" s="35"/>
      <c r="VE14" s="35"/>
      <c r="VF14" s="35"/>
      <c r="VG14" s="35"/>
      <c r="VH14" s="35"/>
      <c r="VI14" s="35"/>
      <c r="VJ14" s="35"/>
      <c r="VK14" s="35"/>
      <c r="VL14" s="35"/>
      <c r="VM14" s="35"/>
      <c r="VN14" s="35"/>
      <c r="VO14" s="35"/>
      <c r="VP14" s="35"/>
      <c r="VQ14" s="35"/>
      <c r="VR14" s="35"/>
      <c r="VS14" s="35"/>
      <c r="VT14" s="35"/>
      <c r="VU14" s="35"/>
      <c r="VV14" s="35"/>
      <c r="VW14" s="35"/>
      <c r="VX14" s="35"/>
      <c r="VY14" s="35"/>
      <c r="VZ14" s="35"/>
      <c r="WA14" s="35"/>
      <c r="WB14" s="35"/>
      <c r="WC14" s="35"/>
      <c r="WD14" s="35"/>
      <c r="WE14" s="35"/>
      <c r="WF14" s="35"/>
      <c r="WG14" s="35"/>
      <c r="WH14" s="35"/>
      <c r="WI14" s="35"/>
      <c r="WJ14" s="35"/>
      <c r="WK14" s="35"/>
      <c r="WL14" s="35"/>
      <c r="WM14" s="35"/>
      <c r="WN14" s="35"/>
      <c r="WO14" s="35"/>
      <c r="WP14" s="35"/>
      <c r="WQ14" s="35"/>
      <c r="WR14" s="35"/>
      <c r="WS14" s="35"/>
      <c r="WT14" s="35"/>
      <c r="WU14" s="35"/>
      <c r="WV14" s="35"/>
      <c r="WW14" s="35"/>
      <c r="WX14" s="35"/>
      <c r="WY14" s="35"/>
      <c r="WZ14" s="35"/>
      <c r="XA14" s="35"/>
      <c r="XB14" s="35"/>
      <c r="XC14" s="35"/>
      <c r="XD14" s="35"/>
      <c r="XE14" s="35"/>
      <c r="XF14" s="35"/>
      <c r="XG14" s="35"/>
      <c r="XH14" s="35"/>
      <c r="XI14" s="35"/>
      <c r="XJ14" s="35"/>
      <c r="XK14" s="35"/>
      <c r="XL14" s="35"/>
      <c r="XM14" s="35"/>
      <c r="XN14" s="35"/>
      <c r="XO14" s="35"/>
      <c r="XP14" s="35"/>
      <c r="XQ14" s="35"/>
      <c r="XR14" s="35"/>
      <c r="XS14" s="35"/>
      <c r="XT14" s="35"/>
      <c r="XU14" s="35"/>
      <c r="XV14" s="35"/>
      <c r="XW14" s="35"/>
      <c r="XX14" s="35"/>
      <c r="XY14" s="35"/>
      <c r="XZ14" s="35"/>
      <c r="YA14" s="35"/>
      <c r="YB14" s="35"/>
      <c r="YC14" s="35"/>
      <c r="YD14" s="35"/>
      <c r="YE14" s="35"/>
      <c r="YF14" s="35"/>
      <c r="YG14" s="35"/>
      <c r="YH14" s="35"/>
      <c r="YI14" s="35"/>
      <c r="YJ14" s="35"/>
      <c r="YK14" s="35"/>
      <c r="YL14" s="35"/>
      <c r="YM14" s="35"/>
      <c r="YN14" s="35"/>
      <c r="YO14" s="35"/>
      <c r="YP14" s="35"/>
      <c r="YQ14" s="35"/>
      <c r="YR14" s="35"/>
      <c r="YS14" s="35"/>
      <c r="YT14" s="35"/>
      <c r="YU14" s="35"/>
      <c r="YV14" s="35"/>
      <c r="YW14" s="35"/>
      <c r="YX14" s="35"/>
      <c r="YY14" s="35"/>
      <c r="YZ14" s="35"/>
      <c r="ZA14" s="35"/>
      <c r="ZB14" s="35"/>
      <c r="ZC14" s="35"/>
      <c r="ZD14" s="35"/>
      <c r="ZE14" s="35"/>
      <c r="ZF14" s="35"/>
      <c r="ZG14" s="35"/>
      <c r="ZH14" s="35"/>
      <c r="ZI14" s="35"/>
      <c r="ZJ14" s="35"/>
      <c r="ZK14" s="35"/>
      <c r="ZL14" s="35"/>
      <c r="ZM14" s="35"/>
      <c r="ZN14" s="35"/>
      <c r="ZO14" s="35"/>
      <c r="ZP14" s="35"/>
      <c r="ZQ14" s="35"/>
      <c r="ZR14" s="35"/>
      <c r="ZS14" s="35"/>
      <c r="ZT14" s="35"/>
      <c r="ZU14" s="35"/>
      <c r="ZV14" s="35"/>
      <c r="ZW14" s="35"/>
      <c r="ZX14" s="35"/>
      <c r="ZY14" s="35"/>
      <c r="ZZ14" s="35"/>
      <c r="AAA14" s="35"/>
      <c r="AAB14" s="35"/>
      <c r="AAC14" s="35"/>
      <c r="AAD14" s="35"/>
      <c r="AAE14" s="35"/>
      <c r="AAF14" s="35"/>
      <c r="AAG14" s="35"/>
      <c r="AAH14" s="35"/>
      <c r="AAI14" s="35"/>
      <c r="AAJ14" s="35"/>
      <c r="AAK14" s="35"/>
      <c r="AAL14" s="35"/>
      <c r="AAM14" s="35"/>
      <c r="AAN14" s="35"/>
      <c r="AAO14" s="35"/>
      <c r="AAP14" s="35"/>
      <c r="AAQ14" s="35"/>
      <c r="AAR14" s="35"/>
      <c r="AAS14" s="35"/>
      <c r="AAT14" s="35"/>
      <c r="AAU14" s="35"/>
      <c r="AAV14" s="35"/>
      <c r="AAW14" s="35"/>
      <c r="AAX14" s="35"/>
      <c r="AAY14" s="35"/>
      <c r="AAZ14" s="35"/>
      <c r="ABA14" s="35"/>
      <c r="ABB14" s="35"/>
      <c r="ABC14" s="35"/>
      <c r="ABD14" s="35"/>
      <c r="ABE14" s="35"/>
      <c r="ABF14" s="35"/>
      <c r="ABG14" s="35"/>
      <c r="ABH14" s="35"/>
      <c r="ABI14" s="35"/>
      <c r="ABJ14" s="35"/>
      <c r="ABK14" s="35"/>
      <c r="ABL14" s="35"/>
      <c r="ABM14" s="35"/>
      <c r="ABN14" s="35"/>
      <c r="ABO14" s="35"/>
      <c r="ABP14" s="35"/>
      <c r="ABQ14" s="35"/>
      <c r="ABR14" s="35"/>
      <c r="ABS14" s="35"/>
      <c r="ABT14" s="35"/>
      <c r="ABU14" s="35"/>
      <c r="ABV14" s="35"/>
      <c r="ABW14" s="35"/>
      <c r="ABX14" s="35"/>
      <c r="ABY14" s="35"/>
      <c r="ABZ14" s="35"/>
      <c r="ACA14" s="35"/>
      <c r="ACB14" s="35"/>
      <c r="ACC14" s="35"/>
      <c r="ACD14" s="35"/>
      <c r="ACE14" s="35"/>
      <c r="ACF14" s="35"/>
      <c r="ACG14" s="35"/>
      <c r="ACH14" s="35"/>
      <c r="ACI14" s="35"/>
      <c r="ACJ14" s="35"/>
      <c r="ACK14" s="35"/>
      <c r="ACL14" s="35"/>
      <c r="ACM14" s="35"/>
      <c r="ACN14" s="35"/>
      <c r="ACO14" s="35"/>
      <c r="ACP14" s="35"/>
      <c r="ACQ14" s="35"/>
      <c r="ACR14" s="35"/>
      <c r="ACS14" s="35"/>
      <c r="ACT14" s="35"/>
      <c r="ACU14" s="35"/>
      <c r="ACV14" s="35"/>
      <c r="ACW14" s="35"/>
      <c r="ACX14" s="35"/>
      <c r="ACY14" s="35"/>
      <c r="ACZ14" s="35"/>
      <c r="ADA14" s="35"/>
      <c r="ADB14" s="35"/>
      <c r="ADC14" s="35"/>
      <c r="ADD14" s="35"/>
      <c r="ADE14" s="35"/>
      <c r="ADF14" s="35"/>
      <c r="ADG14" s="35"/>
      <c r="ADH14" s="35"/>
      <c r="ADI14" s="35"/>
      <c r="ADJ14" s="35"/>
      <c r="ADK14" s="35"/>
      <c r="ADL14" s="35"/>
      <c r="ADM14" s="35"/>
      <c r="ADN14" s="35"/>
      <c r="ADO14" s="35"/>
      <c r="ADP14" s="35"/>
      <c r="ADQ14" s="35"/>
      <c r="ADR14" s="35"/>
      <c r="ADS14" s="35"/>
      <c r="ADT14" s="35"/>
      <c r="ADU14" s="35"/>
      <c r="ADV14" s="35"/>
      <c r="ADW14" s="35"/>
      <c r="ADX14" s="35"/>
      <c r="ADY14" s="35"/>
      <c r="ADZ14" s="35"/>
      <c r="AEA14" s="35"/>
      <c r="AEB14" s="35"/>
      <c r="AEC14" s="35"/>
      <c r="AED14" s="35"/>
      <c r="AEE14" s="35"/>
      <c r="AEF14" s="35"/>
      <c r="AEG14" s="35"/>
      <c r="AEH14" s="35"/>
      <c r="AEI14" s="35"/>
      <c r="AEJ14" s="35"/>
      <c r="AEK14" s="35"/>
      <c r="AEL14" s="35"/>
      <c r="AEM14" s="35"/>
      <c r="AEN14" s="35"/>
      <c r="AEO14" s="35"/>
      <c r="AEP14" s="35"/>
      <c r="AEQ14" s="35"/>
      <c r="AER14" s="35"/>
      <c r="AES14" s="35"/>
      <c r="AET14" s="35"/>
      <c r="AEU14" s="35"/>
      <c r="AEV14" s="35"/>
      <c r="AEW14" s="35"/>
      <c r="AEX14" s="35"/>
      <c r="AEY14" s="35"/>
      <c r="AEZ14" s="35"/>
      <c r="AFA14" s="35"/>
      <c r="AFB14" s="35"/>
      <c r="AFC14" s="35"/>
      <c r="AFD14" s="35"/>
      <c r="AFE14" s="35"/>
      <c r="AFF14" s="35"/>
      <c r="AFG14" s="35"/>
      <c r="AFH14" s="35"/>
      <c r="AFI14" s="35"/>
      <c r="AFJ14" s="35"/>
      <c r="AFK14" s="35"/>
      <c r="AFL14" s="35"/>
      <c r="AFM14" s="35"/>
      <c r="AFN14" s="35"/>
      <c r="AFO14" s="35"/>
      <c r="AFP14" s="35"/>
      <c r="AFQ14" s="35"/>
      <c r="AFR14" s="35"/>
      <c r="AFS14" s="35"/>
      <c r="AFT14" s="35"/>
      <c r="AFU14" s="35"/>
      <c r="AFV14" s="35"/>
      <c r="AFW14" s="35"/>
      <c r="AFX14" s="35"/>
      <c r="AFY14" s="35"/>
      <c r="AFZ14" s="35"/>
      <c r="AGA14" s="35"/>
      <c r="AGB14" s="35"/>
      <c r="AGC14" s="35"/>
      <c r="AGD14" s="35"/>
      <c r="AGE14" s="35"/>
      <c r="AGF14" s="35"/>
      <c r="AGG14" s="35"/>
      <c r="AGH14" s="35"/>
      <c r="AGI14" s="35"/>
      <c r="AGJ14" s="35"/>
      <c r="AGK14" s="35"/>
      <c r="AGL14" s="35"/>
      <c r="AGM14" s="35"/>
      <c r="AGN14" s="35"/>
      <c r="AGO14" s="35"/>
      <c r="AGP14" s="35"/>
      <c r="AGQ14" s="35"/>
      <c r="AGR14" s="35"/>
      <c r="AGS14" s="35"/>
      <c r="AGT14" s="35"/>
      <c r="AGU14" s="35"/>
      <c r="AGV14" s="35"/>
      <c r="AGW14" s="35"/>
      <c r="AGX14" s="35"/>
      <c r="AGY14" s="35"/>
      <c r="AGZ14" s="35"/>
      <c r="AHA14" s="35"/>
      <c r="AHB14" s="35"/>
      <c r="AHC14" s="35"/>
      <c r="AHD14" s="35"/>
      <c r="AHE14" s="35"/>
      <c r="AHF14" s="35"/>
      <c r="AHG14" s="35"/>
      <c r="AHH14" s="35"/>
      <c r="AHI14" s="35"/>
      <c r="AHJ14" s="35"/>
      <c r="AHK14" s="35"/>
      <c r="AHL14" s="35"/>
      <c r="AHM14" s="35"/>
      <c r="AHN14" s="35"/>
      <c r="AHO14" s="35"/>
      <c r="AHP14" s="35"/>
      <c r="AHQ14" s="35"/>
      <c r="AHR14" s="35"/>
      <c r="AHS14" s="35"/>
      <c r="AHT14" s="35"/>
      <c r="AHU14" s="35"/>
      <c r="AHV14" s="35"/>
      <c r="AHW14" s="35"/>
      <c r="AHX14" s="35"/>
      <c r="AHY14" s="35"/>
      <c r="AHZ14" s="35"/>
      <c r="AIA14" s="35"/>
      <c r="AIB14" s="35"/>
      <c r="AIC14" s="35"/>
      <c r="AID14" s="35"/>
      <c r="AIE14" s="35"/>
      <c r="AIF14" s="35"/>
      <c r="AIG14" s="35"/>
      <c r="AIH14" s="35"/>
      <c r="AII14" s="35"/>
      <c r="AIJ14" s="35"/>
      <c r="AIK14" s="35"/>
      <c r="AIL14" s="35"/>
      <c r="AIM14" s="35"/>
      <c r="AIN14" s="35"/>
      <c r="AIO14" s="35"/>
      <c r="AIP14" s="35"/>
      <c r="AIQ14" s="35"/>
      <c r="AIR14" s="35"/>
      <c r="AIS14" s="35"/>
      <c r="AIT14" s="35"/>
      <c r="AIU14" s="35"/>
      <c r="AIV14" s="35"/>
      <c r="AIW14" s="35"/>
      <c r="AIX14" s="35"/>
      <c r="AIY14" s="35"/>
      <c r="AIZ14" s="35"/>
      <c r="AJA14" s="35"/>
      <c r="AJB14" s="35"/>
      <c r="AJC14" s="35"/>
      <c r="AJD14" s="35"/>
      <c r="AJE14" s="35"/>
      <c r="AJF14" s="35"/>
      <c r="AJG14" s="35"/>
      <c r="AJH14" s="35"/>
      <c r="AJI14" s="35"/>
      <c r="AJJ14" s="35"/>
      <c r="AJK14" s="35"/>
      <c r="AJL14" s="35"/>
      <c r="AJM14" s="35"/>
      <c r="AJN14" s="35"/>
      <c r="AJO14" s="35"/>
      <c r="AJP14" s="35"/>
      <c r="AJQ14" s="35"/>
      <c r="AJR14" s="35"/>
      <c r="AJS14" s="35"/>
      <c r="AJT14" s="35"/>
      <c r="AJU14" s="35"/>
      <c r="AJV14" s="35"/>
      <c r="AJW14" s="35"/>
      <c r="AJX14" s="35"/>
      <c r="AJY14" s="35"/>
      <c r="AJZ14" s="35"/>
      <c r="AKA14" s="35"/>
      <c r="AKB14" s="35"/>
      <c r="AKC14" s="35"/>
      <c r="AKD14" s="35"/>
      <c r="AKE14" s="35"/>
      <c r="AKF14" s="35"/>
      <c r="AKG14" s="35"/>
      <c r="AKH14" s="35"/>
      <c r="AKI14" s="35"/>
      <c r="AKJ14" s="35"/>
      <c r="AKK14" s="35"/>
      <c r="AKL14" s="35"/>
      <c r="AKM14" s="35"/>
      <c r="AKN14" s="35"/>
      <c r="AKO14" s="35"/>
      <c r="AKP14" s="35"/>
      <c r="AKQ14" s="35"/>
      <c r="AKR14" s="35"/>
      <c r="AKS14" s="35"/>
      <c r="AKT14" s="35"/>
      <c r="AKU14" s="35"/>
      <c r="AKV14" s="35"/>
      <c r="AKW14" s="35"/>
      <c r="AKX14" s="35"/>
      <c r="AKY14" s="35"/>
      <c r="AKZ14" s="35"/>
      <c r="ALA14" s="35"/>
      <c r="ALB14" s="35"/>
      <c r="ALC14" s="35"/>
      <c r="ALD14" s="35"/>
      <c r="ALE14" s="35"/>
      <c r="ALF14" s="35"/>
      <c r="ALG14" s="35"/>
      <c r="ALH14" s="35"/>
      <c r="ALI14" s="35"/>
      <c r="ALJ14" s="35"/>
      <c r="ALK14" s="35"/>
      <c r="ALL14" s="35"/>
      <c r="ALM14" s="35"/>
      <c r="ALN14" s="35"/>
      <c r="ALO14" s="35"/>
      <c r="ALP14" s="35"/>
      <c r="ALQ14" s="35"/>
      <c r="ALR14" s="35"/>
      <c r="ALS14" s="35"/>
      <c r="ALT14" s="35"/>
      <c r="ALU14" s="35"/>
      <c r="ALV14" s="35"/>
      <c r="ALW14" s="35"/>
      <c r="ALX14" s="35"/>
      <c r="ALY14" s="35"/>
    </row>
    <row r="15" customFormat="false" ht="14.15" hidden="true" customHeight="true" outlineLevel="1" collapsed="false">
      <c r="A15" s="31"/>
      <c r="B15" s="33"/>
      <c r="C15" s="33"/>
      <c r="D15" s="33" t="n">
        <v>1</v>
      </c>
      <c r="E15" s="33"/>
      <c r="F15" s="33"/>
      <c r="G15" s="33"/>
      <c r="H15" s="33"/>
      <c r="I15" s="33"/>
      <c r="J15" s="33"/>
      <c r="K15" s="33"/>
      <c r="L15" s="33"/>
      <c r="M15" s="33"/>
      <c r="N15" s="33"/>
      <c r="O15" s="33"/>
      <c r="P15" s="33"/>
      <c r="Q15" s="33"/>
      <c r="R15" s="33"/>
      <c r="S15" s="33"/>
      <c r="T15" s="33"/>
      <c r="U15" s="33"/>
      <c r="V15" s="34"/>
      <c r="W15" s="33"/>
      <c r="X15" s="33"/>
      <c r="Y15" s="33"/>
      <c r="Z15" s="33"/>
      <c r="AA15" s="33"/>
      <c r="AB15" s="34"/>
      <c r="AC15" s="34"/>
      <c r="AD15" s="33"/>
      <c r="AE15" s="33"/>
      <c r="AF15" s="33"/>
      <c r="AG15" s="33"/>
      <c r="AH15" s="33"/>
      <c r="AI15" s="33"/>
      <c r="AJ15" s="33"/>
      <c r="AK15" s="31"/>
      <c r="AL15" s="34"/>
      <c r="AM15" s="34"/>
      <c r="AN15" s="31"/>
      <c r="AO15" s="33"/>
      <c r="AP15" s="31"/>
      <c r="AQ15" s="31"/>
      <c r="AR15" s="31"/>
      <c r="AS15" s="32"/>
      <c r="AT15" s="32"/>
      <c r="AU15" s="31"/>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5"/>
      <c r="GC15" s="35"/>
      <c r="GD15" s="35"/>
      <c r="GE15" s="35"/>
      <c r="GF15" s="35"/>
      <c r="GG15" s="35"/>
      <c r="GH15" s="35"/>
      <c r="GI15" s="35"/>
      <c r="GJ15" s="35"/>
      <c r="GK15" s="35"/>
      <c r="GL15" s="35"/>
      <c r="GM15" s="35"/>
      <c r="GN15" s="35"/>
      <c r="GO15" s="35"/>
      <c r="GP15" s="35"/>
      <c r="GQ15" s="35"/>
      <c r="GR15" s="35"/>
      <c r="GS15" s="35"/>
      <c r="GT15" s="35"/>
      <c r="GU15" s="35"/>
      <c r="GV15" s="35"/>
      <c r="GW15" s="35"/>
      <c r="GX15" s="35"/>
      <c r="GY15" s="35"/>
      <c r="GZ15" s="35"/>
      <c r="HA15" s="35"/>
      <c r="HB15" s="35"/>
      <c r="HC15" s="35"/>
      <c r="HD15" s="35"/>
      <c r="HE15" s="35"/>
      <c r="HF15" s="35"/>
      <c r="HG15" s="35"/>
      <c r="HH15" s="35"/>
      <c r="HI15" s="35"/>
      <c r="HJ15" s="35"/>
      <c r="HK15" s="35"/>
      <c r="HL15" s="35"/>
      <c r="HM15" s="35"/>
      <c r="HN15" s="35"/>
      <c r="HO15" s="35"/>
      <c r="HP15" s="35"/>
      <c r="HQ15" s="35"/>
      <c r="HR15" s="35"/>
      <c r="HS15" s="35"/>
      <c r="HT15" s="35"/>
      <c r="HU15" s="35"/>
      <c r="HV15" s="35"/>
      <c r="HW15" s="35"/>
      <c r="HX15" s="35"/>
      <c r="HY15" s="35"/>
      <c r="HZ15" s="35"/>
      <c r="IA15" s="35"/>
      <c r="IB15" s="35"/>
      <c r="IC15" s="35"/>
      <c r="ID15" s="35"/>
      <c r="IE15" s="35"/>
      <c r="IF15" s="35"/>
      <c r="IG15" s="35"/>
      <c r="IH15" s="35"/>
      <c r="II15" s="35"/>
      <c r="IJ15" s="35"/>
      <c r="IK15" s="35"/>
      <c r="IL15" s="35"/>
      <c r="IM15" s="35"/>
      <c r="IN15" s="35"/>
      <c r="IO15" s="35"/>
      <c r="IP15" s="35"/>
      <c r="IQ15" s="35"/>
      <c r="IR15" s="35"/>
      <c r="IS15" s="35"/>
      <c r="IT15" s="35"/>
      <c r="IU15" s="35"/>
      <c r="IV15" s="35"/>
      <c r="IW15" s="35"/>
      <c r="IX15" s="35"/>
      <c r="IY15" s="35"/>
      <c r="IZ15" s="35"/>
      <c r="JA15" s="35"/>
      <c r="JB15" s="35"/>
      <c r="JC15" s="35"/>
      <c r="JD15" s="35"/>
      <c r="JE15" s="35"/>
      <c r="JF15" s="35"/>
      <c r="JG15" s="35"/>
      <c r="JH15" s="35"/>
      <c r="JI15" s="35"/>
      <c r="JJ15" s="35"/>
      <c r="JK15" s="35"/>
      <c r="JL15" s="35"/>
      <c r="JM15" s="35"/>
      <c r="JN15" s="35"/>
      <c r="JO15" s="35"/>
      <c r="JP15" s="35"/>
      <c r="JQ15" s="35"/>
      <c r="JR15" s="35"/>
      <c r="JS15" s="35"/>
      <c r="JT15" s="35"/>
      <c r="JU15" s="35"/>
      <c r="JV15" s="35"/>
      <c r="JW15" s="35"/>
      <c r="JX15" s="35"/>
      <c r="JY15" s="35"/>
      <c r="JZ15" s="35"/>
      <c r="KA15" s="35"/>
      <c r="KB15" s="35"/>
      <c r="KC15" s="35"/>
      <c r="KD15" s="35"/>
      <c r="KE15" s="35"/>
      <c r="KF15" s="35"/>
      <c r="KG15" s="35"/>
      <c r="KH15" s="35"/>
      <c r="KI15" s="35"/>
      <c r="KJ15" s="35"/>
      <c r="KK15" s="35"/>
      <c r="KL15" s="35"/>
      <c r="KM15" s="35"/>
      <c r="KN15" s="35"/>
      <c r="KO15" s="35"/>
      <c r="KP15" s="35"/>
      <c r="KQ15" s="35"/>
      <c r="KR15" s="35"/>
      <c r="KS15" s="35"/>
      <c r="KT15" s="35"/>
      <c r="KU15" s="35"/>
      <c r="KV15" s="35"/>
      <c r="KW15" s="35"/>
      <c r="KX15" s="35"/>
      <c r="KY15" s="35"/>
      <c r="KZ15" s="35"/>
      <c r="LA15" s="35"/>
      <c r="LB15" s="35"/>
      <c r="LC15" s="35"/>
      <c r="LD15" s="35"/>
      <c r="LE15" s="35"/>
      <c r="LF15" s="35"/>
      <c r="LG15" s="35"/>
      <c r="LH15" s="35"/>
      <c r="LI15" s="35"/>
      <c r="LJ15" s="35"/>
      <c r="LK15" s="35"/>
      <c r="LL15" s="35"/>
      <c r="LM15" s="35"/>
      <c r="LN15" s="35"/>
      <c r="LO15" s="35"/>
      <c r="LP15" s="35"/>
      <c r="LQ15" s="35"/>
      <c r="LR15" s="35"/>
      <c r="LS15" s="35"/>
      <c r="LT15" s="35"/>
      <c r="LU15" s="35"/>
      <c r="LV15" s="35"/>
      <c r="LW15" s="35"/>
      <c r="LX15" s="35"/>
      <c r="LY15" s="35"/>
      <c r="LZ15" s="35"/>
      <c r="MA15" s="35"/>
      <c r="MB15" s="35"/>
      <c r="MC15" s="35"/>
      <c r="MD15" s="35"/>
      <c r="ME15" s="35"/>
      <c r="MF15" s="35"/>
      <c r="MG15" s="35"/>
      <c r="MH15" s="35"/>
      <c r="MI15" s="35"/>
      <c r="MJ15" s="35"/>
      <c r="MK15" s="35"/>
      <c r="ML15" s="35"/>
      <c r="MM15" s="35"/>
      <c r="MN15" s="35"/>
      <c r="MO15" s="35"/>
      <c r="MP15" s="35"/>
      <c r="MQ15" s="35"/>
      <c r="MR15" s="35"/>
      <c r="MS15" s="35"/>
      <c r="MT15" s="35"/>
      <c r="MU15" s="35"/>
      <c r="MV15" s="35"/>
      <c r="MW15" s="35"/>
      <c r="MX15" s="35"/>
      <c r="MY15" s="35"/>
      <c r="MZ15" s="35"/>
      <c r="NA15" s="35"/>
      <c r="NB15" s="35"/>
      <c r="NC15" s="35"/>
      <c r="ND15" s="35"/>
      <c r="NE15" s="35"/>
      <c r="NF15" s="35"/>
      <c r="NG15" s="35"/>
      <c r="NH15" s="35"/>
      <c r="NI15" s="35"/>
      <c r="NJ15" s="35"/>
      <c r="NK15" s="35"/>
      <c r="NL15" s="35"/>
      <c r="NM15" s="35"/>
      <c r="NN15" s="35"/>
      <c r="NO15" s="35"/>
      <c r="NP15" s="35"/>
      <c r="NQ15" s="35"/>
      <c r="NR15" s="35"/>
      <c r="NS15" s="35"/>
      <c r="NT15" s="35"/>
      <c r="NU15" s="35"/>
      <c r="NV15" s="35"/>
      <c r="NW15" s="35"/>
      <c r="NX15" s="35"/>
      <c r="NY15" s="35"/>
      <c r="NZ15" s="35"/>
      <c r="OA15" s="35"/>
      <c r="OB15" s="35"/>
      <c r="OC15" s="35"/>
      <c r="OD15" s="35"/>
      <c r="OE15" s="35"/>
      <c r="OF15" s="35"/>
      <c r="OG15" s="35"/>
      <c r="OH15" s="35"/>
      <c r="OI15" s="35"/>
      <c r="OJ15" s="35"/>
      <c r="OK15" s="35"/>
      <c r="OL15" s="35"/>
      <c r="OM15" s="35"/>
      <c r="ON15" s="35"/>
      <c r="OO15" s="35"/>
      <c r="OP15" s="35"/>
      <c r="OQ15" s="35"/>
      <c r="OR15" s="35"/>
      <c r="OS15" s="35"/>
      <c r="OT15" s="35"/>
      <c r="OU15" s="35"/>
      <c r="OV15" s="35"/>
      <c r="OW15" s="35"/>
      <c r="OX15" s="35"/>
      <c r="OY15" s="35"/>
      <c r="OZ15" s="35"/>
      <c r="PA15" s="35"/>
      <c r="PB15" s="35"/>
      <c r="PC15" s="35"/>
      <c r="PD15" s="35"/>
      <c r="PE15" s="35"/>
      <c r="PF15" s="35"/>
      <c r="PG15" s="35"/>
      <c r="PH15" s="35"/>
      <c r="PI15" s="35"/>
      <c r="PJ15" s="35"/>
      <c r="PK15" s="35"/>
      <c r="PL15" s="35"/>
      <c r="PM15" s="35"/>
      <c r="PN15" s="35"/>
      <c r="PO15" s="35"/>
      <c r="PP15" s="35"/>
      <c r="PQ15" s="35"/>
      <c r="PR15" s="35"/>
      <c r="PS15" s="35"/>
      <c r="PT15" s="35"/>
      <c r="PU15" s="35"/>
      <c r="PV15" s="35"/>
      <c r="PW15" s="35"/>
      <c r="PX15" s="35"/>
      <c r="PY15" s="35"/>
      <c r="PZ15" s="35"/>
      <c r="QA15" s="35"/>
      <c r="QB15" s="35"/>
      <c r="QC15" s="35"/>
      <c r="QD15" s="35"/>
      <c r="QE15" s="35"/>
      <c r="QF15" s="35"/>
      <c r="QG15" s="35"/>
      <c r="QH15" s="35"/>
      <c r="QI15" s="35"/>
      <c r="QJ15" s="35"/>
      <c r="QK15" s="35"/>
      <c r="QL15" s="35"/>
      <c r="QM15" s="35"/>
      <c r="QN15" s="35"/>
      <c r="QO15" s="35"/>
      <c r="QP15" s="35"/>
      <c r="QQ15" s="35"/>
      <c r="QR15" s="35"/>
      <c r="QS15" s="35"/>
      <c r="QT15" s="35"/>
      <c r="QU15" s="35"/>
      <c r="QV15" s="35"/>
      <c r="QW15" s="35"/>
      <c r="QX15" s="35"/>
      <c r="QY15" s="35"/>
      <c r="QZ15" s="35"/>
      <c r="RA15" s="35"/>
      <c r="RB15" s="35"/>
      <c r="RC15" s="35"/>
      <c r="RD15" s="35"/>
      <c r="RE15" s="35"/>
      <c r="RF15" s="35"/>
      <c r="RG15" s="35"/>
      <c r="RH15" s="35"/>
      <c r="RI15" s="35"/>
      <c r="RJ15" s="35"/>
      <c r="RK15" s="35"/>
      <c r="RL15" s="35"/>
      <c r="RM15" s="35"/>
      <c r="RN15" s="35"/>
      <c r="RO15" s="35"/>
      <c r="RP15" s="35"/>
      <c r="RQ15" s="35"/>
      <c r="RR15" s="35"/>
      <c r="RS15" s="35"/>
      <c r="RT15" s="35"/>
      <c r="RU15" s="35"/>
      <c r="RV15" s="35"/>
      <c r="RW15" s="35"/>
      <c r="RX15" s="35"/>
      <c r="RY15" s="35"/>
      <c r="RZ15" s="35"/>
      <c r="SA15" s="35"/>
      <c r="SB15" s="35"/>
      <c r="SC15" s="35"/>
      <c r="SD15" s="35"/>
      <c r="SE15" s="35"/>
      <c r="SF15" s="35"/>
      <c r="SG15" s="35"/>
      <c r="SH15" s="35"/>
      <c r="SI15" s="35"/>
      <c r="SJ15" s="35"/>
      <c r="SK15" s="35"/>
      <c r="SL15" s="35"/>
      <c r="SM15" s="35"/>
      <c r="SN15" s="35"/>
      <c r="SO15" s="35"/>
      <c r="SP15" s="35"/>
      <c r="SQ15" s="35"/>
      <c r="SR15" s="35"/>
      <c r="SS15" s="35"/>
      <c r="ST15" s="35"/>
      <c r="SU15" s="35"/>
      <c r="SV15" s="35"/>
      <c r="SW15" s="35"/>
      <c r="SX15" s="35"/>
      <c r="SY15" s="35"/>
      <c r="SZ15" s="35"/>
      <c r="TA15" s="35"/>
      <c r="TB15" s="35"/>
      <c r="TC15" s="35"/>
      <c r="TD15" s="35"/>
      <c r="TE15" s="35"/>
      <c r="TF15" s="35"/>
      <c r="TG15" s="35"/>
      <c r="TH15" s="35"/>
      <c r="TI15" s="35"/>
      <c r="TJ15" s="35"/>
      <c r="TK15" s="35"/>
      <c r="TL15" s="35"/>
      <c r="TM15" s="35"/>
      <c r="TN15" s="35"/>
      <c r="TO15" s="35"/>
      <c r="TP15" s="35"/>
      <c r="TQ15" s="35"/>
      <c r="TR15" s="35"/>
      <c r="TS15" s="35"/>
      <c r="TT15" s="35"/>
      <c r="TU15" s="35"/>
      <c r="TV15" s="35"/>
      <c r="TW15" s="35"/>
      <c r="TX15" s="35"/>
      <c r="TY15" s="35"/>
      <c r="TZ15" s="35"/>
      <c r="UA15" s="35"/>
      <c r="UB15" s="35"/>
      <c r="UC15" s="35"/>
      <c r="UD15" s="35"/>
      <c r="UE15" s="35"/>
      <c r="UF15" s="35"/>
      <c r="UG15" s="35"/>
      <c r="UH15" s="35"/>
      <c r="UI15" s="35"/>
      <c r="UJ15" s="35"/>
      <c r="UK15" s="35"/>
      <c r="UL15" s="35"/>
      <c r="UM15" s="35"/>
      <c r="UN15" s="35"/>
      <c r="UO15" s="35"/>
      <c r="UP15" s="35"/>
      <c r="UQ15" s="35"/>
      <c r="UR15" s="35"/>
      <c r="US15" s="35"/>
      <c r="UT15" s="35"/>
      <c r="UU15" s="35"/>
      <c r="UV15" s="35"/>
      <c r="UW15" s="35"/>
      <c r="UX15" s="35"/>
      <c r="UY15" s="35"/>
      <c r="UZ15" s="35"/>
      <c r="VA15" s="35"/>
      <c r="VB15" s="35"/>
      <c r="VC15" s="35"/>
      <c r="VD15" s="35"/>
      <c r="VE15" s="35"/>
      <c r="VF15" s="35"/>
      <c r="VG15" s="35"/>
      <c r="VH15" s="35"/>
      <c r="VI15" s="35"/>
      <c r="VJ15" s="35"/>
      <c r="VK15" s="35"/>
      <c r="VL15" s="35"/>
      <c r="VM15" s="35"/>
      <c r="VN15" s="35"/>
      <c r="VO15" s="35"/>
      <c r="VP15" s="35"/>
      <c r="VQ15" s="35"/>
      <c r="VR15" s="35"/>
      <c r="VS15" s="35"/>
      <c r="VT15" s="35"/>
      <c r="VU15" s="35"/>
      <c r="VV15" s="35"/>
      <c r="VW15" s="35"/>
      <c r="VX15" s="35"/>
      <c r="VY15" s="35"/>
      <c r="VZ15" s="35"/>
      <c r="WA15" s="35"/>
      <c r="WB15" s="35"/>
      <c r="WC15" s="35"/>
      <c r="WD15" s="35"/>
      <c r="WE15" s="35"/>
      <c r="WF15" s="35"/>
      <c r="WG15" s="35"/>
      <c r="WH15" s="35"/>
      <c r="WI15" s="35"/>
      <c r="WJ15" s="35"/>
      <c r="WK15" s="35"/>
      <c r="WL15" s="35"/>
      <c r="WM15" s="35"/>
      <c r="WN15" s="35"/>
      <c r="WO15" s="35"/>
      <c r="WP15" s="35"/>
      <c r="WQ15" s="35"/>
      <c r="WR15" s="35"/>
      <c r="WS15" s="35"/>
      <c r="WT15" s="35"/>
      <c r="WU15" s="35"/>
      <c r="WV15" s="35"/>
      <c r="WW15" s="35"/>
      <c r="WX15" s="35"/>
      <c r="WY15" s="35"/>
      <c r="WZ15" s="35"/>
      <c r="XA15" s="35"/>
      <c r="XB15" s="35"/>
      <c r="XC15" s="35"/>
      <c r="XD15" s="35"/>
      <c r="XE15" s="35"/>
      <c r="XF15" s="35"/>
      <c r="XG15" s="35"/>
      <c r="XH15" s="35"/>
      <c r="XI15" s="35"/>
      <c r="XJ15" s="35"/>
      <c r="XK15" s="35"/>
      <c r="XL15" s="35"/>
      <c r="XM15" s="35"/>
      <c r="XN15" s="35"/>
      <c r="XO15" s="35"/>
      <c r="XP15" s="35"/>
      <c r="XQ15" s="35"/>
      <c r="XR15" s="35"/>
      <c r="XS15" s="35"/>
      <c r="XT15" s="35"/>
      <c r="XU15" s="35"/>
      <c r="XV15" s="35"/>
      <c r="XW15" s="35"/>
      <c r="XX15" s="35"/>
      <c r="XY15" s="35"/>
      <c r="XZ15" s="35"/>
      <c r="YA15" s="35"/>
      <c r="YB15" s="35"/>
      <c r="YC15" s="35"/>
      <c r="YD15" s="35"/>
      <c r="YE15" s="35"/>
      <c r="YF15" s="35"/>
      <c r="YG15" s="35"/>
      <c r="YH15" s="35"/>
      <c r="YI15" s="35"/>
      <c r="YJ15" s="35"/>
      <c r="YK15" s="35"/>
      <c r="YL15" s="35"/>
      <c r="YM15" s="35"/>
      <c r="YN15" s="35"/>
      <c r="YO15" s="35"/>
      <c r="YP15" s="35"/>
      <c r="YQ15" s="35"/>
      <c r="YR15" s="35"/>
      <c r="YS15" s="35"/>
      <c r="YT15" s="35"/>
      <c r="YU15" s="35"/>
      <c r="YV15" s="35"/>
      <c r="YW15" s="35"/>
      <c r="YX15" s="35"/>
      <c r="YY15" s="35"/>
      <c r="YZ15" s="35"/>
      <c r="ZA15" s="35"/>
      <c r="ZB15" s="35"/>
      <c r="ZC15" s="35"/>
      <c r="ZD15" s="35"/>
      <c r="ZE15" s="35"/>
      <c r="ZF15" s="35"/>
      <c r="ZG15" s="35"/>
      <c r="ZH15" s="35"/>
      <c r="ZI15" s="35"/>
      <c r="ZJ15" s="35"/>
      <c r="ZK15" s="35"/>
      <c r="ZL15" s="35"/>
      <c r="ZM15" s="35"/>
      <c r="ZN15" s="35"/>
      <c r="ZO15" s="35"/>
      <c r="ZP15" s="35"/>
      <c r="ZQ15" s="35"/>
      <c r="ZR15" s="35"/>
      <c r="ZS15" s="35"/>
      <c r="ZT15" s="35"/>
      <c r="ZU15" s="35"/>
      <c r="ZV15" s="35"/>
      <c r="ZW15" s="35"/>
      <c r="ZX15" s="35"/>
      <c r="ZY15" s="35"/>
      <c r="ZZ15" s="35"/>
      <c r="AAA15" s="35"/>
      <c r="AAB15" s="35"/>
      <c r="AAC15" s="35"/>
      <c r="AAD15" s="35"/>
      <c r="AAE15" s="35"/>
      <c r="AAF15" s="35"/>
      <c r="AAG15" s="35"/>
      <c r="AAH15" s="35"/>
      <c r="AAI15" s="35"/>
      <c r="AAJ15" s="35"/>
      <c r="AAK15" s="35"/>
      <c r="AAL15" s="35"/>
      <c r="AAM15" s="35"/>
      <c r="AAN15" s="35"/>
      <c r="AAO15" s="35"/>
      <c r="AAP15" s="35"/>
      <c r="AAQ15" s="35"/>
      <c r="AAR15" s="35"/>
      <c r="AAS15" s="35"/>
      <c r="AAT15" s="35"/>
      <c r="AAU15" s="35"/>
      <c r="AAV15" s="35"/>
      <c r="AAW15" s="35"/>
      <c r="AAX15" s="35"/>
      <c r="AAY15" s="35"/>
      <c r="AAZ15" s="35"/>
      <c r="ABA15" s="35"/>
      <c r="ABB15" s="35"/>
      <c r="ABC15" s="35"/>
      <c r="ABD15" s="35"/>
      <c r="ABE15" s="35"/>
      <c r="ABF15" s="35"/>
      <c r="ABG15" s="35"/>
      <c r="ABH15" s="35"/>
      <c r="ABI15" s="35"/>
      <c r="ABJ15" s="35"/>
      <c r="ABK15" s="35"/>
      <c r="ABL15" s="35"/>
      <c r="ABM15" s="35"/>
      <c r="ABN15" s="35"/>
      <c r="ABO15" s="35"/>
      <c r="ABP15" s="35"/>
      <c r="ABQ15" s="35"/>
      <c r="ABR15" s="35"/>
      <c r="ABS15" s="35"/>
      <c r="ABT15" s="35"/>
      <c r="ABU15" s="35"/>
      <c r="ABV15" s="35"/>
      <c r="ABW15" s="35"/>
      <c r="ABX15" s="35"/>
      <c r="ABY15" s="35"/>
      <c r="ABZ15" s="35"/>
      <c r="ACA15" s="35"/>
      <c r="ACB15" s="35"/>
      <c r="ACC15" s="35"/>
      <c r="ACD15" s="35"/>
      <c r="ACE15" s="35"/>
      <c r="ACF15" s="35"/>
      <c r="ACG15" s="35"/>
      <c r="ACH15" s="35"/>
      <c r="ACI15" s="35"/>
      <c r="ACJ15" s="35"/>
      <c r="ACK15" s="35"/>
      <c r="ACL15" s="35"/>
      <c r="ACM15" s="35"/>
      <c r="ACN15" s="35"/>
      <c r="ACO15" s="35"/>
      <c r="ACP15" s="35"/>
      <c r="ACQ15" s="35"/>
      <c r="ACR15" s="35"/>
      <c r="ACS15" s="35"/>
      <c r="ACT15" s="35"/>
      <c r="ACU15" s="35"/>
      <c r="ACV15" s="35"/>
      <c r="ACW15" s="35"/>
      <c r="ACX15" s="35"/>
      <c r="ACY15" s="35"/>
      <c r="ACZ15" s="35"/>
      <c r="ADA15" s="35"/>
      <c r="ADB15" s="35"/>
      <c r="ADC15" s="35"/>
      <c r="ADD15" s="35"/>
      <c r="ADE15" s="35"/>
      <c r="ADF15" s="35"/>
      <c r="ADG15" s="35"/>
      <c r="ADH15" s="35"/>
      <c r="ADI15" s="35"/>
      <c r="ADJ15" s="35"/>
      <c r="ADK15" s="35"/>
      <c r="ADL15" s="35"/>
      <c r="ADM15" s="35"/>
      <c r="ADN15" s="35"/>
      <c r="ADO15" s="35"/>
      <c r="ADP15" s="35"/>
      <c r="ADQ15" s="35"/>
      <c r="ADR15" s="35"/>
      <c r="ADS15" s="35"/>
      <c r="ADT15" s="35"/>
      <c r="ADU15" s="35"/>
      <c r="ADV15" s="35"/>
      <c r="ADW15" s="35"/>
      <c r="ADX15" s="35"/>
      <c r="ADY15" s="35"/>
      <c r="ADZ15" s="35"/>
      <c r="AEA15" s="35"/>
      <c r="AEB15" s="35"/>
      <c r="AEC15" s="35"/>
      <c r="AED15" s="35"/>
      <c r="AEE15" s="35"/>
      <c r="AEF15" s="35"/>
      <c r="AEG15" s="35"/>
      <c r="AEH15" s="35"/>
      <c r="AEI15" s="35"/>
      <c r="AEJ15" s="35"/>
      <c r="AEK15" s="35"/>
      <c r="AEL15" s="35"/>
      <c r="AEM15" s="35"/>
      <c r="AEN15" s="35"/>
      <c r="AEO15" s="35"/>
      <c r="AEP15" s="35"/>
      <c r="AEQ15" s="35"/>
      <c r="AER15" s="35"/>
      <c r="AES15" s="35"/>
      <c r="AET15" s="35"/>
      <c r="AEU15" s="35"/>
      <c r="AEV15" s="35"/>
      <c r="AEW15" s="35"/>
      <c r="AEX15" s="35"/>
      <c r="AEY15" s="35"/>
      <c r="AEZ15" s="35"/>
      <c r="AFA15" s="35"/>
      <c r="AFB15" s="35"/>
      <c r="AFC15" s="35"/>
      <c r="AFD15" s="35"/>
      <c r="AFE15" s="35"/>
      <c r="AFF15" s="35"/>
      <c r="AFG15" s="35"/>
      <c r="AFH15" s="35"/>
      <c r="AFI15" s="35"/>
      <c r="AFJ15" s="35"/>
      <c r="AFK15" s="35"/>
      <c r="AFL15" s="35"/>
      <c r="AFM15" s="35"/>
      <c r="AFN15" s="35"/>
      <c r="AFO15" s="35"/>
      <c r="AFP15" s="35"/>
      <c r="AFQ15" s="35"/>
      <c r="AFR15" s="35"/>
      <c r="AFS15" s="35"/>
      <c r="AFT15" s="35"/>
      <c r="AFU15" s="35"/>
      <c r="AFV15" s="35"/>
      <c r="AFW15" s="35"/>
      <c r="AFX15" s="35"/>
      <c r="AFY15" s="35"/>
      <c r="AFZ15" s="35"/>
      <c r="AGA15" s="35"/>
      <c r="AGB15" s="35"/>
      <c r="AGC15" s="35"/>
      <c r="AGD15" s="35"/>
      <c r="AGE15" s="35"/>
      <c r="AGF15" s="35"/>
      <c r="AGG15" s="35"/>
      <c r="AGH15" s="35"/>
      <c r="AGI15" s="35"/>
      <c r="AGJ15" s="35"/>
      <c r="AGK15" s="35"/>
      <c r="AGL15" s="35"/>
      <c r="AGM15" s="35"/>
      <c r="AGN15" s="35"/>
      <c r="AGO15" s="35"/>
      <c r="AGP15" s="35"/>
      <c r="AGQ15" s="35"/>
      <c r="AGR15" s="35"/>
      <c r="AGS15" s="35"/>
      <c r="AGT15" s="35"/>
      <c r="AGU15" s="35"/>
      <c r="AGV15" s="35"/>
      <c r="AGW15" s="35"/>
      <c r="AGX15" s="35"/>
      <c r="AGY15" s="35"/>
      <c r="AGZ15" s="35"/>
      <c r="AHA15" s="35"/>
      <c r="AHB15" s="35"/>
      <c r="AHC15" s="35"/>
      <c r="AHD15" s="35"/>
      <c r="AHE15" s="35"/>
      <c r="AHF15" s="35"/>
      <c r="AHG15" s="35"/>
      <c r="AHH15" s="35"/>
      <c r="AHI15" s="35"/>
      <c r="AHJ15" s="35"/>
      <c r="AHK15" s="35"/>
      <c r="AHL15" s="35"/>
      <c r="AHM15" s="35"/>
      <c r="AHN15" s="35"/>
      <c r="AHO15" s="35"/>
      <c r="AHP15" s="35"/>
      <c r="AHQ15" s="35"/>
      <c r="AHR15" s="35"/>
      <c r="AHS15" s="35"/>
      <c r="AHT15" s="35"/>
      <c r="AHU15" s="35"/>
      <c r="AHV15" s="35"/>
      <c r="AHW15" s="35"/>
      <c r="AHX15" s="35"/>
      <c r="AHY15" s="35"/>
      <c r="AHZ15" s="35"/>
      <c r="AIA15" s="35"/>
      <c r="AIB15" s="35"/>
      <c r="AIC15" s="35"/>
      <c r="AID15" s="35"/>
      <c r="AIE15" s="35"/>
      <c r="AIF15" s="35"/>
      <c r="AIG15" s="35"/>
      <c r="AIH15" s="35"/>
      <c r="AII15" s="35"/>
      <c r="AIJ15" s="35"/>
      <c r="AIK15" s="35"/>
      <c r="AIL15" s="35"/>
      <c r="AIM15" s="35"/>
      <c r="AIN15" s="35"/>
      <c r="AIO15" s="35"/>
      <c r="AIP15" s="35"/>
      <c r="AIQ15" s="35"/>
      <c r="AIR15" s="35"/>
      <c r="AIS15" s="35"/>
      <c r="AIT15" s="35"/>
      <c r="AIU15" s="35"/>
      <c r="AIV15" s="35"/>
      <c r="AIW15" s="35"/>
      <c r="AIX15" s="35"/>
      <c r="AIY15" s="35"/>
      <c r="AIZ15" s="35"/>
      <c r="AJA15" s="35"/>
      <c r="AJB15" s="35"/>
      <c r="AJC15" s="35"/>
      <c r="AJD15" s="35"/>
      <c r="AJE15" s="35"/>
      <c r="AJF15" s="35"/>
      <c r="AJG15" s="35"/>
      <c r="AJH15" s="35"/>
      <c r="AJI15" s="35"/>
      <c r="AJJ15" s="35"/>
      <c r="AJK15" s="35"/>
      <c r="AJL15" s="35"/>
      <c r="AJM15" s="35"/>
      <c r="AJN15" s="35"/>
      <c r="AJO15" s="35"/>
      <c r="AJP15" s="35"/>
      <c r="AJQ15" s="35"/>
      <c r="AJR15" s="35"/>
      <c r="AJS15" s="35"/>
      <c r="AJT15" s="35"/>
      <c r="AJU15" s="35"/>
      <c r="AJV15" s="35"/>
      <c r="AJW15" s="35"/>
      <c r="AJX15" s="35"/>
      <c r="AJY15" s="35"/>
      <c r="AJZ15" s="35"/>
      <c r="AKA15" s="35"/>
      <c r="AKB15" s="35"/>
      <c r="AKC15" s="35"/>
      <c r="AKD15" s="35"/>
      <c r="AKE15" s="35"/>
      <c r="AKF15" s="35"/>
      <c r="AKG15" s="35"/>
      <c r="AKH15" s="35"/>
      <c r="AKI15" s="35"/>
      <c r="AKJ15" s="35"/>
      <c r="AKK15" s="35"/>
      <c r="AKL15" s="35"/>
      <c r="AKM15" s="35"/>
      <c r="AKN15" s="35"/>
      <c r="AKO15" s="35"/>
      <c r="AKP15" s="35"/>
      <c r="AKQ15" s="35"/>
      <c r="AKR15" s="35"/>
      <c r="AKS15" s="35"/>
      <c r="AKT15" s="35"/>
      <c r="AKU15" s="35"/>
      <c r="AKV15" s="35"/>
      <c r="AKW15" s="35"/>
      <c r="AKX15" s="35"/>
      <c r="AKY15" s="35"/>
      <c r="AKZ15" s="35"/>
      <c r="ALA15" s="35"/>
      <c r="ALB15" s="35"/>
      <c r="ALC15" s="35"/>
      <c r="ALD15" s="35"/>
      <c r="ALE15" s="35"/>
      <c r="ALF15" s="35"/>
      <c r="ALG15" s="35"/>
      <c r="ALH15" s="35"/>
      <c r="ALI15" s="35"/>
      <c r="ALJ15" s="35"/>
      <c r="ALK15" s="35"/>
      <c r="ALL15" s="35"/>
      <c r="ALM15" s="35"/>
      <c r="ALN15" s="35"/>
      <c r="ALO15" s="35"/>
      <c r="ALP15" s="35"/>
      <c r="ALQ15" s="35"/>
      <c r="ALR15" s="35"/>
      <c r="ALS15" s="35"/>
      <c r="ALT15" s="35"/>
      <c r="ALU15" s="35"/>
      <c r="ALV15" s="35"/>
      <c r="ALW15" s="35"/>
      <c r="ALX15" s="35"/>
      <c r="ALY15" s="35"/>
    </row>
    <row r="16" customFormat="false" ht="74.6" hidden="false" customHeight="true" outlineLevel="0" collapsed="false">
      <c r="A16" s="43" t="s">
        <v>414</v>
      </c>
      <c r="B16" s="46" t="s">
        <v>589</v>
      </c>
      <c r="C16" s="46" t="s">
        <v>590</v>
      </c>
      <c r="D16" s="45" t="s">
        <v>419</v>
      </c>
      <c r="E16" s="45" t="s">
        <v>420</v>
      </c>
      <c r="F16" s="45" t="s">
        <v>421</v>
      </c>
      <c r="G16" s="45" t="s">
        <v>422</v>
      </c>
      <c r="H16" s="45" t="s">
        <v>423</v>
      </c>
      <c r="I16" s="45" t="s">
        <v>424</v>
      </c>
      <c r="J16" s="45" t="s">
        <v>425</v>
      </c>
      <c r="K16" s="45" t="s">
        <v>426</v>
      </c>
      <c r="L16" s="45" t="s">
        <v>591</v>
      </c>
      <c r="M16" s="45" t="s">
        <v>592</v>
      </c>
      <c r="N16" s="45" t="s">
        <v>593</v>
      </c>
      <c r="O16" s="46" t="s">
        <v>594</v>
      </c>
      <c r="P16" s="46" t="s">
        <v>595</v>
      </c>
      <c r="Q16" s="46" t="s">
        <v>427</v>
      </c>
      <c r="R16" s="46" t="s">
        <v>596</v>
      </c>
      <c r="S16" s="46" t="s">
        <v>597</v>
      </c>
      <c r="T16" s="46" t="s">
        <v>428</v>
      </c>
      <c r="U16" s="46" t="s">
        <v>598</v>
      </c>
      <c r="V16" s="47" t="s">
        <v>346</v>
      </c>
      <c r="W16" s="45" t="s">
        <v>599</v>
      </c>
      <c r="X16" s="45" t="s">
        <v>600</v>
      </c>
      <c r="Y16" s="46" t="s">
        <v>429</v>
      </c>
      <c r="Z16" s="45" t="s">
        <v>430</v>
      </c>
      <c r="AA16" s="45" t="s">
        <v>438</v>
      </c>
      <c r="AB16" s="48" t="s">
        <v>440</v>
      </c>
      <c r="AC16" s="48" t="s">
        <v>601</v>
      </c>
      <c r="AD16" s="45" t="s">
        <v>446</v>
      </c>
      <c r="AE16" s="45" t="s">
        <v>447</v>
      </c>
      <c r="AF16" s="45" t="s">
        <v>448</v>
      </c>
      <c r="AG16" s="45" t="s">
        <v>449</v>
      </c>
      <c r="AH16" s="45" t="s">
        <v>602</v>
      </c>
      <c r="AI16" s="45" t="s">
        <v>603</v>
      </c>
      <c r="AJ16" s="45" t="s">
        <v>435</v>
      </c>
      <c r="AK16" s="43" t="s">
        <v>436</v>
      </c>
      <c r="AL16" s="48" t="s">
        <v>561</v>
      </c>
      <c r="AM16" s="48" t="s">
        <v>442</v>
      </c>
      <c r="AN16" s="43" t="s">
        <v>443</v>
      </c>
      <c r="AO16" s="45" t="s">
        <v>444</v>
      </c>
      <c r="AP16" s="45" t="s">
        <v>445</v>
      </c>
      <c r="AQ16" s="43" t="s">
        <v>415</v>
      </c>
      <c r="AR16" s="43" t="s">
        <v>416</v>
      </c>
      <c r="AS16" s="44" t="s">
        <v>417</v>
      </c>
      <c r="AT16" s="44" t="s">
        <v>418</v>
      </c>
      <c r="AU16" s="48" t="s">
        <v>454</v>
      </c>
    </row>
    <row r="17" customFormat="false" ht="8.75" hidden="false" customHeight="true" outlineLevel="0" collapsed="false">
      <c r="A17" s="39" t="str">
        <f aca="false">A16</f>
        <v>A</v>
      </c>
      <c r="B17" s="51" t="str">
        <f aca="false">B16</f>
        <v>Performer</v>
      </c>
      <c r="C17" s="51" t="str">
        <f aca="false">C16</f>
        <v>Beneficiary</v>
      </c>
      <c r="D17" s="51" t="str">
        <f aca="false">D16</f>
        <v>Last Date</v>
      </c>
      <c r="E17" s="51" t="str">
        <f aca="false">E16</f>
        <v>Duration</v>
      </c>
      <c r="F17" s="51" t="str">
        <f aca="false">F16</f>
        <v>Tasks Open</v>
      </c>
      <c r="G17" s="51" t="str">
        <f aca="false">G16</f>
        <v>Tasks Started</v>
      </c>
      <c r="H17" s="51" t="str">
        <f aca="false">H16</f>
        <v>Tasks Pending</v>
      </c>
      <c r="I17" s="51" t="str">
        <f aca="false">I16</f>
        <v>Tasks Urgent</v>
      </c>
      <c r="J17" s="51" t="str">
        <f aca="false">J16</f>
        <v>Tasks Done</v>
      </c>
      <c r="K17" s="51" t="str">
        <f aca="false">K16</f>
        <v>Tasks Total</v>
      </c>
      <c r="L17" s="51" t="str">
        <f aca="false">L16</f>
        <v>Last Date Year</v>
      </c>
      <c r="M17" s="51" t="str">
        <f aca="false">M16</f>
        <v>Last Date Month</v>
      </c>
      <c r="N17" s="51" t="str">
        <f aca="false">N16</f>
        <v>Last Date Week</v>
      </c>
      <c r="O17" s="51"/>
      <c r="P17" s="51"/>
      <c r="Q17" s="51" t="str">
        <f aca="false">Q16</f>
        <v>Last wk?</v>
      </c>
      <c r="R17" s="51" t="str">
        <f aca="false">R16</f>
        <v>Active ?</v>
      </c>
      <c r="S17" s="51" t="str">
        <f aca="false">S16</f>
        <v>Done  ?</v>
      </c>
      <c r="T17" s="51" t="str">
        <f aca="false">T16</f>
        <v>Rep ?</v>
      </c>
      <c r="U17" s="51" t="str">
        <f aca="false">U16</f>
        <v>Show ?</v>
      </c>
      <c r="V17" s="52" t="str">
        <f aca="false">V16</f>
        <v>Sort</v>
      </c>
      <c r="W17" s="51" t="str">
        <f aca="false">W16</f>
        <v>Day</v>
      </c>
      <c r="X17" s="51" t="str">
        <f aca="false">X16</f>
        <v>Calc 
Start 
Date</v>
      </c>
      <c r="Y17" s="51" t="str">
        <f aca="false">Y16</f>
        <v>Force Rep?</v>
      </c>
      <c r="Z17" s="51"/>
      <c r="AA17" s="51" t="str">
        <f aca="false">AA16</f>
        <v>Planning Type</v>
      </c>
      <c r="AB17" s="52" t="str">
        <f aca="false">AB16</f>
        <v>Name</v>
      </c>
      <c r="AC17" s="52" t="str">
        <f aca="false">AC16</f>
        <v>Overview</v>
      </c>
      <c r="AD17" s="51" t="str">
        <f aca="false">AD16</f>
        <v>Period (label)</v>
      </c>
      <c r="AE17" s="51" t="str">
        <f aca="false">AE16</f>
        <v>Period (count)</v>
      </c>
      <c r="AF17" s="51" t="str">
        <f aca="false">AF16</f>
        <v>Effort / count (hr)</v>
      </c>
      <c r="AG17" s="51" t="str">
        <f aca="false">AG16</f>
        <v>Effort / yr (days)</v>
      </c>
      <c r="AH17" s="51" t="str">
        <f aca="false">AH16</f>
        <v>Whom by</v>
      </c>
      <c r="AI17" s="51" t="str">
        <f aca="false">AI16</f>
        <v>Whom for</v>
      </c>
      <c r="AJ17" s="51" t="str">
        <f aca="false">AJ16</f>
        <v>Goal</v>
      </c>
      <c r="AK17" s="39" t="str">
        <f aca="false">AK16</f>
        <v>Sub-Goal</v>
      </c>
      <c r="AL17" s="52" t="str">
        <f aca="false">AL16</f>
        <v>Reference</v>
      </c>
      <c r="AM17" s="52" t="str">
        <f aca="false">AM16</f>
        <v>Notes</v>
      </c>
      <c r="AN17" s="39" t="str">
        <f aca="false">AN16</f>
        <v>Tasks</v>
      </c>
      <c r="AO17" s="51" t="str">
        <f aca="false">AO16</f>
        <v>Tasks Left </v>
      </c>
      <c r="AP17" s="39" t="str">
        <f aca="false">AP16</f>
        <v>Task Progress</v>
      </c>
      <c r="AQ17" s="39" t="str">
        <f aca="false">AQ16</f>
        <v>First Note</v>
      </c>
      <c r="AR17" s="39" t="str">
        <f aca="false">AR16</f>
        <v>Last Note</v>
      </c>
      <c r="AS17" s="38" t="str">
        <f aca="false">AS16</f>
        <v>First Note Date</v>
      </c>
      <c r="AT17" s="38" t="str">
        <f aca="false">AT16</f>
        <v>Last Note Date</v>
      </c>
      <c r="AU17" s="52" t="str">
        <f aca="false">AU16</f>
        <v>Z</v>
      </c>
    </row>
    <row r="18" customFormat="false" ht="12.75" hidden="false" customHeight="true" outlineLevel="0" collapsed="false">
      <c r="A18" s="54"/>
      <c r="B18" s="58" t="str">
        <f aca="false">IF(AH18="","tbc",AH18)</f>
        <v>STE</v>
      </c>
      <c r="C18" s="58" t="str">
        <f aca="false">IF(AI18="","VNT",AI18)</f>
        <v>VNT</v>
      </c>
      <c r="D18" s="58" t="n">
        <f aca="false">MAX(X18,IF(AT18="none",X18,AT18))</f>
        <v>44564</v>
      </c>
      <c r="E18" s="59" t="n">
        <f aca="false">IFERROR(DAYS360(X18,D18),0)</f>
        <v>0</v>
      </c>
      <c r="F18" s="59" t="n">
        <f aca="false">((LEN($AN18)-LEN(SUBSTITUTE($AN18,CHAR(10)&amp;". ","")))/3)+IF(LEFT(TRIM($AN18),2)=". ",1,0)</f>
        <v>0</v>
      </c>
      <c r="G18" s="59" t="n">
        <f aca="false">((LEN($AN18)-LEN(SUBSTITUTE($AN18,CHAR(10)&amp;"/ ","")))/3)+IF(LEFT(TRIM($AN18),2)="/ ",1,0)</f>
        <v>0</v>
      </c>
      <c r="H18" s="59" t="n">
        <f aca="false">((LEN($AN18)-LEN(SUBSTITUTE($AN18,CHAR(10)&amp;"~ ","")))/3)+IF(LEFT(TRIM($AN18),2)="~ ",1,0)</f>
        <v>0</v>
      </c>
      <c r="I18" s="59" t="n">
        <f aca="false">((LEN($AN18)-LEN(SUBSTITUTE($AN18,CHAR(10)&amp;"! ","")))/3)+IF(LEFT(TRIM($AN18),2)="! ",1,0)</f>
        <v>0</v>
      </c>
      <c r="J18" s="59" t="n">
        <f aca="false">((LEN($AN18)-LEN(SUBSTITUTE($AN18,CHAR(10)&amp;"x ","")))/3)+IF(LEFT(TRIM($AN18),2)="x ",1,0)</f>
        <v>0</v>
      </c>
      <c r="K18" s="59" t="n">
        <f aca="false">SUM(F18:J18)</f>
        <v>0</v>
      </c>
      <c r="L18" s="60" t="n">
        <f aca="false">YEAR(D18)</f>
        <v>2022</v>
      </c>
      <c r="M18" s="60" t="str">
        <f aca="false">VLOOKUP(MONTH(D18),Static!$AJ$3:$AK$16,2,0)</f>
        <v>Jan</v>
      </c>
      <c r="N18" s="60" t="n">
        <f aca="false">WEEKNUM(D18,1)</f>
        <v>2</v>
      </c>
      <c r="O18" s="60" t="str">
        <f aca="false">IFERROR(INDEX(Static!$I$5:$L$15,MATCH(AA18,Static!$I$5:$I$15,0),3),"Z")</f>
        <v>B</v>
      </c>
      <c r="P18" s="60" t="str">
        <f aca="false">IFERROR(INDEX(Static!$I$5:$L$15,MATCH(AA18,Static!$I$5:$I$15,0),4),"Y")</f>
        <v>Y</v>
      </c>
      <c r="Q18" s="60" t="str">
        <f aca="false">IF(D18&gt;(($A$14-WEEKDAY($A$14,2))-7*$D$15),"Y","N")</f>
        <v>N</v>
      </c>
      <c r="R18" s="58" t="str">
        <f aca="false">IF(AB18&lt;&gt;"","Y","N")</f>
        <v>Y</v>
      </c>
      <c r="S18" s="60" t="str">
        <f aca="false">IF(AND(Q18="Y",R18="N"),"Y","N")</f>
        <v>N</v>
      </c>
      <c r="T18" s="58" t="str">
        <f aca="false">IF(OR(Y18="Y",Y18="N"),Y18,IF(AND(P18="Y", OR(Q18="Y",S18="Y")),"Y","N"))</f>
        <v>N</v>
      </c>
      <c r="U18" s="60" t="str">
        <f aca="false">"Y"</f>
        <v>Y</v>
      </c>
      <c r="V18" s="61" t="str">
        <f aca="false">" -  "&amp;O18&amp;AJ18&amp;AK18&amp;AB18</f>
        <v> -  BmgtleadingDo mandatory training</v>
      </c>
      <c r="W18" s="60" t="str">
        <f aca="false">IFERROR(VLOOKUP(WEEKDAY(X18),Static!$AL$3:$AM$11,2,0),"")</f>
        <v>Mon</v>
      </c>
      <c r="X18" s="58" t="n">
        <f aca="false">IF(AD18&lt;&gt;"",AS18,0)</f>
        <v>44564</v>
      </c>
      <c r="Y18" s="40"/>
      <c r="Z18" s="40"/>
      <c r="AA18" s="62" t="s">
        <v>462</v>
      </c>
      <c r="AB18" s="64" t="s">
        <v>568</v>
      </c>
      <c r="AC18" s="65" t="s">
        <v>604</v>
      </c>
      <c r="AD18" s="40" t="s">
        <v>468</v>
      </c>
      <c r="AE18" s="67" t="n">
        <v>15</v>
      </c>
      <c r="AF18" s="68" t="n">
        <v>0.5</v>
      </c>
      <c r="AG18" s="69" t="n">
        <f aca="false">IF(AB18="","",AE18*AF18/8)</f>
        <v>0.9375</v>
      </c>
      <c r="AH18" s="40" t="s">
        <v>605</v>
      </c>
      <c r="AI18" s="40" t="s">
        <v>356</v>
      </c>
      <c r="AJ18" s="40" t="s">
        <v>459</v>
      </c>
      <c r="AK18" s="63" t="s">
        <v>606</v>
      </c>
      <c r="AL18" s="65" t="s">
        <v>607</v>
      </c>
      <c r="AM18" s="64" t="s">
        <v>466</v>
      </c>
      <c r="AN18" s="64"/>
      <c r="AO18" s="60" t="n">
        <f aca="false">SUM(F18:I18)</f>
        <v>0</v>
      </c>
      <c r="AP18" s="66" t="n">
        <f aca="false">IF(AB18="",1,IF(K18&lt;&gt;0,(G18*0.5+J18)/K18,1))</f>
        <v>1</v>
      </c>
      <c r="AQ18" s="55" t="str">
        <f aca="false">IF(AM18="","",IF(ISERROR(FIND(CHAR(10),AM18,1)),AM18,LEFT(AM18,FIND(CHAR(10),AM18,1))))</f>
        <v>03-01-22: init</v>
      </c>
      <c r="AR18" s="56" t="str">
        <f aca="false">IF(AM18="","",IFERROR(RIGHT(AM18,LEN(AM18)-FIND("@@@",SUBSTITUTE(AM18,CHAR(10),"@@@",LEN(AM18)-LEN(SUBSTITUTE(AM18,CHAR(10),""))),1)),AM18))</f>
        <v>03-01-22: init</v>
      </c>
      <c r="AS18" s="57" t="n">
        <f aca="false">IFERROR(DATE(("20"&amp;MID(AQ18,7,2))*1,MID(AQ18,4,2)*1,MID(AQ18,1,2)*1),"")</f>
        <v>44564</v>
      </c>
      <c r="AT18" s="57" t="n">
        <f aca="false">IFERROR(DATE(("20"&amp;MID(AR18,7,2))*1,MID(AR18,4,2)*1,MID(AR18,1,2)*1),"")</f>
        <v>44564</v>
      </c>
      <c r="AU18" s="64" t="s">
        <v>364</v>
      </c>
    </row>
    <row r="19" customFormat="false" ht="12.75" hidden="false" customHeight="true" outlineLevel="0" collapsed="false">
      <c r="A19" s="54"/>
      <c r="B19" s="58" t="str">
        <f aca="false">IF(AH19="","tbc",AH19)</f>
        <v>STE</v>
      </c>
      <c r="C19" s="58" t="str">
        <f aca="false">IF(AI19="","VNT",AI19)</f>
        <v>VNT</v>
      </c>
      <c r="D19" s="58" t="n">
        <f aca="false">MAX(X19,IF(AT19="none",X19,AT19))</f>
        <v>44564</v>
      </c>
      <c r="E19" s="59" t="n">
        <f aca="false">IFERROR(DAYS360(X19,D19),0)</f>
        <v>0</v>
      </c>
      <c r="F19" s="59" t="n">
        <f aca="false">((LEN($AN19)-LEN(SUBSTITUTE($AN19,CHAR(10)&amp;". ","")))/3)+IF(LEFT(TRIM($AN19),2)=". ",1,0)</f>
        <v>1</v>
      </c>
      <c r="G19" s="59" t="n">
        <f aca="false">((LEN($AN19)-LEN(SUBSTITUTE($AN19,CHAR(10)&amp;"/ ","")))/3)+IF(LEFT(TRIM($AN19),2)="/ ",1,0)</f>
        <v>1</v>
      </c>
      <c r="H19" s="59" t="n">
        <f aca="false">((LEN($AN19)-LEN(SUBSTITUTE($AN19,CHAR(10)&amp;"~ ","")))/3)+IF(LEFT(TRIM($AN19),2)="~ ",1,0)</f>
        <v>1</v>
      </c>
      <c r="I19" s="59" t="n">
        <f aca="false">((LEN($AN19)-LEN(SUBSTITUTE($AN19,CHAR(10)&amp;"! ","")))/3)+IF(LEFT(TRIM($AN19),2)="! ",1,0)</f>
        <v>1</v>
      </c>
      <c r="J19" s="59" t="n">
        <f aca="false">((LEN($AN19)-LEN(SUBSTITUTE($AN19,CHAR(10)&amp;"x ","")))/3)+IF(LEFT(TRIM($AN19),2)="x ",1,0)</f>
        <v>1</v>
      </c>
      <c r="K19" s="59" t="n">
        <f aca="false">SUM(F19:J19)</f>
        <v>5</v>
      </c>
      <c r="L19" s="60" t="n">
        <f aca="false">YEAR(D19)</f>
        <v>2022</v>
      </c>
      <c r="M19" s="60" t="str">
        <f aca="false">VLOOKUP(MONTH(D19),Static!$AJ$3:$AK$16,2,0)</f>
        <v>Jan</v>
      </c>
      <c r="N19" s="60" t="n">
        <f aca="false">WEEKNUM(D19,1)</f>
        <v>2</v>
      </c>
      <c r="O19" s="60" t="str">
        <f aca="false">IFERROR(INDEX(Static!$I$5:$L$15,MATCH(AA19,Static!$I$5:$I$15,0),3),"Z")</f>
        <v>B</v>
      </c>
      <c r="P19" s="60" t="str">
        <f aca="false">IFERROR(INDEX(Static!$I$5:$L$15,MATCH(AA19,Static!$I$5:$I$15,0),4),"Y")</f>
        <v>Y</v>
      </c>
      <c r="Q19" s="60" t="str">
        <f aca="false">IF(D19&gt;(($A$14-WEEKDAY($A$14,2))-7*$D$15),"Y","N")</f>
        <v>N</v>
      </c>
      <c r="R19" s="58" t="str">
        <f aca="false">IF(AB19&lt;&gt;"","Y","N")</f>
        <v>Y</v>
      </c>
      <c r="S19" s="60" t="str">
        <f aca="false">IF(AND(Q19="Y",R19="N"),"Y","N")</f>
        <v>N</v>
      </c>
      <c r="T19" s="58" t="str">
        <f aca="false">IF(OR(Y19="Y",Y19="N"),Y19,IF(AND(P19="Y", OR(Q19="Y",S19="Y")),"Y","N"))</f>
        <v>N</v>
      </c>
      <c r="U19" s="60" t="str">
        <f aca="false">"Y"</f>
        <v>Y</v>
      </c>
      <c r="V19" s="61" t="str">
        <f aca="false">" -  "&amp;O19&amp;AJ19&amp;AK19&amp;AB19</f>
        <v> -  BmgtleadingAttend meetings</v>
      </c>
      <c r="W19" s="60" t="str">
        <f aca="false">IFERROR(VLOOKUP(WEEKDAY(X19),Static!$AL$3:$AM$11,2,0),"")</f>
        <v>Mon</v>
      </c>
      <c r="X19" s="58" t="n">
        <f aca="false">IF(AD19&lt;&gt;"",AS19,0)</f>
        <v>44564</v>
      </c>
      <c r="Y19" s="40"/>
      <c r="Z19" s="40"/>
      <c r="AA19" s="62" t="s">
        <v>462</v>
      </c>
      <c r="AB19" s="64" t="s">
        <v>608</v>
      </c>
      <c r="AC19" s="65" t="s">
        <v>609</v>
      </c>
      <c r="AD19" s="40" t="s">
        <v>610</v>
      </c>
      <c r="AE19" s="67" t="n">
        <v>52</v>
      </c>
      <c r="AF19" s="68" t="n">
        <v>2</v>
      </c>
      <c r="AG19" s="69" t="n">
        <f aca="false">IF(AB19="","",AE19*AF19/8)</f>
        <v>13</v>
      </c>
      <c r="AH19" s="40" t="s">
        <v>605</v>
      </c>
      <c r="AI19" s="40" t="s">
        <v>356</v>
      </c>
      <c r="AJ19" s="40" t="s">
        <v>459</v>
      </c>
      <c r="AK19" s="63" t="s">
        <v>606</v>
      </c>
      <c r="AL19" s="65" t="s">
        <v>607</v>
      </c>
      <c r="AM19" s="64" t="s">
        <v>466</v>
      </c>
      <c r="AN19" s="65" t="s">
        <v>611</v>
      </c>
      <c r="AO19" s="60" t="n">
        <f aca="false">SUM(F19:I19)</f>
        <v>4</v>
      </c>
      <c r="AP19" s="66" t="n">
        <f aca="false">IF(AB19="",1,IF(K19&lt;&gt;0,(G19*0.5+J19)/K19,1))</f>
        <v>0.3</v>
      </c>
      <c r="AQ19" s="55" t="str">
        <f aca="false">IF(AM19="","",IF(ISERROR(FIND(CHAR(10),AM19,1)),AM19,LEFT(AM19,FIND(CHAR(10),AM19,1))))</f>
        <v>03-01-22: init</v>
      </c>
      <c r="AR19" s="56" t="str">
        <f aca="false">IF(AM19="","",IFERROR(RIGHT(AM19,LEN(AM19)-FIND("@@@",SUBSTITUTE(AM19,CHAR(10),"@@@",LEN(AM19)-LEN(SUBSTITUTE(AM19,CHAR(10),""))),1)),AM19))</f>
        <v>03-01-22: init</v>
      </c>
      <c r="AS19" s="57" t="n">
        <f aca="false">IFERROR(DATE(("20"&amp;MID(AQ19,7,2))*1,MID(AQ19,4,2)*1,MID(AQ19,1,2)*1),"")</f>
        <v>44564</v>
      </c>
      <c r="AT19" s="57" t="n">
        <f aca="false">IFERROR(DATE(("20"&amp;MID(AR19,7,2))*1,MID(AR19,4,2)*1,MID(AR19,1,2)*1),"")</f>
        <v>44564</v>
      </c>
      <c r="AU19" s="64" t="s">
        <v>364</v>
      </c>
    </row>
    <row r="20" customFormat="false" ht="12.75" hidden="false" customHeight="true" outlineLevel="0" collapsed="false">
      <c r="A20" s="54"/>
      <c r="B20" s="58" t="str">
        <f aca="false">IF(AH20="","tbc",AH20)</f>
        <v>STE</v>
      </c>
      <c r="C20" s="58" t="str">
        <f aca="false">IF(AI20="","VNT",AI20)</f>
        <v>VNT</v>
      </c>
      <c r="D20" s="58" t="n">
        <f aca="false">MAX(X20,IF(AT20="none",X20,AT20))</f>
        <v>44564</v>
      </c>
      <c r="E20" s="59" t="n">
        <f aca="false">IFERROR(DAYS360(X20,D20),0)</f>
        <v>0</v>
      </c>
      <c r="F20" s="59" t="n">
        <f aca="false">((LEN($AN20)-LEN(SUBSTITUTE($AN20,CHAR(10)&amp;". ","")))/3)+IF(LEFT(TRIM($AN20),2)=". ",1,0)</f>
        <v>0</v>
      </c>
      <c r="G20" s="59" t="n">
        <f aca="false">((LEN($AN20)-LEN(SUBSTITUTE($AN20,CHAR(10)&amp;"/ ","")))/3)+IF(LEFT(TRIM($AN20),2)="/ ",1,0)</f>
        <v>0</v>
      </c>
      <c r="H20" s="59" t="n">
        <f aca="false">((LEN($AN20)-LEN(SUBSTITUTE($AN20,CHAR(10)&amp;"~ ","")))/3)+IF(LEFT(TRIM($AN20),2)="~ ",1,0)</f>
        <v>0</v>
      </c>
      <c r="I20" s="59" t="n">
        <f aca="false">((LEN($AN20)-LEN(SUBSTITUTE($AN20,CHAR(10)&amp;"! ","")))/3)+IF(LEFT(TRIM($AN20),2)="! ",1,0)</f>
        <v>0</v>
      </c>
      <c r="J20" s="59" t="n">
        <f aca="false">((LEN($AN20)-LEN(SUBSTITUTE($AN20,CHAR(10)&amp;"x ","")))/3)+IF(LEFT(TRIM($AN20),2)="x ",1,0)</f>
        <v>0</v>
      </c>
      <c r="K20" s="59" t="n">
        <f aca="false">SUM(F20:J20)</f>
        <v>0</v>
      </c>
      <c r="L20" s="60" t="n">
        <f aca="false">YEAR(D20)</f>
        <v>2022</v>
      </c>
      <c r="M20" s="60" t="str">
        <f aca="false">VLOOKUP(MONTH(D20),Static!$AJ$3:$AK$16,2,0)</f>
        <v>Jan</v>
      </c>
      <c r="N20" s="60" t="n">
        <f aca="false">WEEKNUM(D20,1)</f>
        <v>2</v>
      </c>
      <c r="O20" s="60" t="str">
        <f aca="false">IFERROR(INDEX(Static!$I$5:$L$15,MATCH(AA20,Static!$I$5:$I$15,0),3),"Z")</f>
        <v>B</v>
      </c>
      <c r="P20" s="60" t="str">
        <f aca="false">IFERROR(INDEX(Static!$I$5:$L$15,MATCH(AA20,Static!$I$5:$I$15,0),4),"Y")</f>
        <v>Y</v>
      </c>
      <c r="Q20" s="60" t="str">
        <f aca="false">IF(D20&gt;(($A$14-WEEKDAY($A$14,2))-7*$D$15),"Y","N")</f>
        <v>N</v>
      </c>
      <c r="R20" s="58" t="str">
        <f aca="false">IF(AB20&lt;&gt;"","Y","N")</f>
        <v>Y</v>
      </c>
      <c r="S20" s="60" t="str">
        <f aca="false">IF(AND(Q20="Y",R20="N"),"Y","N")</f>
        <v>N</v>
      </c>
      <c r="T20" s="58" t="str">
        <f aca="false">IF(OR(Y20="Y",Y20="N"),Y20,IF(AND(P20="Y", OR(Q20="Y",S20="Y")),"Y","N"))</f>
        <v>N</v>
      </c>
      <c r="U20" s="60" t="str">
        <f aca="false">"Y"</f>
        <v>Y</v>
      </c>
      <c r="V20" s="61" t="str">
        <f aca="false">" -  "&amp;O20&amp;AJ20&amp;AK20&amp;AB20</f>
        <v> -  BmgtleadingRead emails</v>
      </c>
      <c r="W20" s="60" t="str">
        <f aca="false">IFERROR(VLOOKUP(WEEKDAY(X20),Static!$AL$3:$AM$11,2,0),"")</f>
        <v>Mon</v>
      </c>
      <c r="X20" s="58" t="n">
        <f aca="false">IF(AD20&lt;&gt;"",AS20,0)</f>
        <v>44564</v>
      </c>
      <c r="Y20" s="40"/>
      <c r="Z20" s="40"/>
      <c r="AA20" s="62" t="s">
        <v>462</v>
      </c>
      <c r="AB20" s="64" t="s">
        <v>612</v>
      </c>
      <c r="AC20" s="65" t="s">
        <v>613</v>
      </c>
      <c r="AD20" s="40" t="s">
        <v>614</v>
      </c>
      <c r="AE20" s="67" t="n">
        <v>220</v>
      </c>
      <c r="AF20" s="68" t="n">
        <v>0.5</v>
      </c>
      <c r="AG20" s="69" t="n">
        <f aca="false">IF(AB20="","",AE20*AF20/8)</f>
        <v>13.75</v>
      </c>
      <c r="AH20" s="40" t="s">
        <v>605</v>
      </c>
      <c r="AI20" s="40" t="s">
        <v>356</v>
      </c>
      <c r="AJ20" s="40" t="s">
        <v>459</v>
      </c>
      <c r="AK20" s="63" t="s">
        <v>606</v>
      </c>
      <c r="AL20" s="65" t="s">
        <v>607</v>
      </c>
      <c r="AM20" s="64" t="s">
        <v>466</v>
      </c>
      <c r="AN20" s="65"/>
      <c r="AO20" s="60" t="n">
        <f aca="false">SUM(F20:I20)</f>
        <v>0</v>
      </c>
      <c r="AP20" s="66" t="n">
        <f aca="false">IF(AB20="",1,IF(K20&lt;&gt;0,(G20*0.5+J20)/K20,1))</f>
        <v>1</v>
      </c>
      <c r="AQ20" s="55" t="str">
        <f aca="false">IF(AM20="","",IF(ISERROR(FIND(CHAR(10),AM20,1)),AM20,LEFT(AM20,FIND(CHAR(10),AM20,1))))</f>
        <v>03-01-22: init</v>
      </c>
      <c r="AR20" s="56" t="str">
        <f aca="false">IF(AM20="","",IFERROR(RIGHT(AM20,LEN(AM20)-FIND("@@@",SUBSTITUTE(AM20,CHAR(10),"@@@",LEN(AM20)-LEN(SUBSTITUTE(AM20,CHAR(10),""))),1)),AM20))</f>
        <v>03-01-22: init</v>
      </c>
      <c r="AS20" s="57" t="n">
        <f aca="false">IFERROR(DATE(("20"&amp;MID(AQ20,7,2))*1,MID(AQ20,4,2)*1,MID(AQ20,1,2)*1),"")</f>
        <v>44564</v>
      </c>
      <c r="AT20" s="57" t="n">
        <f aca="false">IFERROR(DATE(("20"&amp;MID(AR20,7,2))*1,MID(AR20,4,2)*1,MID(AR20,1,2)*1),"")</f>
        <v>44564</v>
      </c>
      <c r="AU20" s="64" t="s">
        <v>364</v>
      </c>
    </row>
    <row r="21" customFormat="false" ht="12.75" hidden="false" customHeight="true" outlineLevel="0" collapsed="false">
      <c r="B21" s="58" t="str">
        <f aca="false">IF(AH21="","tbc",AH21)</f>
        <v>STE</v>
      </c>
      <c r="C21" s="58" t="str">
        <f aca="false">IF(AI21="","VNT",AI21)</f>
        <v>VNT</v>
      </c>
      <c r="D21" s="58" t="n">
        <f aca="false">MAX(X21,IF(AT21="none",X21,AT21))</f>
        <v>44564</v>
      </c>
      <c r="E21" s="59" t="n">
        <f aca="false">IFERROR(DAYS360(X21,D21),0)</f>
        <v>0</v>
      </c>
      <c r="F21" s="59" t="n">
        <f aca="false">((LEN($AN21)-LEN(SUBSTITUTE($AN21,CHAR(10)&amp;". ","")))/3)+IF(LEFT(TRIM($AN21),2)=". ",1,0)</f>
        <v>0</v>
      </c>
      <c r="G21" s="59" t="n">
        <f aca="false">((LEN($AN21)-LEN(SUBSTITUTE($AN21,CHAR(10)&amp;"/ ","")))/3)+IF(LEFT(TRIM($AN21),2)="/ ",1,0)</f>
        <v>0</v>
      </c>
      <c r="H21" s="59" t="n">
        <f aca="false">((LEN($AN21)-LEN(SUBSTITUTE($AN21,CHAR(10)&amp;"~ ","")))/3)+IF(LEFT(TRIM($AN21),2)="~ ",1,0)</f>
        <v>0</v>
      </c>
      <c r="I21" s="59" t="n">
        <f aca="false">((LEN($AN21)-LEN(SUBSTITUTE($AN21,CHAR(10)&amp;"! ","")))/3)+IF(LEFT(TRIM($AN21),2)="! ",1,0)</f>
        <v>0</v>
      </c>
      <c r="J21" s="59" t="n">
        <f aca="false">((LEN($AN21)-LEN(SUBSTITUTE($AN21,CHAR(10)&amp;"x ","")))/3)+IF(LEFT(TRIM($AN21),2)="x ",1,0)</f>
        <v>0</v>
      </c>
      <c r="K21" s="59" t="n">
        <f aca="false">SUM(F21:J21)</f>
        <v>0</v>
      </c>
      <c r="L21" s="60" t="n">
        <f aca="false">YEAR(D21)</f>
        <v>2022</v>
      </c>
      <c r="M21" s="60" t="str">
        <f aca="false">VLOOKUP(MONTH(D21),Static!$AJ$3:$AK$16,2,0)</f>
        <v>Jan</v>
      </c>
      <c r="N21" s="60" t="n">
        <f aca="false">WEEKNUM(D21,1)</f>
        <v>2</v>
      </c>
      <c r="O21" s="60" t="str">
        <f aca="false">IFERROR(INDEX(Static!$I$5:$L$15,MATCH(AA21,Static!$I$5:$I$15,0),3),"Z")</f>
        <v>B</v>
      </c>
      <c r="P21" s="60" t="str">
        <f aca="false">IFERROR(INDEX(Static!$I$5:$L$15,MATCH(AA21,Static!$I$5:$I$15,0),4),"Y")</f>
        <v>Y</v>
      </c>
      <c r="Q21" s="60" t="str">
        <f aca="false">IF(D21&gt;(($A$14-WEEKDAY($A$14,2))-7*$D$15),"Y","N")</f>
        <v>N</v>
      </c>
      <c r="R21" s="58" t="str">
        <f aca="false">IF(AB21&lt;&gt;"","Y","N")</f>
        <v>Y</v>
      </c>
      <c r="S21" s="60" t="str">
        <f aca="false">IF(AND(Q21="Y",R21="N"),"Y","N")</f>
        <v>N</v>
      </c>
      <c r="T21" s="58" t="str">
        <f aca="false">IF(OR(Y21="Y",Y21="N"),Y21,IF(AND(P21="Y", OR(Q21="Y",S21="Y")),"Y","N"))</f>
        <v>N</v>
      </c>
      <c r="U21" s="60" t="str">
        <f aca="false">"Y"</f>
        <v>Y</v>
      </c>
      <c r="V21" s="61" t="str">
        <f aca="false">" -  "&amp;O21&amp;AJ21&amp;AK21&amp;AB21</f>
        <v> -  BmgtleadingSort emails</v>
      </c>
      <c r="W21" s="60" t="str">
        <f aca="false">IFERROR(VLOOKUP(WEEKDAY(X21),Static!$AL$3:$AM$11,2,0),"")</f>
        <v>Mon</v>
      </c>
      <c r="X21" s="58" t="n">
        <f aca="false">IF(AD21&lt;&gt;"",AS21,0)</f>
        <v>44564</v>
      </c>
      <c r="Y21" s="40"/>
      <c r="Z21" s="40"/>
      <c r="AA21" s="62" t="s">
        <v>462</v>
      </c>
      <c r="AB21" s="64" t="s">
        <v>615</v>
      </c>
      <c r="AC21" s="64" t="s">
        <v>616</v>
      </c>
      <c r="AD21" s="40" t="s">
        <v>614</v>
      </c>
      <c r="AE21" s="67" t="n">
        <v>220</v>
      </c>
      <c r="AF21" s="68" t="n">
        <v>0.25</v>
      </c>
      <c r="AG21" s="69" t="n">
        <f aca="false">IF(AB21="","",AE21*AF21/8)</f>
        <v>6.875</v>
      </c>
      <c r="AH21" s="40" t="s">
        <v>605</v>
      </c>
      <c r="AI21" s="40" t="s">
        <v>356</v>
      </c>
      <c r="AJ21" s="40" t="s">
        <v>459</v>
      </c>
      <c r="AK21" s="63" t="s">
        <v>606</v>
      </c>
      <c r="AL21" s="65" t="s">
        <v>617</v>
      </c>
      <c r="AM21" s="64" t="s">
        <v>466</v>
      </c>
      <c r="AN21" s="64"/>
      <c r="AO21" s="60" t="n">
        <f aca="false">SUM(F21:I21)</f>
        <v>0</v>
      </c>
      <c r="AP21" s="66" t="n">
        <f aca="false">IF(AB21="",1,IF(K21&lt;&gt;0,(G21*0.5+J21)/K21,1))</f>
        <v>1</v>
      </c>
      <c r="AQ21" s="55" t="str">
        <f aca="false">IF(AM21="","",IF(ISERROR(FIND(CHAR(10),AM21,1)),AM21,LEFT(AM21,FIND(CHAR(10),AM21,1))))</f>
        <v>03-01-22: init</v>
      </c>
      <c r="AR21" s="56" t="str">
        <f aca="false">IF(AM21="","",IFERROR(RIGHT(AM21,LEN(AM21)-FIND("@@@",SUBSTITUTE(AM21,CHAR(10),"@@@",LEN(AM21)-LEN(SUBSTITUTE(AM21,CHAR(10),""))),1)),AM21))</f>
        <v>03-01-22: init</v>
      </c>
      <c r="AS21" s="57" t="n">
        <f aca="false">IFERROR(DATE(("20"&amp;MID(AQ21,7,2))*1,MID(AQ21,4,2)*1,MID(AQ21,1,2)*1),"")</f>
        <v>44564</v>
      </c>
      <c r="AT21" s="57" t="n">
        <f aca="false">IFERROR(DATE(("20"&amp;MID(AR21,7,2))*1,MID(AR21,4,2)*1,MID(AR21,1,2)*1),"")</f>
        <v>44564</v>
      </c>
      <c r="AU21" s="64" t="s">
        <v>364</v>
      </c>
    </row>
    <row r="22" customFormat="false" ht="12.75" hidden="false" customHeight="true" outlineLevel="0" collapsed="false">
      <c r="B22" s="58" t="str">
        <f aca="false">IF(AH22="","tbc",AH22)</f>
        <v>tbc</v>
      </c>
      <c r="C22" s="58" t="str">
        <f aca="false">IF(AI22="","VNT",AI22)</f>
        <v>VNT</v>
      </c>
      <c r="D22" s="58" t="n">
        <f aca="false">MAX(X22,IF(AT22="none",X22,AT22))</f>
        <v>0</v>
      </c>
      <c r="E22" s="59" t="n">
        <f aca="false">IFERROR(DAYS360(X22,D22),0)</f>
        <v>0</v>
      </c>
      <c r="F22" s="59" t="n">
        <f aca="false">((LEN($AN22)-LEN(SUBSTITUTE($AN22,CHAR(10)&amp;". ","")))/3)+IF(LEFT(TRIM($AN22),2)=". ",1,0)</f>
        <v>0</v>
      </c>
      <c r="G22" s="59" t="n">
        <f aca="false">((LEN($AN22)-LEN(SUBSTITUTE($AN22,CHAR(10)&amp;"/ ","")))/3)+IF(LEFT(TRIM($AN22),2)="/ ",1,0)</f>
        <v>0</v>
      </c>
      <c r="H22" s="59" t="n">
        <f aca="false">((LEN($AN22)-LEN(SUBSTITUTE($AN22,CHAR(10)&amp;"~ ","")))/3)+IF(LEFT(TRIM($AN22),2)="~ ",1,0)</f>
        <v>0</v>
      </c>
      <c r="I22" s="59" t="n">
        <f aca="false">((LEN($AN22)-LEN(SUBSTITUTE($AN22,CHAR(10)&amp;"! ","")))/3)+IF(LEFT(TRIM($AN22),2)="! ",1,0)</f>
        <v>0</v>
      </c>
      <c r="J22" s="59" t="n">
        <f aca="false">((LEN($AN22)-LEN(SUBSTITUTE($AN22,CHAR(10)&amp;"x ","")))/3)+IF(LEFT(TRIM($AN22),2)="x ",1,0)</f>
        <v>0</v>
      </c>
      <c r="K22" s="59" t="n">
        <f aca="false">SUM(F22:J22)</f>
        <v>0</v>
      </c>
      <c r="L22" s="60" t="n">
        <f aca="false">YEAR(D22)</f>
        <v>1899</v>
      </c>
      <c r="M22" s="60" t="str">
        <f aca="false">VLOOKUP(MONTH(D22),Static!$AJ$3:$AK$16,2,0)</f>
        <v>Dec</v>
      </c>
      <c r="N22" s="60" t="n">
        <f aca="false">WEEKNUM(D22,1)</f>
        <v>52</v>
      </c>
      <c r="O22" s="60" t="str">
        <f aca="false">IFERROR(INDEX(Static!$I$5:$L$15,MATCH(AA22,Static!$I$5:$I$15,0),3),"Z")</f>
        <v>Z</v>
      </c>
      <c r="P22" s="60" t="str">
        <f aca="false">IFERROR(INDEX(Static!$I$5:$L$15,MATCH(AA22,Static!$I$5:$I$15,0),4),"Y")</f>
        <v>Y</v>
      </c>
      <c r="Q22" s="60" t="str">
        <f aca="false">IF(D22&gt;(($A$14-WEEKDAY($A$14,2))-7*$D$15),"Y","N")</f>
        <v>N</v>
      </c>
      <c r="R22" s="58" t="str">
        <f aca="false">IF(AB22&lt;&gt;"","Y","N")</f>
        <v>N</v>
      </c>
      <c r="S22" s="60" t="str">
        <f aca="false">IF(AND(Q22="Y",R22="N"),"Y","N")</f>
        <v>N</v>
      </c>
      <c r="T22" s="58" t="str">
        <f aca="false">IF(OR(Y22="Y",Y22="N"),Y22,IF(AND(P22="Y", OR(Q22="Y",S22="Y")),"Y","N"))</f>
        <v>N</v>
      </c>
      <c r="U22" s="60" t="str">
        <f aca="false">"Y"</f>
        <v>Y</v>
      </c>
      <c r="V22" s="61" t="str">
        <f aca="false">" -  "&amp;O22&amp;AJ22&amp;AK22&amp;AB22</f>
        <v> -  Zprdresearch &amp; development</v>
      </c>
      <c r="W22" s="60" t="str">
        <f aca="false">IFERROR(VLOOKUP(WEEKDAY(X22),Static!$AL$3:$AM$11,2,0),"")</f>
        <v>Sat</v>
      </c>
      <c r="X22" s="58" t="n">
        <f aca="false">IF(AD22&lt;&gt;"",AS22,0)</f>
        <v>0</v>
      </c>
      <c r="Y22" s="40"/>
      <c r="Z22" s="40"/>
      <c r="AA22" s="62"/>
      <c r="AB22" s="64"/>
      <c r="AC22" s="64"/>
      <c r="AD22" s="40"/>
      <c r="AE22" s="67"/>
      <c r="AF22" s="68"/>
      <c r="AG22" s="69" t="str">
        <f aca="false">IF(AB22="","",AE22*AF22/8)</f>
        <v/>
      </c>
      <c r="AH22" s="40"/>
      <c r="AI22" s="40"/>
      <c r="AJ22" s="40" t="s">
        <v>618</v>
      </c>
      <c r="AK22" s="63" t="s">
        <v>619</v>
      </c>
      <c r="AL22" s="64"/>
      <c r="AM22" s="64"/>
      <c r="AN22" s="65"/>
      <c r="AO22" s="60" t="n">
        <f aca="false">SUM(F22:I22)</f>
        <v>0</v>
      </c>
      <c r="AP22" s="66" t="n">
        <f aca="false">IF(AB22="",1,IF(K22&lt;&gt;0,(G22*0.5+J22)/K22,1))</f>
        <v>1</v>
      </c>
      <c r="AQ22" s="55" t="str">
        <f aca="false">IF(AM22="","",IF(ISERROR(FIND(CHAR(10),AM22,1)),AM22,LEFT(AM22,FIND(CHAR(10),AM22,1))))</f>
        <v/>
      </c>
      <c r="AR22" s="56" t="str">
        <f aca="false">IF(AM22="","",IFERROR(RIGHT(AM22,LEN(AM22)-FIND("@@@",SUBSTITUTE(AM22,CHAR(10),"@@@",LEN(AM22)-LEN(SUBSTITUTE(AM22,CHAR(10),""))),1)),AM22))</f>
        <v/>
      </c>
      <c r="AS22" s="57" t="str">
        <f aca="false">IFERROR(DATE(("20"&amp;MID(AQ22,7,2))*1,MID(AQ22,4,2)*1,MID(AQ22,1,2)*1),"")</f>
        <v/>
      </c>
      <c r="AT22" s="57" t="str">
        <f aca="false">IFERROR(DATE(("20"&amp;MID(AR22,7,2))*1,MID(AR22,4,2)*1,MID(AR22,1,2)*1),"")</f>
        <v/>
      </c>
      <c r="AU22" s="64" t="s">
        <v>364</v>
      </c>
    </row>
    <row r="23" customFormat="false" ht="12.75" hidden="false" customHeight="true" outlineLevel="0" collapsed="false">
      <c r="B23" s="58" t="str">
        <f aca="false">IF(AH23="","tbc",AH23)</f>
        <v>tbc</v>
      </c>
      <c r="C23" s="58" t="str">
        <f aca="false">IF(AI23="","VNT",AI23)</f>
        <v>VNT</v>
      </c>
      <c r="D23" s="58" t="n">
        <f aca="false">MAX(X23,IF(AT23="none",X23,AT23))</f>
        <v>0</v>
      </c>
      <c r="E23" s="59" t="n">
        <f aca="false">IFERROR(DAYS360(X23,D23),0)</f>
        <v>0</v>
      </c>
      <c r="F23" s="59" t="n">
        <f aca="false">((LEN($AN23)-LEN(SUBSTITUTE($AN23,CHAR(10)&amp;". ","")))/3)+IF(LEFT(TRIM($AN23),2)=". ",1,0)</f>
        <v>0</v>
      </c>
      <c r="G23" s="59" t="n">
        <f aca="false">((LEN($AN23)-LEN(SUBSTITUTE($AN23,CHAR(10)&amp;"/ ","")))/3)+IF(LEFT(TRIM($AN23),2)="/ ",1,0)</f>
        <v>0</v>
      </c>
      <c r="H23" s="59" t="n">
        <f aca="false">((LEN($AN23)-LEN(SUBSTITUTE($AN23,CHAR(10)&amp;"~ ","")))/3)+IF(LEFT(TRIM($AN23),2)="~ ",1,0)</f>
        <v>0</v>
      </c>
      <c r="I23" s="59" t="n">
        <f aca="false">((LEN($AN23)-LEN(SUBSTITUTE($AN23,CHAR(10)&amp;"! ","")))/3)+IF(LEFT(TRIM($AN23),2)="! ",1,0)</f>
        <v>0</v>
      </c>
      <c r="J23" s="59" t="n">
        <f aca="false">((LEN($AN23)-LEN(SUBSTITUTE($AN23,CHAR(10)&amp;"x ","")))/3)+IF(LEFT(TRIM($AN23),2)="x ",1,0)</f>
        <v>0</v>
      </c>
      <c r="K23" s="59" t="n">
        <f aca="false">SUM(F23:J23)</f>
        <v>0</v>
      </c>
      <c r="L23" s="60" t="n">
        <f aca="false">YEAR(D23)</f>
        <v>1899</v>
      </c>
      <c r="M23" s="60" t="str">
        <f aca="false">VLOOKUP(MONTH(D23),Static!$AJ$3:$AK$16,2,0)</f>
        <v>Dec</v>
      </c>
      <c r="N23" s="60" t="n">
        <f aca="false">WEEKNUM(D23,1)</f>
        <v>52</v>
      </c>
      <c r="O23" s="60" t="str">
        <f aca="false">IFERROR(INDEX(Static!$I$5:$L$15,MATCH(AA23,Static!$I$5:$I$15,0),3),"Z")</f>
        <v>Z</v>
      </c>
      <c r="P23" s="60" t="str">
        <f aca="false">IFERROR(INDEX(Static!$I$5:$L$15,MATCH(AA23,Static!$I$5:$I$15,0),4),"Y")</f>
        <v>Y</v>
      </c>
      <c r="Q23" s="60" t="str">
        <f aca="false">IF(D23&gt;(($A$14-WEEKDAY($A$14,2))-7*$D$15),"Y","N")</f>
        <v>N</v>
      </c>
      <c r="R23" s="58" t="str">
        <f aca="false">IF(AB23&lt;&gt;"","Y","N")</f>
        <v>N</v>
      </c>
      <c r="S23" s="60" t="str">
        <f aca="false">IF(AND(Q23="Y",R23="N"),"Y","N")</f>
        <v>N</v>
      </c>
      <c r="T23" s="58" t="str">
        <f aca="false">IF(OR(Y23="Y",Y23="N"),Y23,IF(AND(P23="Y", OR(Q23="Y",S23="Y")),"Y","N"))</f>
        <v>N</v>
      </c>
      <c r="U23" s="60" t="str">
        <f aca="false">"Y"</f>
        <v>Y</v>
      </c>
      <c r="V23" s="61" t="str">
        <f aca="false">" -  "&amp;O23&amp;AJ23&amp;AK23&amp;AB23</f>
        <v> -  Z</v>
      </c>
      <c r="W23" s="60" t="str">
        <f aca="false">IFERROR(VLOOKUP(WEEKDAY(X23),Static!$AL$3:$AM$11,2,0),"")</f>
        <v>Sat</v>
      </c>
      <c r="X23" s="58" t="n">
        <f aca="false">IF(AD23&lt;&gt;"",AS23,0)</f>
        <v>0</v>
      </c>
      <c r="Y23" s="40"/>
      <c r="Z23" s="40"/>
      <c r="AA23" s="62"/>
      <c r="AB23" s="64"/>
      <c r="AC23" s="64"/>
      <c r="AD23" s="40"/>
      <c r="AE23" s="67"/>
      <c r="AF23" s="68"/>
      <c r="AG23" s="69" t="str">
        <f aca="false">IF(AB23="","",AE23*AF23/8)</f>
        <v/>
      </c>
      <c r="AH23" s="40"/>
      <c r="AI23" s="40"/>
      <c r="AJ23" s="40"/>
      <c r="AK23" s="63"/>
      <c r="AL23" s="64"/>
      <c r="AM23" s="64"/>
      <c r="AN23" s="65"/>
      <c r="AO23" s="60" t="n">
        <f aca="false">SUM(F23:I23)</f>
        <v>0</v>
      </c>
      <c r="AP23" s="66" t="n">
        <f aca="false">IF(AB23="",1,IF(K23&lt;&gt;0,(G23*0.5+J23)/K23,1))</f>
        <v>1</v>
      </c>
      <c r="AQ23" s="55" t="str">
        <f aca="false">IF(AM23="","",IF(ISERROR(FIND(CHAR(10),AM23,1)),AM23,LEFT(AM23,FIND(CHAR(10),AM23,1))))</f>
        <v/>
      </c>
      <c r="AR23" s="56" t="str">
        <f aca="false">IF(AM23="","",IFERROR(RIGHT(AM23,LEN(AM23)-FIND("@@@",SUBSTITUTE(AM23,CHAR(10),"@@@",LEN(AM23)-LEN(SUBSTITUTE(AM23,CHAR(10),""))),1)),AM23))</f>
        <v/>
      </c>
      <c r="AS23" s="57" t="str">
        <f aca="false">IFERROR(DATE(("20"&amp;MID(AQ23,7,2))*1,MID(AQ23,4,2)*1,MID(AQ23,1,2)*1),"")</f>
        <v/>
      </c>
      <c r="AT23" s="57" t="str">
        <f aca="false">IFERROR(DATE(("20"&amp;MID(AR23,7,2))*1,MID(AR23,4,2)*1,MID(AR23,1,2)*1),"")</f>
        <v/>
      </c>
      <c r="AU23" s="64" t="s">
        <v>364</v>
      </c>
    </row>
    <row r="24" customFormat="false" ht="12.75" hidden="false" customHeight="true" outlineLevel="0" collapsed="false">
      <c r="B24" s="58" t="str">
        <f aca="false">IF(AH24="","tbc",AH24)</f>
        <v>tbc</v>
      </c>
      <c r="C24" s="58" t="str">
        <f aca="false">IF(AI24="","VNT",AI24)</f>
        <v>VNT</v>
      </c>
      <c r="D24" s="58" t="n">
        <f aca="false">MAX(X24,IF(AT24="none",X24,AT24))</f>
        <v>0</v>
      </c>
      <c r="E24" s="59" t="n">
        <f aca="false">IFERROR(DAYS360(X24,D24),0)</f>
        <v>0</v>
      </c>
      <c r="F24" s="59" t="n">
        <f aca="false">((LEN($AN24)-LEN(SUBSTITUTE($AN24,CHAR(10)&amp;". ","")))/3)+IF(LEFT(TRIM($AN24),2)=". ",1,0)</f>
        <v>0</v>
      </c>
      <c r="G24" s="59" t="n">
        <f aca="false">((LEN($AN24)-LEN(SUBSTITUTE($AN24,CHAR(10)&amp;"/ ","")))/3)+IF(LEFT(TRIM($AN24),2)="/ ",1,0)</f>
        <v>0</v>
      </c>
      <c r="H24" s="59" t="n">
        <f aca="false">((LEN($AN24)-LEN(SUBSTITUTE($AN24,CHAR(10)&amp;"~ ","")))/3)+IF(LEFT(TRIM($AN24),2)="~ ",1,0)</f>
        <v>0</v>
      </c>
      <c r="I24" s="59" t="n">
        <f aca="false">((LEN($AN24)-LEN(SUBSTITUTE($AN24,CHAR(10)&amp;"! ","")))/3)+IF(LEFT(TRIM($AN24),2)="! ",1,0)</f>
        <v>0</v>
      </c>
      <c r="J24" s="59" t="n">
        <f aca="false">((LEN($AN24)-LEN(SUBSTITUTE($AN24,CHAR(10)&amp;"x ","")))/3)+IF(LEFT(TRIM($AN24),2)="x ",1,0)</f>
        <v>0</v>
      </c>
      <c r="K24" s="59" t="n">
        <f aca="false">SUM(F24:J24)</f>
        <v>0</v>
      </c>
      <c r="L24" s="60" t="n">
        <f aca="false">YEAR(D24)</f>
        <v>1899</v>
      </c>
      <c r="M24" s="60" t="str">
        <f aca="false">VLOOKUP(MONTH(D24),Static!$AJ$3:$AK$16,2,0)</f>
        <v>Dec</v>
      </c>
      <c r="N24" s="60" t="n">
        <f aca="false">WEEKNUM(D24,1)</f>
        <v>52</v>
      </c>
      <c r="O24" s="60" t="str">
        <f aca="false">IFERROR(INDEX(Static!$I$5:$L$15,MATCH(AA24,Static!$I$5:$I$15,0),3),"Z")</f>
        <v>Z</v>
      </c>
      <c r="P24" s="60" t="str">
        <f aca="false">IFERROR(INDEX(Static!$I$5:$L$15,MATCH(AA24,Static!$I$5:$I$15,0),4),"Y")</f>
        <v>Y</v>
      </c>
      <c r="Q24" s="60" t="str">
        <f aca="false">IF(D24&gt;(($A$14-WEEKDAY($A$14,2))-7*$D$15),"Y","N")</f>
        <v>N</v>
      </c>
      <c r="R24" s="58" t="str">
        <f aca="false">IF(AB24&lt;&gt;"","Y","N")</f>
        <v>N</v>
      </c>
      <c r="S24" s="60" t="str">
        <f aca="false">IF(AND(Q24="Y",R24="N"),"Y","N")</f>
        <v>N</v>
      </c>
      <c r="T24" s="58" t="str">
        <f aca="false">IF(OR(Y24="Y",Y24="N"),Y24,IF(AND(P24="Y", OR(Q24="Y",S24="Y")),"Y","N"))</f>
        <v>N</v>
      </c>
      <c r="U24" s="60" t="str">
        <f aca="false">"Y"</f>
        <v>Y</v>
      </c>
      <c r="V24" s="61" t="str">
        <f aca="false">" -  "&amp;O24&amp;AJ24&amp;AK24&amp;AB24</f>
        <v> -  Z</v>
      </c>
      <c r="W24" s="60" t="str">
        <f aca="false">IFERROR(VLOOKUP(WEEKDAY(X24),Static!$AL$3:$AM$11,2,0),"")</f>
        <v>Sat</v>
      </c>
      <c r="X24" s="58" t="n">
        <f aca="false">IF(AD24&lt;&gt;"",AS24,0)</f>
        <v>0</v>
      </c>
      <c r="Y24" s="40"/>
      <c r="Z24" s="40"/>
      <c r="AA24" s="62"/>
      <c r="AB24" s="64"/>
      <c r="AC24" s="64"/>
      <c r="AD24" s="40"/>
      <c r="AE24" s="67"/>
      <c r="AF24" s="68"/>
      <c r="AG24" s="69" t="str">
        <f aca="false">IF(AB24="","",AE24*AF24/8)</f>
        <v/>
      </c>
      <c r="AH24" s="40"/>
      <c r="AI24" s="40"/>
      <c r="AJ24" s="40"/>
      <c r="AK24" s="63"/>
      <c r="AL24" s="64"/>
      <c r="AM24" s="64"/>
      <c r="AN24" s="64"/>
      <c r="AO24" s="60" t="n">
        <f aca="false">SUM(F24:I24)</f>
        <v>0</v>
      </c>
      <c r="AP24" s="66" t="n">
        <f aca="false">IF(AB24="",1,IF(K24&lt;&gt;0,(G24*0.5+J24)/K24,1))</f>
        <v>1</v>
      </c>
      <c r="AQ24" s="55" t="str">
        <f aca="false">IF(AM24="","",IF(ISERROR(FIND(CHAR(10),AM24,1)),AM24,LEFT(AM24,FIND(CHAR(10),AM24,1))))</f>
        <v/>
      </c>
      <c r="AR24" s="56" t="str">
        <f aca="false">IF(AM24="","",IFERROR(RIGHT(AM24,LEN(AM24)-FIND("@@@",SUBSTITUTE(AM24,CHAR(10),"@@@",LEN(AM24)-LEN(SUBSTITUTE(AM24,CHAR(10),""))),1)),AM24))</f>
        <v/>
      </c>
      <c r="AS24" s="57" t="str">
        <f aca="false">IFERROR(DATE(("20"&amp;MID(AQ24,7,2))*1,MID(AQ24,4,2)*1,MID(AQ24,1,2)*1),"")</f>
        <v/>
      </c>
      <c r="AT24" s="57" t="str">
        <f aca="false">IFERROR(DATE(("20"&amp;MID(AR24,7,2))*1,MID(AR24,4,2)*1,MID(AR24,1,2)*1),"")</f>
        <v/>
      </c>
      <c r="AU24" s="64" t="s">
        <v>364</v>
      </c>
    </row>
    <row r="25" customFormat="false" ht="12.75" hidden="false" customHeight="true" outlineLevel="0" collapsed="false">
      <c r="B25" s="58" t="str">
        <f aca="false">IF(AH25="","tbc",AH25)</f>
        <v>tbc</v>
      </c>
      <c r="C25" s="58" t="str">
        <f aca="false">IF(AI25="","VNT",AI25)</f>
        <v>VNT</v>
      </c>
      <c r="D25" s="58" t="n">
        <f aca="false">MAX(X25,IF(AT25="none",X25,AT25))</f>
        <v>0</v>
      </c>
      <c r="E25" s="59" t="n">
        <f aca="false">IFERROR(DAYS360(X25,D25),0)</f>
        <v>0</v>
      </c>
      <c r="F25" s="59" t="n">
        <f aca="false">((LEN($AN25)-LEN(SUBSTITUTE($AN25,CHAR(10)&amp;". ","")))/3)+IF(LEFT(TRIM($AN25),2)=". ",1,0)</f>
        <v>0</v>
      </c>
      <c r="G25" s="59" t="n">
        <f aca="false">((LEN($AN25)-LEN(SUBSTITUTE($AN25,CHAR(10)&amp;"/ ","")))/3)+IF(LEFT(TRIM($AN25),2)="/ ",1,0)</f>
        <v>0</v>
      </c>
      <c r="H25" s="59" t="n">
        <f aca="false">((LEN($AN25)-LEN(SUBSTITUTE($AN25,CHAR(10)&amp;"~ ","")))/3)+IF(LEFT(TRIM($AN25),2)="~ ",1,0)</f>
        <v>0</v>
      </c>
      <c r="I25" s="59" t="n">
        <f aca="false">((LEN($AN25)-LEN(SUBSTITUTE($AN25,CHAR(10)&amp;"! ","")))/3)+IF(LEFT(TRIM($AN25),2)="! ",1,0)</f>
        <v>0</v>
      </c>
      <c r="J25" s="59" t="n">
        <f aca="false">((LEN($AN25)-LEN(SUBSTITUTE($AN25,CHAR(10)&amp;"x ","")))/3)+IF(LEFT(TRIM($AN25),2)="x ",1,0)</f>
        <v>0</v>
      </c>
      <c r="K25" s="59" t="n">
        <f aca="false">SUM(F25:J25)</f>
        <v>0</v>
      </c>
      <c r="L25" s="60" t="n">
        <f aca="false">YEAR(D25)</f>
        <v>1899</v>
      </c>
      <c r="M25" s="60" t="str">
        <f aca="false">VLOOKUP(MONTH(D25),Static!$AJ$3:$AK$16,2,0)</f>
        <v>Dec</v>
      </c>
      <c r="N25" s="60" t="n">
        <f aca="false">WEEKNUM(D25,1)</f>
        <v>52</v>
      </c>
      <c r="O25" s="60" t="str">
        <f aca="false">IFERROR(INDEX(Static!$I$5:$L$15,MATCH(AA25,Static!$I$5:$I$15,0),3),"Z")</f>
        <v>Z</v>
      </c>
      <c r="P25" s="60" t="str">
        <f aca="false">IFERROR(INDEX(Static!$I$5:$L$15,MATCH(AA25,Static!$I$5:$I$15,0),4),"Y")</f>
        <v>Y</v>
      </c>
      <c r="Q25" s="60" t="str">
        <f aca="false">IF(D25&gt;(($A$14-WEEKDAY($A$14,2))-7*$D$15),"Y","N")</f>
        <v>N</v>
      </c>
      <c r="R25" s="58" t="str">
        <f aca="false">IF(AB25&lt;&gt;"","Y","N")</f>
        <v>N</v>
      </c>
      <c r="S25" s="60" t="str">
        <f aca="false">IF(AND(Q25="Y",R25="N"),"Y","N")</f>
        <v>N</v>
      </c>
      <c r="T25" s="58" t="str">
        <f aca="false">IF(OR(Y25="Y",Y25="N"),Y25,IF(AND(P25="Y", OR(Q25="Y",S25="Y")),"Y","N"))</f>
        <v>N</v>
      </c>
      <c r="U25" s="60" t="str">
        <f aca="false">"Y"</f>
        <v>Y</v>
      </c>
      <c r="V25" s="61" t="str">
        <f aca="false">" -  "&amp;O25&amp;AJ25&amp;AK25&amp;AB25</f>
        <v> -  Z</v>
      </c>
      <c r="W25" s="60" t="str">
        <f aca="false">IFERROR(VLOOKUP(WEEKDAY(X25),Static!$AL$3:$AM$11,2,0),"")</f>
        <v>Sat</v>
      </c>
      <c r="X25" s="58" t="n">
        <f aca="false">IF(AD25&lt;&gt;"",AS25,0)</f>
        <v>0</v>
      </c>
      <c r="Y25" s="40"/>
      <c r="Z25" s="40"/>
      <c r="AA25" s="62"/>
      <c r="AB25" s="64"/>
      <c r="AC25" s="64"/>
      <c r="AD25" s="40"/>
      <c r="AE25" s="67"/>
      <c r="AF25" s="68"/>
      <c r="AG25" s="69" t="str">
        <f aca="false">IF(AB25="","",AE25*AF25/8)</f>
        <v/>
      </c>
      <c r="AH25" s="40"/>
      <c r="AI25" s="40"/>
      <c r="AJ25" s="40"/>
      <c r="AK25" s="63"/>
      <c r="AL25" s="64"/>
      <c r="AM25" s="64"/>
      <c r="AN25" s="65"/>
      <c r="AO25" s="60" t="n">
        <f aca="false">SUM(F25:I25)</f>
        <v>0</v>
      </c>
      <c r="AP25" s="66" t="n">
        <f aca="false">IF(AB25="",1,IF(K25&lt;&gt;0,(G25*0.5+J25)/K25,1))</f>
        <v>1</v>
      </c>
      <c r="AQ25" s="55" t="str">
        <f aca="false">IF(AM25="","",IF(ISERROR(FIND(CHAR(10),AM25,1)),AM25,LEFT(AM25,FIND(CHAR(10),AM25,1))))</f>
        <v/>
      </c>
      <c r="AR25" s="56" t="str">
        <f aca="false">IF(AM25="","",IFERROR(RIGHT(AM25,LEN(AM25)-FIND("@@@",SUBSTITUTE(AM25,CHAR(10),"@@@",LEN(AM25)-LEN(SUBSTITUTE(AM25,CHAR(10),""))),1)),AM25))</f>
        <v/>
      </c>
      <c r="AS25" s="57" t="str">
        <f aca="false">IFERROR(DATE(("20"&amp;MID(AQ25,7,2))*1,MID(AQ25,4,2)*1,MID(AQ25,1,2)*1),"")</f>
        <v/>
      </c>
      <c r="AT25" s="57" t="str">
        <f aca="false">IFERROR(DATE(("20"&amp;MID(AR25,7,2))*1,MID(AR25,4,2)*1,MID(AR25,1,2)*1),"")</f>
        <v/>
      </c>
      <c r="AU25" s="64" t="s">
        <v>364</v>
      </c>
    </row>
    <row r="26" customFormat="false" ht="12.75" hidden="false" customHeight="true" outlineLevel="0" collapsed="false">
      <c r="B26" s="58" t="str">
        <f aca="false">IF(AH26="","tbc",AH26)</f>
        <v>tbc</v>
      </c>
      <c r="C26" s="58" t="str">
        <f aca="false">IF(AI26="","VNT",AI26)</f>
        <v>VNT</v>
      </c>
      <c r="D26" s="58" t="n">
        <f aca="false">MAX(X26,IF(AT26="none",X26,AT26))</f>
        <v>0</v>
      </c>
      <c r="E26" s="59" t="n">
        <f aca="false">IFERROR(DAYS360(X26,D26),0)</f>
        <v>0</v>
      </c>
      <c r="F26" s="59" t="n">
        <f aca="false">((LEN($AN26)-LEN(SUBSTITUTE($AN26,CHAR(10)&amp;". ","")))/3)+IF(LEFT(TRIM($AN26),2)=". ",1,0)</f>
        <v>0</v>
      </c>
      <c r="G26" s="59" t="n">
        <f aca="false">((LEN($AN26)-LEN(SUBSTITUTE($AN26,CHAR(10)&amp;"/ ","")))/3)+IF(LEFT(TRIM($AN26),2)="/ ",1,0)</f>
        <v>0</v>
      </c>
      <c r="H26" s="59" t="n">
        <f aca="false">((LEN($AN26)-LEN(SUBSTITUTE($AN26,CHAR(10)&amp;"~ ","")))/3)+IF(LEFT(TRIM($AN26),2)="~ ",1,0)</f>
        <v>0</v>
      </c>
      <c r="I26" s="59" t="n">
        <f aca="false">((LEN($AN26)-LEN(SUBSTITUTE($AN26,CHAR(10)&amp;"! ","")))/3)+IF(LEFT(TRIM($AN26),2)="! ",1,0)</f>
        <v>0</v>
      </c>
      <c r="J26" s="59" t="n">
        <f aca="false">((LEN($AN26)-LEN(SUBSTITUTE($AN26,CHAR(10)&amp;"x ","")))/3)+IF(LEFT(TRIM($AN26),2)="x ",1,0)</f>
        <v>0</v>
      </c>
      <c r="K26" s="59" t="n">
        <f aca="false">SUM(F26:J26)</f>
        <v>0</v>
      </c>
      <c r="L26" s="60" t="n">
        <f aca="false">YEAR(D26)</f>
        <v>1899</v>
      </c>
      <c r="M26" s="60" t="str">
        <f aca="false">VLOOKUP(MONTH(D26),Static!$AJ$3:$AK$16,2,0)</f>
        <v>Dec</v>
      </c>
      <c r="N26" s="60" t="n">
        <f aca="false">WEEKNUM(D26,1)</f>
        <v>52</v>
      </c>
      <c r="O26" s="60" t="str">
        <f aca="false">IFERROR(INDEX(Static!$I$5:$L$15,MATCH(AA26,Static!$I$5:$I$15,0),3),"Z")</f>
        <v>Z</v>
      </c>
      <c r="P26" s="60" t="str">
        <f aca="false">IFERROR(INDEX(Static!$I$5:$L$15,MATCH(AA26,Static!$I$5:$I$15,0),4),"Y")</f>
        <v>Y</v>
      </c>
      <c r="Q26" s="60" t="str">
        <f aca="false">IF(D26&gt;(($A$14-WEEKDAY($A$14,2))-7*$D$15),"Y","N")</f>
        <v>N</v>
      </c>
      <c r="R26" s="58" t="str">
        <f aca="false">IF(AB26&lt;&gt;"","Y","N")</f>
        <v>N</v>
      </c>
      <c r="S26" s="60" t="str">
        <f aca="false">IF(AND(Q26="Y",R26="N"),"Y","N")</f>
        <v>N</v>
      </c>
      <c r="T26" s="58" t="str">
        <f aca="false">IF(OR(Y26="Y",Y26="N"),Y26,IF(AND(P26="Y", OR(Q26="Y",S26="Y")),"Y","N"))</f>
        <v>N</v>
      </c>
      <c r="U26" s="60" t="str">
        <f aca="false">"Y"</f>
        <v>Y</v>
      </c>
      <c r="V26" s="61" t="str">
        <f aca="false">" -  "&amp;O26&amp;AJ26&amp;AK26&amp;AB26</f>
        <v> -  Z</v>
      </c>
      <c r="W26" s="60" t="str">
        <f aca="false">IFERROR(VLOOKUP(WEEKDAY(X26),Static!$AL$3:$AM$11,2,0),"")</f>
        <v>Sat</v>
      </c>
      <c r="X26" s="58" t="n">
        <f aca="false">IF(AD26&lt;&gt;"",AS26,0)</f>
        <v>0</v>
      </c>
      <c r="Y26" s="40"/>
      <c r="Z26" s="40"/>
      <c r="AA26" s="62"/>
      <c r="AB26" s="64"/>
      <c r="AC26" s="64"/>
      <c r="AD26" s="40"/>
      <c r="AE26" s="67"/>
      <c r="AF26" s="68"/>
      <c r="AG26" s="69" t="str">
        <f aca="false">IF(AB26="","",AE26*AF26/8)</f>
        <v/>
      </c>
      <c r="AH26" s="40"/>
      <c r="AI26" s="40"/>
      <c r="AJ26" s="40"/>
      <c r="AK26" s="63"/>
      <c r="AL26" s="64"/>
      <c r="AM26" s="64"/>
      <c r="AN26" s="65"/>
      <c r="AO26" s="60" t="n">
        <f aca="false">SUM(F26:I26)</f>
        <v>0</v>
      </c>
      <c r="AP26" s="66" t="n">
        <f aca="false">IF(AB26="",1,IF(K26&lt;&gt;0,(G26*0.5+J26)/K26,1))</f>
        <v>1</v>
      </c>
      <c r="AQ26" s="55" t="str">
        <f aca="false">IF(AM26="","",IF(ISERROR(FIND(CHAR(10),AM26,1)),AM26,LEFT(AM26,FIND(CHAR(10),AM26,1))))</f>
        <v/>
      </c>
      <c r="AR26" s="56" t="str">
        <f aca="false">IF(AM26="","",IFERROR(RIGHT(AM26,LEN(AM26)-FIND("@@@",SUBSTITUTE(AM26,CHAR(10),"@@@",LEN(AM26)-LEN(SUBSTITUTE(AM26,CHAR(10),""))),1)),AM26))</f>
        <v/>
      </c>
      <c r="AS26" s="57" t="str">
        <f aca="false">IFERROR(DATE(("20"&amp;MID(AQ26,7,2))*1,MID(AQ26,4,2)*1,MID(AQ26,1,2)*1),"")</f>
        <v/>
      </c>
      <c r="AT26" s="57" t="str">
        <f aca="false">IFERROR(DATE(("20"&amp;MID(AR26,7,2))*1,MID(AR26,4,2)*1,MID(AR26,1,2)*1),"")</f>
        <v/>
      </c>
      <c r="AU26" s="64" t="s">
        <v>364</v>
      </c>
    </row>
    <row r="27" customFormat="false" ht="12.75" hidden="false" customHeight="true" outlineLevel="0" collapsed="false">
      <c r="B27" s="58" t="str">
        <f aca="false">IF(AH27="","tbc",AH27)</f>
        <v>tbc</v>
      </c>
      <c r="C27" s="58" t="str">
        <f aca="false">IF(AI27="","VNT",AI27)</f>
        <v>VNT</v>
      </c>
      <c r="D27" s="58" t="n">
        <f aca="false">MAX(X27,IF(AT27="none",X27,AT27))</f>
        <v>0</v>
      </c>
      <c r="E27" s="59" t="n">
        <f aca="false">IFERROR(DAYS360(X27,D27),0)</f>
        <v>0</v>
      </c>
      <c r="F27" s="59" t="n">
        <f aca="false">((LEN($AN27)-LEN(SUBSTITUTE($AN27,CHAR(10)&amp;". ","")))/3)+IF(LEFT(TRIM($AN27),2)=". ",1,0)</f>
        <v>0</v>
      </c>
      <c r="G27" s="59" t="n">
        <f aca="false">((LEN($AN27)-LEN(SUBSTITUTE($AN27,CHAR(10)&amp;"/ ","")))/3)+IF(LEFT(TRIM($AN27),2)="/ ",1,0)</f>
        <v>0</v>
      </c>
      <c r="H27" s="59" t="n">
        <f aca="false">((LEN($AN27)-LEN(SUBSTITUTE($AN27,CHAR(10)&amp;"~ ","")))/3)+IF(LEFT(TRIM($AN27),2)="~ ",1,0)</f>
        <v>0</v>
      </c>
      <c r="I27" s="59" t="n">
        <f aca="false">((LEN($AN27)-LEN(SUBSTITUTE($AN27,CHAR(10)&amp;"! ","")))/3)+IF(LEFT(TRIM($AN27),2)="! ",1,0)</f>
        <v>0</v>
      </c>
      <c r="J27" s="59" t="n">
        <f aca="false">((LEN($AN27)-LEN(SUBSTITUTE($AN27,CHAR(10)&amp;"x ","")))/3)+IF(LEFT(TRIM($AN27),2)="x ",1,0)</f>
        <v>0</v>
      </c>
      <c r="K27" s="59" t="n">
        <f aca="false">SUM(F27:J27)</f>
        <v>0</v>
      </c>
      <c r="L27" s="60" t="n">
        <f aca="false">YEAR(D27)</f>
        <v>1899</v>
      </c>
      <c r="M27" s="60" t="str">
        <f aca="false">VLOOKUP(MONTH(D27),Static!$AJ$3:$AK$16,2,0)</f>
        <v>Dec</v>
      </c>
      <c r="N27" s="60" t="n">
        <f aca="false">WEEKNUM(D27,1)</f>
        <v>52</v>
      </c>
      <c r="O27" s="60" t="str">
        <f aca="false">IFERROR(INDEX(Static!$I$5:$L$15,MATCH(AA27,Static!$I$5:$I$15,0),3),"Z")</f>
        <v>Z</v>
      </c>
      <c r="P27" s="60" t="str">
        <f aca="false">IFERROR(INDEX(Static!$I$5:$L$15,MATCH(AA27,Static!$I$5:$I$15,0),4),"Y")</f>
        <v>Y</v>
      </c>
      <c r="Q27" s="60" t="str">
        <f aca="false">IF(D27&gt;(($A$14-WEEKDAY($A$14,2))-7*$D$15),"Y","N")</f>
        <v>N</v>
      </c>
      <c r="R27" s="58" t="str">
        <f aca="false">IF(AB27&lt;&gt;"","Y","N")</f>
        <v>N</v>
      </c>
      <c r="S27" s="60" t="str">
        <f aca="false">IF(AND(Q27="Y",R27="N"),"Y","N")</f>
        <v>N</v>
      </c>
      <c r="T27" s="58" t="str">
        <f aca="false">IF(OR(Y27="Y",Y27="N"),Y27,IF(AND(P27="Y", OR(Q27="Y",S27="Y")),"Y","N"))</f>
        <v>N</v>
      </c>
      <c r="U27" s="60" t="str">
        <f aca="false">"Y"</f>
        <v>Y</v>
      </c>
      <c r="V27" s="61" t="str">
        <f aca="false">" -  "&amp;O27&amp;AJ27&amp;AK27&amp;AB27</f>
        <v> -  Z</v>
      </c>
      <c r="W27" s="60" t="str">
        <f aca="false">IFERROR(VLOOKUP(WEEKDAY(X27),Static!$AL$3:$AM$11,2,0),"")</f>
        <v>Sat</v>
      </c>
      <c r="X27" s="58" t="n">
        <f aca="false">IF(AD27&lt;&gt;"",AS27,0)</f>
        <v>0</v>
      </c>
      <c r="Y27" s="40"/>
      <c r="Z27" s="40"/>
      <c r="AA27" s="62"/>
      <c r="AB27" s="64"/>
      <c r="AC27" s="64"/>
      <c r="AD27" s="40"/>
      <c r="AE27" s="67"/>
      <c r="AF27" s="68"/>
      <c r="AG27" s="69" t="str">
        <f aca="false">IF(AB27="","",AE27*AF27/8)</f>
        <v/>
      </c>
      <c r="AH27" s="40"/>
      <c r="AI27" s="40"/>
      <c r="AJ27" s="40"/>
      <c r="AK27" s="63"/>
      <c r="AL27" s="64"/>
      <c r="AM27" s="64"/>
      <c r="AN27" s="64"/>
      <c r="AO27" s="60" t="n">
        <f aca="false">SUM(F27:I27)</f>
        <v>0</v>
      </c>
      <c r="AP27" s="66" t="n">
        <f aca="false">IF(AB27="",1,IF(K27&lt;&gt;0,(G27*0.5+J27)/K27,1))</f>
        <v>1</v>
      </c>
      <c r="AQ27" s="55" t="str">
        <f aca="false">IF(AM27="","",IF(ISERROR(FIND(CHAR(10),AM27,1)),AM27,LEFT(AM27,FIND(CHAR(10),AM27,1))))</f>
        <v/>
      </c>
      <c r="AR27" s="56" t="str">
        <f aca="false">IF(AM27="","",IFERROR(RIGHT(AM27,LEN(AM27)-FIND("@@@",SUBSTITUTE(AM27,CHAR(10),"@@@",LEN(AM27)-LEN(SUBSTITUTE(AM27,CHAR(10),""))),1)),AM27))</f>
        <v/>
      </c>
      <c r="AS27" s="57" t="str">
        <f aca="false">IFERROR(DATE(("20"&amp;MID(AQ27,7,2))*1,MID(AQ27,4,2)*1,MID(AQ27,1,2)*1),"")</f>
        <v/>
      </c>
      <c r="AT27" s="57" t="str">
        <f aca="false">IFERROR(DATE(("20"&amp;MID(AR27,7,2))*1,MID(AR27,4,2)*1,MID(AR27,1,2)*1),"")</f>
        <v/>
      </c>
      <c r="AU27" s="64" t="s">
        <v>364</v>
      </c>
    </row>
    <row r="28" customFormat="false" ht="12.75" hidden="false" customHeight="true" outlineLevel="0" collapsed="false">
      <c r="B28" s="58" t="str">
        <f aca="false">IF(AH28="","tbc",AH28)</f>
        <v>tbc</v>
      </c>
      <c r="C28" s="58" t="str">
        <f aca="false">IF(AI28="","VNT",AI28)</f>
        <v>VNT</v>
      </c>
      <c r="D28" s="58" t="n">
        <f aca="false">MAX(X28,IF(AT28="none",X28,AT28))</f>
        <v>0</v>
      </c>
      <c r="E28" s="59" t="n">
        <f aca="false">IFERROR(DAYS360(X28,D28),0)</f>
        <v>0</v>
      </c>
      <c r="F28" s="59" t="n">
        <f aca="false">((LEN($AN28)-LEN(SUBSTITUTE($AN28,CHAR(10)&amp;". ","")))/3)+IF(LEFT(TRIM($AN28),2)=". ",1,0)</f>
        <v>0</v>
      </c>
      <c r="G28" s="59" t="n">
        <f aca="false">((LEN($AN28)-LEN(SUBSTITUTE($AN28,CHAR(10)&amp;"/ ","")))/3)+IF(LEFT(TRIM($AN28),2)="/ ",1,0)</f>
        <v>0</v>
      </c>
      <c r="H28" s="59" t="n">
        <f aca="false">((LEN($AN28)-LEN(SUBSTITUTE($AN28,CHAR(10)&amp;"~ ","")))/3)+IF(LEFT(TRIM($AN28),2)="~ ",1,0)</f>
        <v>0</v>
      </c>
      <c r="I28" s="59" t="n">
        <f aca="false">((LEN($AN28)-LEN(SUBSTITUTE($AN28,CHAR(10)&amp;"! ","")))/3)+IF(LEFT(TRIM($AN28),2)="! ",1,0)</f>
        <v>0</v>
      </c>
      <c r="J28" s="59" t="n">
        <f aca="false">((LEN($AN28)-LEN(SUBSTITUTE($AN28,CHAR(10)&amp;"x ","")))/3)+IF(LEFT(TRIM($AN28),2)="x ",1,0)</f>
        <v>0</v>
      </c>
      <c r="K28" s="59" t="n">
        <f aca="false">SUM(F28:J28)</f>
        <v>0</v>
      </c>
      <c r="L28" s="60" t="n">
        <f aca="false">YEAR(D28)</f>
        <v>1899</v>
      </c>
      <c r="M28" s="60" t="str">
        <f aca="false">VLOOKUP(MONTH(D28),Static!$AJ$3:$AK$16,2,0)</f>
        <v>Dec</v>
      </c>
      <c r="N28" s="60" t="n">
        <f aca="false">WEEKNUM(D28,1)</f>
        <v>52</v>
      </c>
      <c r="O28" s="60" t="str">
        <f aca="false">IFERROR(INDEX(Static!$I$5:$L$15,MATCH(AA28,Static!$I$5:$I$15,0),3),"Z")</f>
        <v>Z</v>
      </c>
      <c r="P28" s="60" t="str">
        <f aca="false">IFERROR(INDEX(Static!$I$5:$L$15,MATCH(AA28,Static!$I$5:$I$15,0),4),"Y")</f>
        <v>Y</v>
      </c>
      <c r="Q28" s="60" t="str">
        <f aca="false">IF(D28&gt;(($A$14-WEEKDAY($A$14,2))-7*$D$15),"Y","N")</f>
        <v>N</v>
      </c>
      <c r="R28" s="58" t="str">
        <f aca="false">IF(AB28&lt;&gt;"","Y","N")</f>
        <v>N</v>
      </c>
      <c r="S28" s="60" t="str">
        <f aca="false">IF(AND(Q28="Y",R28="N"),"Y","N")</f>
        <v>N</v>
      </c>
      <c r="T28" s="58" t="str">
        <f aca="false">IF(OR(Y28="Y",Y28="N"),Y28,IF(AND(P28="Y", OR(Q28="Y",S28="Y")),"Y","N"))</f>
        <v>N</v>
      </c>
      <c r="U28" s="60" t="str">
        <f aca="false">"Y"</f>
        <v>Y</v>
      </c>
      <c r="V28" s="61" t="str">
        <f aca="false">" -  "&amp;O28&amp;AJ28&amp;AK28&amp;AB28</f>
        <v> -  Z</v>
      </c>
      <c r="W28" s="60" t="str">
        <f aca="false">IFERROR(VLOOKUP(WEEKDAY(X28),Static!$AL$3:$AM$11,2,0),"")</f>
        <v>Sat</v>
      </c>
      <c r="X28" s="58" t="n">
        <f aca="false">IF(AD28&lt;&gt;"",AS28,0)</f>
        <v>0</v>
      </c>
      <c r="Y28" s="40"/>
      <c r="Z28" s="40"/>
      <c r="AA28" s="62"/>
      <c r="AB28" s="64"/>
      <c r="AC28" s="64"/>
      <c r="AD28" s="40"/>
      <c r="AE28" s="67"/>
      <c r="AF28" s="68"/>
      <c r="AG28" s="69" t="str">
        <f aca="false">IF(AB28="","",AE28*AF28/8)</f>
        <v/>
      </c>
      <c r="AH28" s="40"/>
      <c r="AI28" s="40"/>
      <c r="AJ28" s="40"/>
      <c r="AK28" s="63"/>
      <c r="AL28" s="64"/>
      <c r="AM28" s="64"/>
      <c r="AN28" s="65"/>
      <c r="AO28" s="60" t="n">
        <f aca="false">SUM(F28:I28)</f>
        <v>0</v>
      </c>
      <c r="AP28" s="66" t="n">
        <f aca="false">IF(AB28="",1,IF(K28&lt;&gt;0,(G28*0.5+J28)/K28,1))</f>
        <v>1</v>
      </c>
      <c r="AQ28" s="55" t="str">
        <f aca="false">IF(AM28="","",IF(ISERROR(FIND(CHAR(10),AM28,1)),AM28,LEFT(AM28,FIND(CHAR(10),AM28,1))))</f>
        <v/>
      </c>
      <c r="AR28" s="56" t="str">
        <f aca="false">IF(AM28="","",IFERROR(RIGHT(AM28,LEN(AM28)-FIND("@@@",SUBSTITUTE(AM28,CHAR(10),"@@@",LEN(AM28)-LEN(SUBSTITUTE(AM28,CHAR(10),""))),1)),AM28))</f>
        <v/>
      </c>
      <c r="AS28" s="57" t="str">
        <f aca="false">IFERROR(DATE(("20"&amp;MID(AQ28,7,2))*1,MID(AQ28,4,2)*1,MID(AQ28,1,2)*1),"")</f>
        <v/>
      </c>
      <c r="AT28" s="57" t="str">
        <f aca="false">IFERROR(DATE(("20"&amp;MID(AR28,7,2))*1,MID(AR28,4,2)*1,MID(AR28,1,2)*1),"")</f>
        <v/>
      </c>
      <c r="AU28" s="64" t="s">
        <v>364</v>
      </c>
    </row>
    <row r="29" customFormat="false" ht="12.75" hidden="false" customHeight="true" outlineLevel="0" collapsed="false">
      <c r="B29" s="58" t="str">
        <f aca="false">IF(AH29="","tbc",AH29)</f>
        <v>tbc</v>
      </c>
      <c r="C29" s="58" t="str">
        <f aca="false">IF(AI29="","VNT",AI29)</f>
        <v>VNT</v>
      </c>
      <c r="D29" s="58" t="n">
        <f aca="false">MAX(X29,IF(AT29="none",X29,AT29))</f>
        <v>0</v>
      </c>
      <c r="E29" s="59" t="n">
        <f aca="false">IFERROR(DAYS360(X29,D29),0)</f>
        <v>0</v>
      </c>
      <c r="F29" s="59" t="n">
        <f aca="false">((LEN($AN29)-LEN(SUBSTITUTE($AN29,CHAR(10)&amp;". ","")))/3)+IF(LEFT(TRIM($AN29),2)=". ",1,0)</f>
        <v>0</v>
      </c>
      <c r="G29" s="59" t="n">
        <f aca="false">((LEN($AN29)-LEN(SUBSTITUTE($AN29,CHAR(10)&amp;"/ ","")))/3)+IF(LEFT(TRIM($AN29),2)="/ ",1,0)</f>
        <v>0</v>
      </c>
      <c r="H29" s="59" t="n">
        <f aca="false">((LEN($AN29)-LEN(SUBSTITUTE($AN29,CHAR(10)&amp;"~ ","")))/3)+IF(LEFT(TRIM($AN29),2)="~ ",1,0)</f>
        <v>0</v>
      </c>
      <c r="I29" s="59" t="n">
        <f aca="false">((LEN($AN29)-LEN(SUBSTITUTE($AN29,CHAR(10)&amp;"! ","")))/3)+IF(LEFT(TRIM($AN29),2)="! ",1,0)</f>
        <v>0</v>
      </c>
      <c r="J29" s="59" t="n">
        <f aca="false">((LEN($AN29)-LEN(SUBSTITUTE($AN29,CHAR(10)&amp;"x ","")))/3)+IF(LEFT(TRIM($AN29),2)="x ",1,0)</f>
        <v>0</v>
      </c>
      <c r="K29" s="59" t="n">
        <f aca="false">SUM(F29:J29)</f>
        <v>0</v>
      </c>
      <c r="L29" s="60" t="n">
        <f aca="false">YEAR(D29)</f>
        <v>1899</v>
      </c>
      <c r="M29" s="60" t="str">
        <f aca="false">VLOOKUP(MONTH(D29),Static!$AJ$3:$AK$16,2,0)</f>
        <v>Dec</v>
      </c>
      <c r="N29" s="60" t="n">
        <f aca="false">WEEKNUM(D29,1)</f>
        <v>52</v>
      </c>
      <c r="O29" s="60" t="str">
        <f aca="false">IFERROR(INDEX(Static!$I$5:$L$15,MATCH(AA29,Static!$I$5:$I$15,0),3),"Z")</f>
        <v>Z</v>
      </c>
      <c r="P29" s="60" t="str">
        <f aca="false">IFERROR(INDEX(Static!$I$5:$L$15,MATCH(AA29,Static!$I$5:$I$15,0),4),"Y")</f>
        <v>Y</v>
      </c>
      <c r="Q29" s="60" t="str">
        <f aca="false">IF(D29&gt;(($A$14-WEEKDAY($A$14,2))-7*$D$15),"Y","N")</f>
        <v>N</v>
      </c>
      <c r="R29" s="58" t="str">
        <f aca="false">IF(AB29&lt;&gt;"","Y","N")</f>
        <v>N</v>
      </c>
      <c r="S29" s="60" t="str">
        <f aca="false">IF(AND(Q29="Y",R29="N"),"Y","N")</f>
        <v>N</v>
      </c>
      <c r="T29" s="58" t="str">
        <f aca="false">IF(OR(Y29="Y",Y29="N"),Y29,IF(AND(P29="Y", OR(Q29="Y",S29="Y")),"Y","N"))</f>
        <v>N</v>
      </c>
      <c r="U29" s="60" t="str">
        <f aca="false">"Y"</f>
        <v>Y</v>
      </c>
      <c r="V29" s="61" t="str">
        <f aca="false">" -  "&amp;O29&amp;AJ29&amp;AK29&amp;AB29</f>
        <v> -  Z</v>
      </c>
      <c r="W29" s="60" t="str">
        <f aca="false">IFERROR(VLOOKUP(WEEKDAY(X29),Static!$AL$3:$AM$11,2,0),"")</f>
        <v>Sat</v>
      </c>
      <c r="X29" s="58" t="n">
        <f aca="false">IF(AD29&lt;&gt;"",AS29,0)</f>
        <v>0</v>
      </c>
      <c r="Y29" s="40"/>
      <c r="Z29" s="40"/>
      <c r="AA29" s="62"/>
      <c r="AB29" s="64"/>
      <c r="AC29" s="64"/>
      <c r="AD29" s="40"/>
      <c r="AE29" s="67"/>
      <c r="AF29" s="68"/>
      <c r="AG29" s="69" t="str">
        <f aca="false">IF(AB29="","",AE29*AF29/8)</f>
        <v/>
      </c>
      <c r="AH29" s="40"/>
      <c r="AI29" s="40"/>
      <c r="AJ29" s="40"/>
      <c r="AK29" s="63"/>
      <c r="AL29" s="64"/>
      <c r="AM29" s="64"/>
      <c r="AN29" s="65"/>
      <c r="AO29" s="60" t="n">
        <f aca="false">SUM(F29:I29)</f>
        <v>0</v>
      </c>
      <c r="AP29" s="66" t="n">
        <f aca="false">IF(AB29="",1,IF(K29&lt;&gt;0,(G29*0.5+J29)/K29,1))</f>
        <v>1</v>
      </c>
      <c r="AQ29" s="55" t="str">
        <f aca="false">IF(AM29="","",IF(ISERROR(FIND(CHAR(10),AM29,1)),AM29,LEFT(AM29,FIND(CHAR(10),AM29,1))))</f>
        <v/>
      </c>
      <c r="AR29" s="56" t="str">
        <f aca="false">IF(AM29="","",IFERROR(RIGHT(AM29,LEN(AM29)-FIND("@@@",SUBSTITUTE(AM29,CHAR(10),"@@@",LEN(AM29)-LEN(SUBSTITUTE(AM29,CHAR(10),""))),1)),AM29))</f>
        <v/>
      </c>
      <c r="AS29" s="57" t="str">
        <f aca="false">IFERROR(DATE(("20"&amp;MID(AQ29,7,2))*1,MID(AQ29,4,2)*1,MID(AQ29,1,2)*1),"")</f>
        <v/>
      </c>
      <c r="AT29" s="57" t="str">
        <f aca="false">IFERROR(DATE(("20"&amp;MID(AR29,7,2))*1,MID(AR29,4,2)*1,MID(AR29,1,2)*1),"")</f>
        <v/>
      </c>
      <c r="AU29" s="64" t="s">
        <v>364</v>
      </c>
    </row>
    <row r="30" customFormat="false" ht="12.75" hidden="false" customHeight="true" outlineLevel="0" collapsed="false">
      <c r="B30" s="58" t="str">
        <f aca="false">IF(AH30="","tbc",AH30)</f>
        <v>tbc</v>
      </c>
      <c r="C30" s="58" t="str">
        <f aca="false">IF(AI30="","VNT",AI30)</f>
        <v>VNT</v>
      </c>
      <c r="D30" s="58" t="n">
        <f aca="false">MAX(X30,IF(AT30="none",X30,AT30))</f>
        <v>0</v>
      </c>
      <c r="E30" s="59" t="n">
        <f aca="false">IFERROR(DAYS360(X30,D30),0)</f>
        <v>0</v>
      </c>
      <c r="F30" s="59" t="n">
        <f aca="false">((LEN($AN30)-LEN(SUBSTITUTE($AN30,CHAR(10)&amp;". ","")))/3)+IF(LEFT(TRIM($AN30),2)=". ",1,0)</f>
        <v>0</v>
      </c>
      <c r="G30" s="59" t="n">
        <f aca="false">((LEN($AN30)-LEN(SUBSTITUTE($AN30,CHAR(10)&amp;"/ ","")))/3)+IF(LEFT(TRIM($AN30),2)="/ ",1,0)</f>
        <v>0</v>
      </c>
      <c r="H30" s="59" t="n">
        <f aca="false">((LEN($AN30)-LEN(SUBSTITUTE($AN30,CHAR(10)&amp;"~ ","")))/3)+IF(LEFT(TRIM($AN30),2)="~ ",1,0)</f>
        <v>0</v>
      </c>
      <c r="I30" s="59" t="n">
        <f aca="false">((LEN($AN30)-LEN(SUBSTITUTE($AN30,CHAR(10)&amp;"! ","")))/3)+IF(LEFT(TRIM($AN30),2)="! ",1,0)</f>
        <v>0</v>
      </c>
      <c r="J30" s="59" t="n">
        <f aca="false">((LEN($AN30)-LEN(SUBSTITUTE($AN30,CHAR(10)&amp;"x ","")))/3)+IF(LEFT(TRIM($AN30),2)="x ",1,0)</f>
        <v>0</v>
      </c>
      <c r="K30" s="59" t="n">
        <f aca="false">SUM(F30:J30)</f>
        <v>0</v>
      </c>
      <c r="L30" s="60" t="n">
        <f aca="false">YEAR(D30)</f>
        <v>1899</v>
      </c>
      <c r="M30" s="60" t="str">
        <f aca="false">VLOOKUP(MONTH(D30),Static!$AJ$3:$AK$16,2,0)</f>
        <v>Dec</v>
      </c>
      <c r="N30" s="60" t="n">
        <f aca="false">WEEKNUM(D30,1)</f>
        <v>52</v>
      </c>
      <c r="O30" s="60" t="str">
        <f aca="false">IFERROR(INDEX(Static!$I$5:$L$15,MATCH(AA30,Static!$I$5:$I$15,0),3),"Z")</f>
        <v>Z</v>
      </c>
      <c r="P30" s="60" t="str">
        <f aca="false">IFERROR(INDEX(Static!$I$5:$L$15,MATCH(AA30,Static!$I$5:$I$15,0),4),"Y")</f>
        <v>Y</v>
      </c>
      <c r="Q30" s="60" t="str">
        <f aca="false">IF(D30&gt;(($A$14-WEEKDAY($A$14,2))-7*$D$15),"Y","N")</f>
        <v>N</v>
      </c>
      <c r="R30" s="58" t="str">
        <f aca="false">IF(AB30&lt;&gt;"","Y","N")</f>
        <v>N</v>
      </c>
      <c r="S30" s="60" t="str">
        <f aca="false">IF(AND(Q30="Y",R30="N"),"Y","N")</f>
        <v>N</v>
      </c>
      <c r="T30" s="58" t="str">
        <f aca="false">IF(OR(Y30="Y",Y30="N"),Y30,IF(AND(P30="Y", OR(Q30="Y",S30="Y")),"Y","N"))</f>
        <v>N</v>
      </c>
      <c r="U30" s="60" t="str">
        <f aca="false">"Y"</f>
        <v>Y</v>
      </c>
      <c r="V30" s="61" t="str">
        <f aca="false">" -  "&amp;O30&amp;AJ30&amp;AK30&amp;AB30</f>
        <v> -  Z</v>
      </c>
      <c r="W30" s="60" t="str">
        <f aca="false">IFERROR(VLOOKUP(WEEKDAY(X30),Static!$AL$3:$AM$11,2,0),"")</f>
        <v>Sat</v>
      </c>
      <c r="X30" s="58" t="n">
        <f aca="false">IF(AD30&lt;&gt;"",AS30,0)</f>
        <v>0</v>
      </c>
      <c r="Y30" s="40"/>
      <c r="Z30" s="40"/>
      <c r="AA30" s="62"/>
      <c r="AB30" s="64"/>
      <c r="AC30" s="64"/>
      <c r="AD30" s="40"/>
      <c r="AE30" s="67"/>
      <c r="AF30" s="68"/>
      <c r="AG30" s="69" t="str">
        <f aca="false">IF(AB30="","",AE30*AF30/8)</f>
        <v/>
      </c>
      <c r="AH30" s="40"/>
      <c r="AI30" s="40"/>
      <c r="AJ30" s="40"/>
      <c r="AK30" s="63"/>
      <c r="AL30" s="64"/>
      <c r="AM30" s="64"/>
      <c r="AN30" s="64"/>
      <c r="AO30" s="60" t="n">
        <f aca="false">SUM(F30:I30)</f>
        <v>0</v>
      </c>
      <c r="AP30" s="66" t="n">
        <f aca="false">IF(AB30="",1,IF(K30&lt;&gt;0,(G30*0.5+J30)/K30,1))</f>
        <v>1</v>
      </c>
      <c r="AQ30" s="55" t="str">
        <f aca="false">IF(AM30="","",IF(ISERROR(FIND(CHAR(10),AM30,1)),AM30,LEFT(AM30,FIND(CHAR(10),AM30,1))))</f>
        <v/>
      </c>
      <c r="AR30" s="56" t="str">
        <f aca="false">IF(AM30="","",IFERROR(RIGHT(AM30,LEN(AM30)-FIND("@@@",SUBSTITUTE(AM30,CHAR(10),"@@@",LEN(AM30)-LEN(SUBSTITUTE(AM30,CHAR(10),""))),1)),AM30))</f>
        <v/>
      </c>
      <c r="AS30" s="57" t="str">
        <f aca="false">IFERROR(DATE(("20"&amp;MID(AQ30,7,2))*1,MID(AQ30,4,2)*1,MID(AQ30,1,2)*1),"")</f>
        <v/>
      </c>
      <c r="AT30" s="57" t="str">
        <f aca="false">IFERROR(DATE(("20"&amp;MID(AR30,7,2))*1,MID(AR30,4,2)*1,MID(AR30,1,2)*1),"")</f>
        <v/>
      </c>
      <c r="AU30" s="64" t="s">
        <v>364</v>
      </c>
    </row>
    <row r="31" customFormat="false" ht="12.75" hidden="false" customHeight="true" outlineLevel="0" collapsed="false">
      <c r="B31" s="58" t="str">
        <f aca="false">IF(AH31="","tbc",AH31)</f>
        <v>tbc</v>
      </c>
      <c r="C31" s="58" t="str">
        <f aca="false">IF(AI31="","VNT",AI31)</f>
        <v>VNT</v>
      </c>
      <c r="D31" s="58" t="n">
        <f aca="false">MAX(X31,IF(AT31="none",X31,AT31))</f>
        <v>0</v>
      </c>
      <c r="E31" s="59" t="n">
        <f aca="false">IFERROR(DAYS360(X31,D31),0)</f>
        <v>0</v>
      </c>
      <c r="F31" s="59" t="n">
        <f aca="false">((LEN($AN31)-LEN(SUBSTITUTE($AN31,CHAR(10)&amp;". ","")))/3)+IF(LEFT(TRIM($AN31),2)=". ",1,0)</f>
        <v>0</v>
      </c>
      <c r="G31" s="59" t="n">
        <f aca="false">((LEN($AN31)-LEN(SUBSTITUTE($AN31,CHAR(10)&amp;"/ ","")))/3)+IF(LEFT(TRIM($AN31),2)="/ ",1,0)</f>
        <v>0</v>
      </c>
      <c r="H31" s="59" t="n">
        <f aca="false">((LEN($AN31)-LEN(SUBSTITUTE($AN31,CHAR(10)&amp;"~ ","")))/3)+IF(LEFT(TRIM($AN31),2)="~ ",1,0)</f>
        <v>0</v>
      </c>
      <c r="I31" s="59" t="n">
        <f aca="false">((LEN($AN31)-LEN(SUBSTITUTE($AN31,CHAR(10)&amp;"! ","")))/3)+IF(LEFT(TRIM($AN31),2)="! ",1,0)</f>
        <v>0</v>
      </c>
      <c r="J31" s="59" t="n">
        <f aca="false">((LEN($AN31)-LEN(SUBSTITUTE($AN31,CHAR(10)&amp;"x ","")))/3)+IF(LEFT(TRIM($AN31),2)="x ",1,0)</f>
        <v>0</v>
      </c>
      <c r="K31" s="59" t="n">
        <f aca="false">SUM(F31:J31)</f>
        <v>0</v>
      </c>
      <c r="L31" s="60" t="n">
        <f aca="false">YEAR(D31)</f>
        <v>1899</v>
      </c>
      <c r="M31" s="60" t="str">
        <f aca="false">VLOOKUP(MONTH(D31),Static!$AJ$3:$AK$16,2,0)</f>
        <v>Dec</v>
      </c>
      <c r="N31" s="60" t="n">
        <f aca="false">WEEKNUM(D31,1)</f>
        <v>52</v>
      </c>
      <c r="O31" s="60" t="str">
        <f aca="false">IFERROR(INDEX(Static!$I$5:$L$15,MATCH(AA31,Static!$I$5:$I$15,0),3),"Z")</f>
        <v>Z</v>
      </c>
      <c r="P31" s="60" t="str">
        <f aca="false">IFERROR(INDEX(Static!$I$5:$L$15,MATCH(AA31,Static!$I$5:$I$15,0),4),"Y")</f>
        <v>Y</v>
      </c>
      <c r="Q31" s="60" t="str">
        <f aca="false">IF(D31&gt;(($A$14-WEEKDAY($A$14,2))-7*$D$15),"Y","N")</f>
        <v>N</v>
      </c>
      <c r="R31" s="58" t="str">
        <f aca="false">IF(AB31&lt;&gt;"","Y","N")</f>
        <v>N</v>
      </c>
      <c r="S31" s="60" t="str">
        <f aca="false">IF(AND(Q31="Y",R31="N"),"Y","N")</f>
        <v>N</v>
      </c>
      <c r="T31" s="58" t="str">
        <f aca="false">IF(OR(Y31="Y",Y31="N"),Y31,IF(AND(P31="Y", OR(Q31="Y",S31="Y")),"Y","N"))</f>
        <v>N</v>
      </c>
      <c r="U31" s="60" t="str">
        <f aca="false">"Y"</f>
        <v>Y</v>
      </c>
      <c r="V31" s="61" t="str">
        <f aca="false">" -  "&amp;O31&amp;AJ31&amp;AK31&amp;AB31</f>
        <v> -  Z</v>
      </c>
      <c r="W31" s="60" t="str">
        <f aca="false">IFERROR(VLOOKUP(WEEKDAY(X31),Static!$AL$3:$AM$11,2,0),"")</f>
        <v>Sat</v>
      </c>
      <c r="X31" s="58" t="n">
        <f aca="false">IF(AD31&lt;&gt;"",AS31,0)</f>
        <v>0</v>
      </c>
      <c r="Y31" s="40"/>
      <c r="Z31" s="40"/>
      <c r="AA31" s="62"/>
      <c r="AB31" s="64"/>
      <c r="AC31" s="64"/>
      <c r="AD31" s="40"/>
      <c r="AE31" s="67"/>
      <c r="AF31" s="68"/>
      <c r="AG31" s="69" t="str">
        <f aca="false">IF(AB31="","",AE31*AF31/8)</f>
        <v/>
      </c>
      <c r="AH31" s="40"/>
      <c r="AI31" s="40"/>
      <c r="AJ31" s="40"/>
      <c r="AK31" s="63"/>
      <c r="AL31" s="64"/>
      <c r="AM31" s="64"/>
      <c r="AN31" s="65"/>
      <c r="AO31" s="60" t="n">
        <f aca="false">SUM(F31:I31)</f>
        <v>0</v>
      </c>
      <c r="AP31" s="66" t="n">
        <f aca="false">IF(AB31="",1,IF(K31&lt;&gt;0,(G31*0.5+J31)/K31,1))</f>
        <v>1</v>
      </c>
      <c r="AQ31" s="55" t="str">
        <f aca="false">IF(AM31="","",IF(ISERROR(FIND(CHAR(10),AM31,1)),AM31,LEFT(AM31,FIND(CHAR(10),AM31,1))))</f>
        <v/>
      </c>
      <c r="AR31" s="56" t="str">
        <f aca="false">IF(AM31="","",IFERROR(RIGHT(AM31,LEN(AM31)-FIND("@@@",SUBSTITUTE(AM31,CHAR(10),"@@@",LEN(AM31)-LEN(SUBSTITUTE(AM31,CHAR(10),""))),1)),AM31))</f>
        <v/>
      </c>
      <c r="AS31" s="57" t="str">
        <f aca="false">IFERROR(DATE(("20"&amp;MID(AQ31,7,2))*1,MID(AQ31,4,2)*1,MID(AQ31,1,2)*1),"")</f>
        <v/>
      </c>
      <c r="AT31" s="57" t="str">
        <f aca="false">IFERROR(DATE(("20"&amp;MID(AR31,7,2))*1,MID(AR31,4,2)*1,MID(AR31,1,2)*1),"")</f>
        <v/>
      </c>
      <c r="AU31" s="64" t="s">
        <v>364</v>
      </c>
    </row>
    <row r="32" customFormat="false" ht="12.75" hidden="false" customHeight="true" outlineLevel="0" collapsed="false">
      <c r="B32" s="58" t="str">
        <f aca="false">IF(AH32="","tbc",AH32)</f>
        <v>tbc</v>
      </c>
      <c r="C32" s="58" t="str">
        <f aca="false">IF(AI32="","VNT",AI32)</f>
        <v>VNT</v>
      </c>
      <c r="D32" s="58" t="n">
        <f aca="false">MAX(X32,IF(AT32="none",X32,AT32))</f>
        <v>0</v>
      </c>
      <c r="E32" s="59" t="n">
        <f aca="false">IFERROR(DAYS360(X32,D32),0)</f>
        <v>0</v>
      </c>
      <c r="F32" s="59" t="n">
        <f aca="false">((LEN($AN32)-LEN(SUBSTITUTE($AN32,CHAR(10)&amp;". ","")))/3)+IF(LEFT(TRIM($AN32),2)=". ",1,0)</f>
        <v>0</v>
      </c>
      <c r="G32" s="59" t="n">
        <f aca="false">((LEN($AN32)-LEN(SUBSTITUTE($AN32,CHAR(10)&amp;"/ ","")))/3)+IF(LEFT(TRIM($AN32),2)="/ ",1,0)</f>
        <v>0</v>
      </c>
      <c r="H32" s="59" t="n">
        <f aca="false">((LEN($AN32)-LEN(SUBSTITUTE($AN32,CHAR(10)&amp;"~ ","")))/3)+IF(LEFT(TRIM($AN32),2)="~ ",1,0)</f>
        <v>0</v>
      </c>
      <c r="I32" s="59" t="n">
        <f aca="false">((LEN($AN32)-LEN(SUBSTITUTE($AN32,CHAR(10)&amp;"! ","")))/3)+IF(LEFT(TRIM($AN32),2)="! ",1,0)</f>
        <v>0</v>
      </c>
      <c r="J32" s="59" t="n">
        <f aca="false">((LEN($AN32)-LEN(SUBSTITUTE($AN32,CHAR(10)&amp;"x ","")))/3)+IF(LEFT(TRIM($AN32),2)="x ",1,0)</f>
        <v>0</v>
      </c>
      <c r="K32" s="59" t="n">
        <f aca="false">SUM(F32:J32)</f>
        <v>0</v>
      </c>
      <c r="L32" s="60" t="n">
        <f aca="false">YEAR(D32)</f>
        <v>1899</v>
      </c>
      <c r="M32" s="60" t="str">
        <f aca="false">VLOOKUP(MONTH(D32),Static!$AJ$3:$AK$16,2,0)</f>
        <v>Dec</v>
      </c>
      <c r="N32" s="60" t="n">
        <f aca="false">WEEKNUM(D32,1)</f>
        <v>52</v>
      </c>
      <c r="O32" s="60" t="str">
        <f aca="false">IFERROR(INDEX(Static!$I$5:$L$15,MATCH(AA32,Static!$I$5:$I$15,0),3),"Z")</f>
        <v>Z</v>
      </c>
      <c r="P32" s="60" t="str">
        <f aca="false">IFERROR(INDEX(Static!$I$5:$L$15,MATCH(AA32,Static!$I$5:$I$15,0),4),"Y")</f>
        <v>Y</v>
      </c>
      <c r="Q32" s="60" t="str">
        <f aca="false">IF(D32&gt;(($A$14-WEEKDAY($A$14,2))-7*$D$15),"Y","N")</f>
        <v>N</v>
      </c>
      <c r="R32" s="58" t="str">
        <f aca="false">IF(AB32&lt;&gt;"","Y","N")</f>
        <v>N</v>
      </c>
      <c r="S32" s="60" t="str">
        <f aca="false">IF(AND(Q32="Y",R32="N"),"Y","N")</f>
        <v>N</v>
      </c>
      <c r="T32" s="58" t="str">
        <f aca="false">IF(OR(Y32="Y",Y32="N"),Y32,IF(AND(P32="Y", OR(Q32="Y",S32="Y")),"Y","N"))</f>
        <v>N</v>
      </c>
      <c r="U32" s="60" t="str">
        <f aca="false">"Y"</f>
        <v>Y</v>
      </c>
      <c r="V32" s="61" t="str">
        <f aca="false">" -  "&amp;O32&amp;AJ32&amp;AK32&amp;AB32</f>
        <v> -  Z</v>
      </c>
      <c r="W32" s="60" t="str">
        <f aca="false">IFERROR(VLOOKUP(WEEKDAY(X32),Static!$AL$3:$AM$11,2,0),"")</f>
        <v>Sat</v>
      </c>
      <c r="X32" s="58" t="n">
        <f aca="false">IF(AD32&lt;&gt;"",AS32,0)</f>
        <v>0</v>
      </c>
      <c r="Y32" s="40"/>
      <c r="Z32" s="40"/>
      <c r="AA32" s="62"/>
      <c r="AB32" s="64"/>
      <c r="AC32" s="64"/>
      <c r="AD32" s="40"/>
      <c r="AE32" s="67"/>
      <c r="AF32" s="68"/>
      <c r="AG32" s="69" t="str">
        <f aca="false">IF(AB32="","",AE32*AF32/8)</f>
        <v/>
      </c>
      <c r="AH32" s="40"/>
      <c r="AI32" s="40"/>
      <c r="AJ32" s="40"/>
      <c r="AK32" s="63"/>
      <c r="AL32" s="64"/>
      <c r="AM32" s="64"/>
      <c r="AN32" s="65"/>
      <c r="AO32" s="60" t="n">
        <f aca="false">SUM(F32:I32)</f>
        <v>0</v>
      </c>
      <c r="AP32" s="66" t="n">
        <f aca="false">IF(AB32="",1,IF(K32&lt;&gt;0,(G32*0.5+J32)/K32,1))</f>
        <v>1</v>
      </c>
      <c r="AQ32" s="55" t="str">
        <f aca="false">IF(AM32="","",IF(ISERROR(FIND(CHAR(10),AM32,1)),AM32,LEFT(AM32,FIND(CHAR(10),AM32,1))))</f>
        <v/>
      </c>
      <c r="AR32" s="56" t="str">
        <f aca="false">IF(AM32="","",IFERROR(RIGHT(AM32,LEN(AM32)-FIND("@@@",SUBSTITUTE(AM32,CHAR(10),"@@@",LEN(AM32)-LEN(SUBSTITUTE(AM32,CHAR(10),""))),1)),AM32))</f>
        <v/>
      </c>
      <c r="AS32" s="57" t="str">
        <f aca="false">IFERROR(DATE(("20"&amp;MID(AQ32,7,2))*1,MID(AQ32,4,2)*1,MID(AQ32,1,2)*1),"")</f>
        <v/>
      </c>
      <c r="AT32" s="57" t="str">
        <f aca="false">IFERROR(DATE(("20"&amp;MID(AR32,7,2))*1,MID(AR32,4,2)*1,MID(AR32,1,2)*1),"")</f>
        <v/>
      </c>
      <c r="AU32" s="64" t="s">
        <v>364</v>
      </c>
    </row>
    <row r="33" customFormat="false" ht="12.75" hidden="false" customHeight="true" outlineLevel="0" collapsed="false">
      <c r="B33" s="58" t="str">
        <f aca="false">IF(AH33="","tbc",AH33)</f>
        <v>tbc</v>
      </c>
      <c r="C33" s="58" t="str">
        <f aca="false">IF(AI33="","VNT",AI33)</f>
        <v>VNT</v>
      </c>
      <c r="D33" s="58" t="n">
        <f aca="false">MAX(X33,IF(AT33="none",X33,AT33))</f>
        <v>0</v>
      </c>
      <c r="E33" s="59" t="n">
        <f aca="false">IFERROR(DAYS360(X33,D33),0)</f>
        <v>0</v>
      </c>
      <c r="F33" s="59" t="n">
        <f aca="false">((LEN($AN33)-LEN(SUBSTITUTE($AN33,CHAR(10)&amp;". ","")))/3)+IF(LEFT(TRIM($AN33),2)=". ",1,0)</f>
        <v>0</v>
      </c>
      <c r="G33" s="59" t="n">
        <f aca="false">((LEN($AN33)-LEN(SUBSTITUTE($AN33,CHAR(10)&amp;"/ ","")))/3)+IF(LEFT(TRIM($AN33),2)="/ ",1,0)</f>
        <v>0</v>
      </c>
      <c r="H33" s="59" t="n">
        <f aca="false">((LEN($AN33)-LEN(SUBSTITUTE($AN33,CHAR(10)&amp;"~ ","")))/3)+IF(LEFT(TRIM($AN33),2)="~ ",1,0)</f>
        <v>0</v>
      </c>
      <c r="I33" s="59" t="n">
        <f aca="false">((LEN($AN33)-LEN(SUBSTITUTE($AN33,CHAR(10)&amp;"! ","")))/3)+IF(LEFT(TRIM($AN33),2)="! ",1,0)</f>
        <v>0</v>
      </c>
      <c r="J33" s="59" t="n">
        <f aca="false">((LEN($AN33)-LEN(SUBSTITUTE($AN33,CHAR(10)&amp;"x ","")))/3)+IF(LEFT(TRIM($AN33),2)="x ",1,0)</f>
        <v>0</v>
      </c>
      <c r="K33" s="59" t="n">
        <f aca="false">SUM(F33:J33)</f>
        <v>0</v>
      </c>
      <c r="L33" s="60" t="n">
        <f aca="false">YEAR(D33)</f>
        <v>1899</v>
      </c>
      <c r="M33" s="60" t="str">
        <f aca="false">VLOOKUP(MONTH(D33),Static!$AJ$3:$AK$16,2,0)</f>
        <v>Dec</v>
      </c>
      <c r="N33" s="60" t="n">
        <f aca="false">WEEKNUM(D33,1)</f>
        <v>52</v>
      </c>
      <c r="O33" s="60" t="str">
        <f aca="false">IFERROR(INDEX(Static!$I$5:$L$15,MATCH(AA33,Static!$I$5:$I$15,0),3),"Z")</f>
        <v>Z</v>
      </c>
      <c r="P33" s="60" t="str">
        <f aca="false">IFERROR(INDEX(Static!$I$5:$L$15,MATCH(AA33,Static!$I$5:$I$15,0),4),"Y")</f>
        <v>Y</v>
      </c>
      <c r="Q33" s="60" t="str">
        <f aca="false">IF(D33&gt;(($A$14-WEEKDAY($A$14,2))-7*$D$15),"Y","N")</f>
        <v>N</v>
      </c>
      <c r="R33" s="58" t="str">
        <f aca="false">IF(AB33&lt;&gt;"","Y","N")</f>
        <v>N</v>
      </c>
      <c r="S33" s="60" t="str">
        <f aca="false">IF(AND(Q33="Y",R33="N"),"Y","N")</f>
        <v>N</v>
      </c>
      <c r="T33" s="58" t="str">
        <f aca="false">IF(OR(Y33="Y",Y33="N"),Y33,IF(AND(P33="Y", OR(Q33="Y",S33="Y")),"Y","N"))</f>
        <v>N</v>
      </c>
      <c r="U33" s="60" t="str">
        <f aca="false">"Y"</f>
        <v>Y</v>
      </c>
      <c r="V33" s="61" t="str">
        <f aca="false">" -  "&amp;O33&amp;AJ33&amp;AK33&amp;AB33</f>
        <v> -  Z</v>
      </c>
      <c r="W33" s="60" t="str">
        <f aca="false">IFERROR(VLOOKUP(WEEKDAY(X33),Static!$AL$3:$AM$11,2,0),"")</f>
        <v>Sat</v>
      </c>
      <c r="X33" s="58" t="n">
        <f aca="false">IF(AD33&lt;&gt;"",AS33,0)</f>
        <v>0</v>
      </c>
      <c r="Y33" s="40"/>
      <c r="Z33" s="40"/>
      <c r="AA33" s="62"/>
      <c r="AB33" s="64"/>
      <c r="AC33" s="64"/>
      <c r="AD33" s="40"/>
      <c r="AE33" s="67"/>
      <c r="AF33" s="68"/>
      <c r="AG33" s="69" t="str">
        <f aca="false">IF(AB33="","",AE33*AF33/8)</f>
        <v/>
      </c>
      <c r="AH33" s="40"/>
      <c r="AI33" s="40"/>
      <c r="AJ33" s="40"/>
      <c r="AK33" s="63"/>
      <c r="AL33" s="64"/>
      <c r="AM33" s="64"/>
      <c r="AN33" s="64"/>
      <c r="AO33" s="60" t="n">
        <f aca="false">SUM(F33:I33)</f>
        <v>0</v>
      </c>
      <c r="AP33" s="66" t="n">
        <f aca="false">IF(AB33="",1,IF(K33&lt;&gt;0,(G33*0.5+J33)/K33,1))</f>
        <v>1</v>
      </c>
      <c r="AQ33" s="55" t="str">
        <f aca="false">IF(AM33="","",IF(ISERROR(FIND(CHAR(10),AM33,1)),AM33,LEFT(AM33,FIND(CHAR(10),AM33,1))))</f>
        <v/>
      </c>
      <c r="AR33" s="56" t="str">
        <f aca="false">IF(AM33="","",IFERROR(RIGHT(AM33,LEN(AM33)-FIND("@@@",SUBSTITUTE(AM33,CHAR(10),"@@@",LEN(AM33)-LEN(SUBSTITUTE(AM33,CHAR(10),""))),1)),AM33))</f>
        <v/>
      </c>
      <c r="AS33" s="57" t="str">
        <f aca="false">IFERROR(DATE(("20"&amp;MID(AQ33,7,2))*1,MID(AQ33,4,2)*1,MID(AQ33,1,2)*1),"")</f>
        <v/>
      </c>
      <c r="AT33" s="57" t="str">
        <f aca="false">IFERROR(DATE(("20"&amp;MID(AR33,7,2))*1,MID(AR33,4,2)*1,MID(AR33,1,2)*1),"")</f>
        <v/>
      </c>
      <c r="AU33" s="64" t="s">
        <v>364</v>
      </c>
    </row>
    <row r="34" customFormat="false" ht="12.75" hidden="false" customHeight="true" outlineLevel="0" collapsed="false">
      <c r="B34" s="58" t="str">
        <f aca="false">IF(AH34="","tbc",AH34)</f>
        <v>tbc</v>
      </c>
      <c r="C34" s="58" t="str">
        <f aca="false">IF(AI34="","VNT",AI34)</f>
        <v>VNT</v>
      </c>
      <c r="D34" s="58" t="n">
        <f aca="false">MAX(X34,IF(AT34="none",X34,AT34))</f>
        <v>0</v>
      </c>
      <c r="E34" s="59" t="n">
        <f aca="false">IFERROR(DAYS360(X34,D34),0)</f>
        <v>0</v>
      </c>
      <c r="F34" s="59" t="n">
        <f aca="false">((LEN($AN34)-LEN(SUBSTITUTE($AN34,CHAR(10)&amp;". ","")))/3)+IF(LEFT(TRIM($AN34),2)=". ",1,0)</f>
        <v>0</v>
      </c>
      <c r="G34" s="59" t="n">
        <f aca="false">((LEN($AN34)-LEN(SUBSTITUTE($AN34,CHAR(10)&amp;"/ ","")))/3)+IF(LEFT(TRIM($AN34),2)="/ ",1,0)</f>
        <v>0</v>
      </c>
      <c r="H34" s="59" t="n">
        <f aca="false">((LEN($AN34)-LEN(SUBSTITUTE($AN34,CHAR(10)&amp;"~ ","")))/3)+IF(LEFT(TRIM($AN34),2)="~ ",1,0)</f>
        <v>0</v>
      </c>
      <c r="I34" s="59" t="n">
        <f aca="false">((LEN($AN34)-LEN(SUBSTITUTE($AN34,CHAR(10)&amp;"! ","")))/3)+IF(LEFT(TRIM($AN34),2)="! ",1,0)</f>
        <v>0</v>
      </c>
      <c r="J34" s="59" t="n">
        <f aca="false">((LEN($AN34)-LEN(SUBSTITUTE($AN34,CHAR(10)&amp;"x ","")))/3)+IF(LEFT(TRIM($AN34),2)="x ",1,0)</f>
        <v>0</v>
      </c>
      <c r="K34" s="59" t="n">
        <f aca="false">SUM(F34:J34)</f>
        <v>0</v>
      </c>
      <c r="L34" s="60" t="n">
        <f aca="false">YEAR(D34)</f>
        <v>1899</v>
      </c>
      <c r="M34" s="60" t="str">
        <f aca="false">VLOOKUP(MONTH(D34),Static!$AJ$3:$AK$16,2,0)</f>
        <v>Dec</v>
      </c>
      <c r="N34" s="60" t="n">
        <f aca="false">WEEKNUM(D34,1)</f>
        <v>52</v>
      </c>
      <c r="O34" s="60" t="str">
        <f aca="false">IFERROR(INDEX(Static!$I$5:$L$15,MATCH(AA34,Static!$I$5:$I$15,0),3),"Z")</f>
        <v>Z</v>
      </c>
      <c r="P34" s="60" t="str">
        <f aca="false">IFERROR(INDEX(Static!$I$5:$L$15,MATCH(AA34,Static!$I$5:$I$15,0),4),"Y")</f>
        <v>Y</v>
      </c>
      <c r="Q34" s="60" t="str">
        <f aca="false">IF(D34&gt;(($A$14-WEEKDAY($A$14,2))-7*$D$15),"Y","N")</f>
        <v>N</v>
      </c>
      <c r="R34" s="58" t="str">
        <f aca="false">IF(AB34&lt;&gt;"","Y","N")</f>
        <v>N</v>
      </c>
      <c r="S34" s="60" t="str">
        <f aca="false">IF(AND(Q34="Y",R34="N"),"Y","N")</f>
        <v>N</v>
      </c>
      <c r="T34" s="58" t="str">
        <f aca="false">IF(OR(Y34="Y",Y34="N"),Y34,IF(AND(P34="Y", OR(Q34="Y",S34="Y")),"Y","N"))</f>
        <v>N</v>
      </c>
      <c r="U34" s="60" t="str">
        <f aca="false">"Y"</f>
        <v>Y</v>
      </c>
      <c r="V34" s="61" t="str">
        <f aca="false">" -  "&amp;O34&amp;AJ34&amp;AK34&amp;AB34</f>
        <v> -  Z</v>
      </c>
      <c r="W34" s="60" t="str">
        <f aca="false">IFERROR(VLOOKUP(WEEKDAY(X34),Static!$AL$3:$AM$11,2,0),"")</f>
        <v>Sat</v>
      </c>
      <c r="X34" s="58" t="n">
        <f aca="false">IF(AD34&lt;&gt;"",AS34,0)</f>
        <v>0</v>
      </c>
      <c r="Y34" s="40"/>
      <c r="Z34" s="40"/>
      <c r="AA34" s="62"/>
      <c r="AB34" s="64"/>
      <c r="AC34" s="64"/>
      <c r="AD34" s="40"/>
      <c r="AE34" s="67"/>
      <c r="AF34" s="68"/>
      <c r="AG34" s="69" t="str">
        <f aca="false">IF(AB34="","",AE34*AF34/8)</f>
        <v/>
      </c>
      <c r="AH34" s="40"/>
      <c r="AI34" s="40"/>
      <c r="AJ34" s="40"/>
      <c r="AK34" s="63"/>
      <c r="AL34" s="64"/>
      <c r="AM34" s="64"/>
      <c r="AN34" s="65"/>
      <c r="AO34" s="60" t="n">
        <f aca="false">SUM(F34:I34)</f>
        <v>0</v>
      </c>
      <c r="AP34" s="66" t="n">
        <f aca="false">IF(AB34="",1,IF(K34&lt;&gt;0,(G34*0.5+J34)/K34,1))</f>
        <v>1</v>
      </c>
      <c r="AQ34" s="55" t="str">
        <f aca="false">IF(AM34="","",IF(ISERROR(FIND(CHAR(10),AM34,1)),AM34,LEFT(AM34,FIND(CHAR(10),AM34,1))))</f>
        <v/>
      </c>
      <c r="AR34" s="56" t="str">
        <f aca="false">IF(AM34="","",IFERROR(RIGHT(AM34,LEN(AM34)-FIND("@@@",SUBSTITUTE(AM34,CHAR(10),"@@@",LEN(AM34)-LEN(SUBSTITUTE(AM34,CHAR(10),""))),1)),AM34))</f>
        <v/>
      </c>
      <c r="AS34" s="57" t="str">
        <f aca="false">IFERROR(DATE(("20"&amp;MID(AQ34,7,2))*1,MID(AQ34,4,2)*1,MID(AQ34,1,2)*1),"")</f>
        <v/>
      </c>
      <c r="AT34" s="57" t="str">
        <f aca="false">IFERROR(DATE(("20"&amp;MID(AR34,7,2))*1,MID(AR34,4,2)*1,MID(AR34,1,2)*1),"")</f>
        <v/>
      </c>
      <c r="AU34" s="64" t="s">
        <v>364</v>
      </c>
    </row>
    <row r="35" customFormat="false" ht="12.75" hidden="false" customHeight="true" outlineLevel="0" collapsed="false">
      <c r="B35" s="58" t="str">
        <f aca="false">IF(AH35="","tbc",AH35)</f>
        <v>tbc</v>
      </c>
      <c r="C35" s="58" t="str">
        <f aca="false">IF(AI35="","VNT",AI35)</f>
        <v>VNT</v>
      </c>
      <c r="D35" s="58" t="n">
        <f aca="false">MAX(X35,IF(AT35="none",X35,AT35))</f>
        <v>0</v>
      </c>
      <c r="E35" s="59" t="n">
        <f aca="false">IFERROR(DAYS360(X35,D35),0)</f>
        <v>0</v>
      </c>
      <c r="F35" s="59" t="n">
        <f aca="false">((LEN($AN35)-LEN(SUBSTITUTE($AN35,CHAR(10)&amp;". ","")))/3)+IF(LEFT(TRIM($AN35),2)=". ",1,0)</f>
        <v>0</v>
      </c>
      <c r="G35" s="59" t="n">
        <f aca="false">((LEN($AN35)-LEN(SUBSTITUTE($AN35,CHAR(10)&amp;"/ ","")))/3)+IF(LEFT(TRIM($AN35),2)="/ ",1,0)</f>
        <v>0</v>
      </c>
      <c r="H35" s="59" t="n">
        <f aca="false">((LEN($AN35)-LEN(SUBSTITUTE($AN35,CHAR(10)&amp;"~ ","")))/3)+IF(LEFT(TRIM($AN35),2)="~ ",1,0)</f>
        <v>0</v>
      </c>
      <c r="I35" s="59" t="n">
        <f aca="false">((LEN($AN35)-LEN(SUBSTITUTE($AN35,CHAR(10)&amp;"! ","")))/3)+IF(LEFT(TRIM($AN35),2)="! ",1,0)</f>
        <v>0</v>
      </c>
      <c r="J35" s="59" t="n">
        <f aca="false">((LEN($AN35)-LEN(SUBSTITUTE($AN35,CHAR(10)&amp;"x ","")))/3)+IF(LEFT(TRIM($AN35),2)="x ",1,0)</f>
        <v>0</v>
      </c>
      <c r="K35" s="59" t="n">
        <f aca="false">SUM(F35:J35)</f>
        <v>0</v>
      </c>
      <c r="L35" s="60" t="n">
        <f aca="false">YEAR(D35)</f>
        <v>1899</v>
      </c>
      <c r="M35" s="60" t="str">
        <f aca="false">VLOOKUP(MONTH(D35),Static!$AJ$3:$AK$16,2,0)</f>
        <v>Dec</v>
      </c>
      <c r="N35" s="60" t="n">
        <f aca="false">WEEKNUM(D35,1)</f>
        <v>52</v>
      </c>
      <c r="O35" s="60" t="str">
        <f aca="false">IFERROR(INDEX(Static!$I$5:$L$15,MATCH(AA35,Static!$I$5:$I$15,0),3),"Z")</f>
        <v>Z</v>
      </c>
      <c r="P35" s="60" t="str">
        <f aca="false">IFERROR(INDEX(Static!$I$5:$L$15,MATCH(AA35,Static!$I$5:$I$15,0),4),"Y")</f>
        <v>Y</v>
      </c>
      <c r="Q35" s="60" t="str">
        <f aca="false">IF(D35&gt;(($A$14-WEEKDAY($A$14,2))-7*$D$15),"Y","N")</f>
        <v>N</v>
      </c>
      <c r="R35" s="58" t="str">
        <f aca="false">IF(AB35&lt;&gt;"","Y","N")</f>
        <v>N</v>
      </c>
      <c r="S35" s="60" t="str">
        <f aca="false">IF(AND(Q35="Y",R35="N"),"Y","N")</f>
        <v>N</v>
      </c>
      <c r="T35" s="58" t="str">
        <f aca="false">IF(OR(Y35="Y",Y35="N"),Y35,IF(AND(P35="Y", OR(Q35="Y",S35="Y")),"Y","N"))</f>
        <v>N</v>
      </c>
      <c r="U35" s="60" t="str">
        <f aca="false">"Y"</f>
        <v>Y</v>
      </c>
      <c r="V35" s="61" t="str">
        <f aca="false">" -  "&amp;O35&amp;AJ35&amp;AK35&amp;AB35</f>
        <v> -  Z</v>
      </c>
      <c r="W35" s="60" t="str">
        <f aca="false">IFERROR(VLOOKUP(WEEKDAY(X35),Static!$AL$3:$AM$11,2,0),"")</f>
        <v>Sat</v>
      </c>
      <c r="X35" s="58" t="n">
        <f aca="false">IF(AD35&lt;&gt;"",AS35,0)</f>
        <v>0</v>
      </c>
      <c r="Y35" s="40"/>
      <c r="Z35" s="40"/>
      <c r="AA35" s="62"/>
      <c r="AB35" s="64"/>
      <c r="AC35" s="64"/>
      <c r="AD35" s="40"/>
      <c r="AE35" s="67"/>
      <c r="AF35" s="68"/>
      <c r="AG35" s="69" t="str">
        <f aca="false">IF(AB35="","",AE35*AF35/8)</f>
        <v/>
      </c>
      <c r="AH35" s="40"/>
      <c r="AI35" s="40"/>
      <c r="AJ35" s="40"/>
      <c r="AK35" s="63"/>
      <c r="AL35" s="64"/>
      <c r="AM35" s="64"/>
      <c r="AN35" s="65"/>
      <c r="AO35" s="60" t="n">
        <f aca="false">SUM(F35:I35)</f>
        <v>0</v>
      </c>
      <c r="AP35" s="66" t="n">
        <f aca="false">IF(AB35="",1,IF(K35&lt;&gt;0,(G35*0.5+J35)/K35,1))</f>
        <v>1</v>
      </c>
      <c r="AQ35" s="55" t="str">
        <f aca="false">IF(AM35="","",IF(ISERROR(FIND(CHAR(10),AM35,1)),AM35,LEFT(AM35,FIND(CHAR(10),AM35,1))))</f>
        <v/>
      </c>
      <c r="AR35" s="56" t="str">
        <f aca="false">IF(AM35="","",IFERROR(RIGHT(AM35,LEN(AM35)-FIND("@@@",SUBSTITUTE(AM35,CHAR(10),"@@@",LEN(AM35)-LEN(SUBSTITUTE(AM35,CHAR(10),""))),1)),AM35))</f>
        <v/>
      </c>
      <c r="AS35" s="57" t="str">
        <f aca="false">IFERROR(DATE(("20"&amp;MID(AQ35,7,2))*1,MID(AQ35,4,2)*1,MID(AQ35,1,2)*1),"")</f>
        <v/>
      </c>
      <c r="AT35" s="57" t="str">
        <f aca="false">IFERROR(DATE(("20"&amp;MID(AR35,7,2))*1,MID(AR35,4,2)*1,MID(AR35,1,2)*1),"")</f>
        <v/>
      </c>
      <c r="AU35" s="64" t="s">
        <v>364</v>
      </c>
    </row>
    <row r="36" customFormat="false" ht="12.75" hidden="false" customHeight="true" outlineLevel="0" collapsed="false">
      <c r="B36" s="58" t="str">
        <f aca="false">IF(AH36="","tbc",AH36)</f>
        <v>tbc</v>
      </c>
      <c r="C36" s="58" t="str">
        <f aca="false">IF(AI36="","VNT",AI36)</f>
        <v>VNT</v>
      </c>
      <c r="D36" s="58" t="n">
        <f aca="false">MAX(X36,IF(AT36="none",X36,AT36))</f>
        <v>0</v>
      </c>
      <c r="E36" s="59" t="n">
        <f aca="false">IFERROR(DAYS360(X36,D36),0)</f>
        <v>0</v>
      </c>
      <c r="F36" s="59" t="n">
        <f aca="false">((LEN($AN36)-LEN(SUBSTITUTE($AN36,CHAR(10)&amp;". ","")))/3)+IF(LEFT(TRIM($AN36),2)=". ",1,0)</f>
        <v>0</v>
      </c>
      <c r="G36" s="59" t="n">
        <f aca="false">((LEN($AN36)-LEN(SUBSTITUTE($AN36,CHAR(10)&amp;"/ ","")))/3)+IF(LEFT(TRIM($AN36),2)="/ ",1,0)</f>
        <v>0</v>
      </c>
      <c r="H36" s="59" t="n">
        <f aca="false">((LEN($AN36)-LEN(SUBSTITUTE($AN36,CHAR(10)&amp;"~ ","")))/3)+IF(LEFT(TRIM($AN36),2)="~ ",1,0)</f>
        <v>0</v>
      </c>
      <c r="I36" s="59" t="n">
        <f aca="false">((LEN($AN36)-LEN(SUBSTITUTE($AN36,CHAR(10)&amp;"! ","")))/3)+IF(LEFT(TRIM($AN36),2)="! ",1,0)</f>
        <v>0</v>
      </c>
      <c r="J36" s="59" t="n">
        <f aca="false">((LEN($AN36)-LEN(SUBSTITUTE($AN36,CHAR(10)&amp;"x ","")))/3)+IF(LEFT(TRIM($AN36),2)="x ",1,0)</f>
        <v>0</v>
      </c>
      <c r="K36" s="59" t="n">
        <f aca="false">SUM(F36:J36)</f>
        <v>0</v>
      </c>
      <c r="L36" s="60" t="n">
        <f aca="false">YEAR(D36)</f>
        <v>1899</v>
      </c>
      <c r="M36" s="60" t="str">
        <f aca="false">VLOOKUP(MONTH(D36),Static!$AJ$3:$AK$16,2,0)</f>
        <v>Dec</v>
      </c>
      <c r="N36" s="60" t="n">
        <f aca="false">WEEKNUM(D36,1)</f>
        <v>52</v>
      </c>
      <c r="O36" s="60" t="str">
        <f aca="false">IFERROR(INDEX(Static!$I$5:$L$15,MATCH(AA36,Static!$I$5:$I$15,0),3),"Z")</f>
        <v>Z</v>
      </c>
      <c r="P36" s="60" t="str">
        <f aca="false">IFERROR(INDEX(Static!$I$5:$L$15,MATCH(AA36,Static!$I$5:$I$15,0),4),"Y")</f>
        <v>Y</v>
      </c>
      <c r="Q36" s="60" t="str">
        <f aca="false">IF(D36&gt;(($A$14-WEEKDAY($A$14,2))-7*$D$15),"Y","N")</f>
        <v>N</v>
      </c>
      <c r="R36" s="58" t="str">
        <f aca="false">IF(AB36&lt;&gt;"","Y","N")</f>
        <v>N</v>
      </c>
      <c r="S36" s="60" t="str">
        <f aca="false">IF(AND(Q36="Y",R36="N"),"Y","N")</f>
        <v>N</v>
      </c>
      <c r="T36" s="58" t="str">
        <f aca="false">IF(OR(Y36="Y",Y36="N"),Y36,IF(AND(P36="Y", OR(Q36="Y",S36="Y")),"Y","N"))</f>
        <v>N</v>
      </c>
      <c r="U36" s="60" t="str">
        <f aca="false">"Y"</f>
        <v>Y</v>
      </c>
      <c r="V36" s="61" t="str">
        <f aca="false">" -  "&amp;O36&amp;AJ36&amp;AK36&amp;AB36</f>
        <v> -  Z</v>
      </c>
      <c r="W36" s="60" t="str">
        <f aca="false">IFERROR(VLOOKUP(WEEKDAY(X36),Static!$AL$3:$AM$11,2,0),"")</f>
        <v>Sat</v>
      </c>
      <c r="X36" s="58" t="n">
        <f aca="false">IF(AD36&lt;&gt;"",AS36,0)</f>
        <v>0</v>
      </c>
      <c r="Y36" s="40"/>
      <c r="Z36" s="40"/>
      <c r="AA36" s="62"/>
      <c r="AB36" s="64"/>
      <c r="AC36" s="64"/>
      <c r="AD36" s="40"/>
      <c r="AE36" s="67"/>
      <c r="AF36" s="68"/>
      <c r="AG36" s="69" t="str">
        <f aca="false">IF(AB36="","",AE36*AF36/8)</f>
        <v/>
      </c>
      <c r="AH36" s="40"/>
      <c r="AI36" s="40"/>
      <c r="AJ36" s="40"/>
      <c r="AK36" s="63"/>
      <c r="AL36" s="64"/>
      <c r="AM36" s="64"/>
      <c r="AN36" s="64"/>
      <c r="AO36" s="60" t="n">
        <f aca="false">SUM(F36:I36)</f>
        <v>0</v>
      </c>
      <c r="AP36" s="66" t="n">
        <f aca="false">IF(AB36="",1,IF(K36&lt;&gt;0,(G36*0.5+J36)/K36,1))</f>
        <v>1</v>
      </c>
      <c r="AQ36" s="55" t="str">
        <f aca="false">IF(AM36="","",IF(ISERROR(FIND(CHAR(10),AM36,1)),AM36,LEFT(AM36,FIND(CHAR(10),AM36,1))))</f>
        <v/>
      </c>
      <c r="AR36" s="56" t="str">
        <f aca="false">IF(AM36="","",IFERROR(RIGHT(AM36,LEN(AM36)-FIND("@@@",SUBSTITUTE(AM36,CHAR(10),"@@@",LEN(AM36)-LEN(SUBSTITUTE(AM36,CHAR(10),""))),1)),AM36))</f>
        <v/>
      </c>
      <c r="AS36" s="57" t="str">
        <f aca="false">IFERROR(DATE(("20"&amp;MID(AQ36,7,2))*1,MID(AQ36,4,2)*1,MID(AQ36,1,2)*1),"")</f>
        <v/>
      </c>
      <c r="AT36" s="57" t="str">
        <f aca="false">IFERROR(DATE(("20"&amp;MID(AR36,7,2))*1,MID(AR36,4,2)*1,MID(AR36,1,2)*1),"")</f>
        <v/>
      </c>
      <c r="AU36" s="64" t="s">
        <v>364</v>
      </c>
    </row>
    <row r="37" customFormat="false" ht="12.75" hidden="false" customHeight="true" outlineLevel="0" collapsed="false">
      <c r="B37" s="58" t="str">
        <f aca="false">IF(AH37="","tbc",AH37)</f>
        <v>tbc</v>
      </c>
      <c r="C37" s="58" t="str">
        <f aca="false">IF(AI37="","VNT",AI37)</f>
        <v>VNT</v>
      </c>
      <c r="D37" s="58" t="n">
        <f aca="false">MAX(X37,IF(AT37="none",X37,AT37))</f>
        <v>0</v>
      </c>
      <c r="E37" s="59" t="n">
        <f aca="false">IFERROR(DAYS360(X37,D37),0)</f>
        <v>0</v>
      </c>
      <c r="F37" s="59" t="n">
        <f aca="false">((LEN($AN37)-LEN(SUBSTITUTE($AN37,CHAR(10)&amp;". ","")))/3)+IF(LEFT(TRIM($AN37),2)=". ",1,0)</f>
        <v>0</v>
      </c>
      <c r="G37" s="59" t="n">
        <f aca="false">((LEN($AN37)-LEN(SUBSTITUTE($AN37,CHAR(10)&amp;"/ ","")))/3)+IF(LEFT(TRIM($AN37),2)="/ ",1,0)</f>
        <v>0</v>
      </c>
      <c r="H37" s="59" t="n">
        <f aca="false">((LEN($AN37)-LEN(SUBSTITUTE($AN37,CHAR(10)&amp;"~ ","")))/3)+IF(LEFT(TRIM($AN37),2)="~ ",1,0)</f>
        <v>0</v>
      </c>
      <c r="I37" s="59" t="n">
        <f aca="false">((LEN($AN37)-LEN(SUBSTITUTE($AN37,CHAR(10)&amp;"! ","")))/3)+IF(LEFT(TRIM($AN37),2)="! ",1,0)</f>
        <v>0</v>
      </c>
      <c r="J37" s="59" t="n">
        <f aca="false">((LEN($AN37)-LEN(SUBSTITUTE($AN37,CHAR(10)&amp;"x ","")))/3)+IF(LEFT(TRIM($AN37),2)="x ",1,0)</f>
        <v>0</v>
      </c>
      <c r="K37" s="59" t="n">
        <f aca="false">SUM(F37:J37)</f>
        <v>0</v>
      </c>
      <c r="L37" s="60" t="n">
        <f aca="false">YEAR(D37)</f>
        <v>1899</v>
      </c>
      <c r="M37" s="60" t="str">
        <f aca="false">VLOOKUP(MONTH(D37),Static!$AJ$3:$AK$16,2,0)</f>
        <v>Dec</v>
      </c>
      <c r="N37" s="60" t="n">
        <f aca="false">WEEKNUM(D37,1)</f>
        <v>52</v>
      </c>
      <c r="O37" s="60" t="str">
        <f aca="false">IFERROR(INDEX(Static!$I$5:$L$15,MATCH(AA37,Static!$I$5:$I$15,0),3),"Z")</f>
        <v>Z</v>
      </c>
      <c r="P37" s="60" t="str">
        <f aca="false">IFERROR(INDEX(Static!$I$5:$L$15,MATCH(AA37,Static!$I$5:$I$15,0),4),"Y")</f>
        <v>Y</v>
      </c>
      <c r="Q37" s="60" t="str">
        <f aca="false">IF(D37&gt;(($A$14-WEEKDAY($A$14,2))-7*$D$15),"Y","N")</f>
        <v>N</v>
      </c>
      <c r="R37" s="58" t="str">
        <f aca="false">IF(AB37&lt;&gt;"","Y","N")</f>
        <v>N</v>
      </c>
      <c r="S37" s="60" t="str">
        <f aca="false">IF(AND(Q37="Y",R37="N"),"Y","N")</f>
        <v>N</v>
      </c>
      <c r="T37" s="58" t="str">
        <f aca="false">IF(OR(Y37="Y",Y37="N"),Y37,IF(AND(P37="Y", OR(Q37="Y",S37="Y")),"Y","N"))</f>
        <v>N</v>
      </c>
      <c r="U37" s="60" t="str">
        <f aca="false">"Y"</f>
        <v>Y</v>
      </c>
      <c r="V37" s="61" t="str">
        <f aca="false">" -  "&amp;O37&amp;AJ37&amp;AK37&amp;AB37</f>
        <v> -  Z</v>
      </c>
      <c r="W37" s="60" t="str">
        <f aca="false">IFERROR(VLOOKUP(WEEKDAY(X37),Static!$AL$3:$AM$11,2,0),"")</f>
        <v>Sat</v>
      </c>
      <c r="X37" s="58" t="n">
        <f aca="false">IF(AD37&lt;&gt;"",AS37,0)</f>
        <v>0</v>
      </c>
      <c r="Y37" s="40"/>
      <c r="Z37" s="40"/>
      <c r="AA37" s="62"/>
      <c r="AB37" s="64"/>
      <c r="AC37" s="64"/>
      <c r="AD37" s="40"/>
      <c r="AE37" s="67"/>
      <c r="AF37" s="68"/>
      <c r="AG37" s="69" t="str">
        <f aca="false">IF(AB37="","",AE37*AF37/8)</f>
        <v/>
      </c>
      <c r="AH37" s="40"/>
      <c r="AI37" s="40"/>
      <c r="AJ37" s="40"/>
      <c r="AK37" s="63"/>
      <c r="AL37" s="64"/>
      <c r="AM37" s="64"/>
      <c r="AN37" s="65"/>
      <c r="AO37" s="60" t="n">
        <f aca="false">SUM(F37:I37)</f>
        <v>0</v>
      </c>
      <c r="AP37" s="66" t="n">
        <f aca="false">IF(AB37="",1,IF(K37&lt;&gt;0,(G37*0.5+J37)/K37,1))</f>
        <v>1</v>
      </c>
      <c r="AQ37" s="55" t="str">
        <f aca="false">IF(AM37="","",IF(ISERROR(FIND(CHAR(10),AM37,1)),AM37,LEFT(AM37,FIND(CHAR(10),AM37,1))))</f>
        <v/>
      </c>
      <c r="AR37" s="56" t="str">
        <f aca="false">IF(AM37="","",IFERROR(RIGHT(AM37,LEN(AM37)-FIND("@@@",SUBSTITUTE(AM37,CHAR(10),"@@@",LEN(AM37)-LEN(SUBSTITUTE(AM37,CHAR(10),""))),1)),AM37))</f>
        <v/>
      </c>
      <c r="AS37" s="57" t="str">
        <f aca="false">IFERROR(DATE(("20"&amp;MID(AQ37,7,2))*1,MID(AQ37,4,2)*1,MID(AQ37,1,2)*1),"")</f>
        <v/>
      </c>
      <c r="AT37" s="57" t="str">
        <f aca="false">IFERROR(DATE(("20"&amp;MID(AR37,7,2))*1,MID(AR37,4,2)*1,MID(AR37,1,2)*1),"")</f>
        <v/>
      </c>
      <c r="AU37" s="64" t="s">
        <v>364</v>
      </c>
    </row>
    <row r="38" customFormat="false" ht="12.75" hidden="false" customHeight="true" outlineLevel="0" collapsed="false">
      <c r="B38" s="58" t="str">
        <f aca="false">IF(AH38="","tbc",AH38)</f>
        <v>tbc</v>
      </c>
      <c r="C38" s="58" t="str">
        <f aca="false">IF(AI38="","VNT",AI38)</f>
        <v>VNT</v>
      </c>
      <c r="D38" s="58" t="n">
        <f aca="false">MAX(X38,IF(AT38="none",X38,AT38))</f>
        <v>0</v>
      </c>
      <c r="E38" s="59" t="n">
        <f aca="false">IFERROR(DAYS360(X38,D38),0)</f>
        <v>0</v>
      </c>
      <c r="F38" s="59" t="n">
        <f aca="false">((LEN($AN38)-LEN(SUBSTITUTE($AN38,CHAR(10)&amp;". ","")))/3)+IF(LEFT(TRIM($AN38),2)=". ",1,0)</f>
        <v>0</v>
      </c>
      <c r="G38" s="59" t="n">
        <f aca="false">((LEN($AN38)-LEN(SUBSTITUTE($AN38,CHAR(10)&amp;"/ ","")))/3)+IF(LEFT(TRIM($AN38),2)="/ ",1,0)</f>
        <v>0</v>
      </c>
      <c r="H38" s="59" t="n">
        <f aca="false">((LEN($AN38)-LEN(SUBSTITUTE($AN38,CHAR(10)&amp;"~ ","")))/3)+IF(LEFT(TRIM($AN38),2)="~ ",1,0)</f>
        <v>0</v>
      </c>
      <c r="I38" s="59" t="n">
        <f aca="false">((LEN($AN38)-LEN(SUBSTITUTE($AN38,CHAR(10)&amp;"! ","")))/3)+IF(LEFT(TRIM($AN38),2)="! ",1,0)</f>
        <v>0</v>
      </c>
      <c r="J38" s="59" t="n">
        <f aca="false">((LEN($AN38)-LEN(SUBSTITUTE($AN38,CHAR(10)&amp;"x ","")))/3)+IF(LEFT(TRIM($AN38),2)="x ",1,0)</f>
        <v>0</v>
      </c>
      <c r="K38" s="59" t="n">
        <f aca="false">SUM(F38:J38)</f>
        <v>0</v>
      </c>
      <c r="L38" s="60" t="n">
        <f aca="false">YEAR(D38)</f>
        <v>1899</v>
      </c>
      <c r="M38" s="60" t="str">
        <f aca="false">VLOOKUP(MONTH(D38),Static!$AJ$3:$AK$16,2,0)</f>
        <v>Dec</v>
      </c>
      <c r="N38" s="60" t="n">
        <f aca="false">WEEKNUM(D38,1)</f>
        <v>52</v>
      </c>
      <c r="O38" s="60" t="str">
        <f aca="false">IFERROR(INDEX(Static!$I$5:$L$15,MATCH(AA38,Static!$I$5:$I$15,0),3),"Z")</f>
        <v>Z</v>
      </c>
      <c r="P38" s="60" t="str">
        <f aca="false">IFERROR(INDEX(Static!$I$5:$L$15,MATCH(AA38,Static!$I$5:$I$15,0),4),"Y")</f>
        <v>Y</v>
      </c>
      <c r="Q38" s="60" t="str">
        <f aca="false">IF(D38&gt;(($A$14-WEEKDAY($A$14,2))-7*$D$15),"Y","N")</f>
        <v>N</v>
      </c>
      <c r="R38" s="58" t="str">
        <f aca="false">IF(AB38&lt;&gt;"","Y","N")</f>
        <v>N</v>
      </c>
      <c r="S38" s="60" t="str">
        <f aca="false">IF(AND(Q38="Y",R38="N"),"Y","N")</f>
        <v>N</v>
      </c>
      <c r="T38" s="58" t="str">
        <f aca="false">IF(OR(Y38="Y",Y38="N"),Y38,IF(AND(P38="Y", OR(Q38="Y",S38="Y")),"Y","N"))</f>
        <v>N</v>
      </c>
      <c r="U38" s="60" t="str">
        <f aca="false">"Y"</f>
        <v>Y</v>
      </c>
      <c r="V38" s="61" t="str">
        <f aca="false">" -  "&amp;O38&amp;AJ38&amp;AK38&amp;AB38</f>
        <v> -  Z</v>
      </c>
      <c r="W38" s="60" t="str">
        <f aca="false">IFERROR(VLOOKUP(WEEKDAY(X38),Static!$AL$3:$AM$11,2,0),"")</f>
        <v>Sat</v>
      </c>
      <c r="X38" s="58" t="n">
        <f aca="false">IF(AD38&lt;&gt;"",AS38,0)</f>
        <v>0</v>
      </c>
      <c r="Y38" s="40"/>
      <c r="Z38" s="40"/>
      <c r="AA38" s="62"/>
      <c r="AB38" s="64"/>
      <c r="AC38" s="64"/>
      <c r="AD38" s="40"/>
      <c r="AE38" s="67"/>
      <c r="AF38" s="68"/>
      <c r="AG38" s="69" t="str">
        <f aca="false">IF(AB38="","",AE38*AF38/8)</f>
        <v/>
      </c>
      <c r="AH38" s="40"/>
      <c r="AI38" s="40"/>
      <c r="AJ38" s="40"/>
      <c r="AK38" s="63"/>
      <c r="AL38" s="64"/>
      <c r="AM38" s="64"/>
      <c r="AN38" s="65"/>
      <c r="AO38" s="60" t="n">
        <f aca="false">SUM(F38:I38)</f>
        <v>0</v>
      </c>
      <c r="AP38" s="66" t="n">
        <f aca="false">IF(AB38="",1,IF(K38&lt;&gt;0,(G38*0.5+J38)/K38,1))</f>
        <v>1</v>
      </c>
      <c r="AQ38" s="55" t="str">
        <f aca="false">IF(AM38="","",IF(ISERROR(FIND(CHAR(10),AM38,1)),AM38,LEFT(AM38,FIND(CHAR(10),AM38,1))))</f>
        <v/>
      </c>
      <c r="AR38" s="56" t="str">
        <f aca="false">IF(AM38="","",IFERROR(RIGHT(AM38,LEN(AM38)-FIND("@@@",SUBSTITUTE(AM38,CHAR(10),"@@@",LEN(AM38)-LEN(SUBSTITUTE(AM38,CHAR(10),""))),1)),AM38))</f>
        <v/>
      </c>
      <c r="AS38" s="57" t="str">
        <f aca="false">IFERROR(DATE(("20"&amp;MID(AQ38,7,2))*1,MID(AQ38,4,2)*1,MID(AQ38,1,2)*1),"")</f>
        <v/>
      </c>
      <c r="AT38" s="57" t="str">
        <f aca="false">IFERROR(DATE(("20"&amp;MID(AR38,7,2))*1,MID(AR38,4,2)*1,MID(AR38,1,2)*1),"")</f>
        <v/>
      </c>
      <c r="AU38" s="64" t="s">
        <v>364</v>
      </c>
    </row>
    <row r="39" customFormat="false" ht="12.75" hidden="false" customHeight="true" outlineLevel="0" collapsed="false">
      <c r="B39" s="58" t="str">
        <f aca="false">IF(AH39="","tbc",AH39)</f>
        <v>tbc</v>
      </c>
      <c r="C39" s="58" t="str">
        <f aca="false">IF(AI39="","VNT",AI39)</f>
        <v>VNT</v>
      </c>
      <c r="D39" s="58" t="n">
        <f aca="false">MAX(X39,IF(AT39="none",X39,AT39))</f>
        <v>0</v>
      </c>
      <c r="E39" s="59" t="n">
        <f aca="false">IFERROR(DAYS360(X39,D39),0)</f>
        <v>0</v>
      </c>
      <c r="F39" s="59" t="n">
        <f aca="false">((LEN($AN39)-LEN(SUBSTITUTE($AN39,CHAR(10)&amp;". ","")))/3)+IF(LEFT(TRIM($AN39),2)=". ",1,0)</f>
        <v>0</v>
      </c>
      <c r="G39" s="59" t="n">
        <f aca="false">((LEN($AN39)-LEN(SUBSTITUTE($AN39,CHAR(10)&amp;"/ ","")))/3)+IF(LEFT(TRIM($AN39),2)="/ ",1,0)</f>
        <v>0</v>
      </c>
      <c r="H39" s="59" t="n">
        <f aca="false">((LEN($AN39)-LEN(SUBSTITUTE($AN39,CHAR(10)&amp;"~ ","")))/3)+IF(LEFT(TRIM($AN39),2)="~ ",1,0)</f>
        <v>0</v>
      </c>
      <c r="I39" s="59" t="n">
        <f aca="false">((LEN($AN39)-LEN(SUBSTITUTE($AN39,CHAR(10)&amp;"! ","")))/3)+IF(LEFT(TRIM($AN39),2)="! ",1,0)</f>
        <v>0</v>
      </c>
      <c r="J39" s="59" t="n">
        <f aca="false">((LEN($AN39)-LEN(SUBSTITUTE($AN39,CHAR(10)&amp;"x ","")))/3)+IF(LEFT(TRIM($AN39),2)="x ",1,0)</f>
        <v>0</v>
      </c>
      <c r="K39" s="59" t="n">
        <f aca="false">SUM(F39:J39)</f>
        <v>0</v>
      </c>
      <c r="L39" s="60" t="n">
        <f aca="false">YEAR(D39)</f>
        <v>1899</v>
      </c>
      <c r="M39" s="60" t="str">
        <f aca="false">VLOOKUP(MONTH(D39),Static!$AJ$3:$AK$16,2,0)</f>
        <v>Dec</v>
      </c>
      <c r="N39" s="60" t="n">
        <f aca="false">WEEKNUM(D39,1)</f>
        <v>52</v>
      </c>
      <c r="O39" s="60" t="str">
        <f aca="false">IFERROR(INDEX(Static!$I$5:$L$15,MATCH(AA39,Static!$I$5:$I$15,0),3),"Z")</f>
        <v>Z</v>
      </c>
      <c r="P39" s="60" t="str">
        <f aca="false">IFERROR(INDEX(Static!$I$5:$L$15,MATCH(AA39,Static!$I$5:$I$15,0),4),"Y")</f>
        <v>Y</v>
      </c>
      <c r="Q39" s="60" t="str">
        <f aca="false">IF(D39&gt;(($A$14-WEEKDAY($A$14,2))-7*$D$15),"Y","N")</f>
        <v>N</v>
      </c>
      <c r="R39" s="58" t="str">
        <f aca="false">IF(AB39&lt;&gt;"","Y","N")</f>
        <v>N</v>
      </c>
      <c r="S39" s="60" t="str">
        <f aca="false">IF(AND(Q39="Y",R39="N"),"Y","N")</f>
        <v>N</v>
      </c>
      <c r="T39" s="58" t="str">
        <f aca="false">IF(OR(Y39="Y",Y39="N"),Y39,IF(AND(P39="Y", OR(Q39="Y",S39="Y")),"Y","N"))</f>
        <v>N</v>
      </c>
      <c r="U39" s="60" t="str">
        <f aca="false">"Y"</f>
        <v>Y</v>
      </c>
      <c r="V39" s="61" t="str">
        <f aca="false">" -  "&amp;O39&amp;AJ39&amp;AK39&amp;AB39</f>
        <v> -  Z</v>
      </c>
      <c r="W39" s="60" t="str">
        <f aca="false">IFERROR(VLOOKUP(WEEKDAY(X39),Static!$AL$3:$AM$11,2,0),"")</f>
        <v>Sat</v>
      </c>
      <c r="X39" s="58" t="n">
        <f aca="false">IF(AD39&lt;&gt;"",AS39,0)</f>
        <v>0</v>
      </c>
      <c r="Y39" s="40"/>
      <c r="Z39" s="40"/>
      <c r="AA39" s="62"/>
      <c r="AB39" s="64"/>
      <c r="AC39" s="64"/>
      <c r="AD39" s="40"/>
      <c r="AE39" s="67"/>
      <c r="AF39" s="68"/>
      <c r="AG39" s="69" t="str">
        <f aca="false">IF(AB39="","",AE39*AF39/8)</f>
        <v/>
      </c>
      <c r="AH39" s="40"/>
      <c r="AI39" s="40"/>
      <c r="AJ39" s="40"/>
      <c r="AK39" s="63"/>
      <c r="AL39" s="64"/>
      <c r="AM39" s="64"/>
      <c r="AN39" s="64"/>
      <c r="AO39" s="60" t="n">
        <f aca="false">SUM(F39:I39)</f>
        <v>0</v>
      </c>
      <c r="AP39" s="66" t="n">
        <f aca="false">IF(AB39="",1,IF(K39&lt;&gt;0,(G39*0.5+J39)/K39,1))</f>
        <v>1</v>
      </c>
      <c r="AQ39" s="55" t="str">
        <f aca="false">IF(AM39="","",IF(ISERROR(FIND(CHAR(10),AM39,1)),AM39,LEFT(AM39,FIND(CHAR(10),AM39,1))))</f>
        <v/>
      </c>
      <c r="AR39" s="56" t="str">
        <f aca="false">IF(AM39="","",IFERROR(RIGHT(AM39,LEN(AM39)-FIND("@@@",SUBSTITUTE(AM39,CHAR(10),"@@@",LEN(AM39)-LEN(SUBSTITUTE(AM39,CHAR(10),""))),1)),AM39))</f>
        <v/>
      </c>
      <c r="AS39" s="57" t="str">
        <f aca="false">IFERROR(DATE(("20"&amp;MID(AQ39,7,2))*1,MID(AQ39,4,2)*1,MID(AQ39,1,2)*1),"")</f>
        <v/>
      </c>
      <c r="AT39" s="57" t="str">
        <f aca="false">IFERROR(DATE(("20"&amp;MID(AR39,7,2))*1,MID(AR39,4,2)*1,MID(AR39,1,2)*1),"")</f>
        <v/>
      </c>
      <c r="AU39" s="64" t="s">
        <v>364</v>
      </c>
    </row>
    <row r="40" customFormat="false" ht="12.75" hidden="false" customHeight="true" outlineLevel="0" collapsed="false">
      <c r="B40" s="58" t="str">
        <f aca="false">IF(AH40="","tbc",AH40)</f>
        <v>tbc</v>
      </c>
      <c r="C40" s="58" t="str">
        <f aca="false">IF(AI40="","VNT",AI40)</f>
        <v>VNT</v>
      </c>
      <c r="D40" s="58" t="n">
        <f aca="false">MAX(X40,IF(AT40="none",X40,AT40))</f>
        <v>0</v>
      </c>
      <c r="E40" s="59" t="n">
        <f aca="false">IFERROR(DAYS360(X40,D40),0)</f>
        <v>0</v>
      </c>
      <c r="F40" s="59" t="n">
        <f aca="false">((LEN($AN40)-LEN(SUBSTITUTE($AN40,CHAR(10)&amp;". ","")))/3)+IF(LEFT(TRIM($AN40),2)=". ",1,0)</f>
        <v>0</v>
      </c>
      <c r="G40" s="59" t="n">
        <f aca="false">((LEN($AN40)-LEN(SUBSTITUTE($AN40,CHAR(10)&amp;"/ ","")))/3)+IF(LEFT(TRIM($AN40),2)="/ ",1,0)</f>
        <v>0</v>
      </c>
      <c r="H40" s="59" t="n">
        <f aca="false">((LEN($AN40)-LEN(SUBSTITUTE($AN40,CHAR(10)&amp;"~ ","")))/3)+IF(LEFT(TRIM($AN40),2)="~ ",1,0)</f>
        <v>0</v>
      </c>
      <c r="I40" s="59" t="n">
        <f aca="false">((LEN($AN40)-LEN(SUBSTITUTE($AN40,CHAR(10)&amp;"! ","")))/3)+IF(LEFT(TRIM($AN40),2)="! ",1,0)</f>
        <v>0</v>
      </c>
      <c r="J40" s="59" t="n">
        <f aca="false">((LEN($AN40)-LEN(SUBSTITUTE($AN40,CHAR(10)&amp;"x ","")))/3)+IF(LEFT(TRIM($AN40),2)="x ",1,0)</f>
        <v>0</v>
      </c>
      <c r="K40" s="59" t="n">
        <f aca="false">SUM(F40:J40)</f>
        <v>0</v>
      </c>
      <c r="L40" s="60" t="n">
        <f aca="false">YEAR(D40)</f>
        <v>1899</v>
      </c>
      <c r="M40" s="60" t="str">
        <f aca="false">VLOOKUP(MONTH(D40),Static!$AJ$3:$AK$16,2,0)</f>
        <v>Dec</v>
      </c>
      <c r="N40" s="60" t="n">
        <f aca="false">WEEKNUM(D40,1)</f>
        <v>52</v>
      </c>
      <c r="O40" s="60" t="str">
        <f aca="false">IFERROR(INDEX(Static!$I$5:$L$15,MATCH(AA40,Static!$I$5:$I$15,0),3),"Z")</f>
        <v>Z</v>
      </c>
      <c r="P40" s="60" t="str">
        <f aca="false">IFERROR(INDEX(Static!$I$5:$L$15,MATCH(AA40,Static!$I$5:$I$15,0),4),"Y")</f>
        <v>Y</v>
      </c>
      <c r="Q40" s="60" t="str">
        <f aca="false">IF(D40&gt;(($A$14-WEEKDAY($A$14,2))-7*$D$15),"Y","N")</f>
        <v>N</v>
      </c>
      <c r="R40" s="58" t="str">
        <f aca="false">IF(AB40&lt;&gt;"","Y","N")</f>
        <v>N</v>
      </c>
      <c r="S40" s="60" t="str">
        <f aca="false">IF(AND(Q40="Y",R40="N"),"Y","N")</f>
        <v>N</v>
      </c>
      <c r="T40" s="58" t="str">
        <f aca="false">IF(OR(Y40="Y",Y40="N"),Y40,IF(AND(P40="Y", OR(Q40="Y",S40="Y")),"Y","N"))</f>
        <v>N</v>
      </c>
      <c r="U40" s="60" t="str">
        <f aca="false">"Y"</f>
        <v>Y</v>
      </c>
      <c r="V40" s="61" t="str">
        <f aca="false">" -  "&amp;O40&amp;AJ40&amp;AK40&amp;AB40</f>
        <v> -  Z</v>
      </c>
      <c r="W40" s="60" t="str">
        <f aca="false">IFERROR(VLOOKUP(WEEKDAY(X40),Static!$AL$3:$AM$11,2,0),"")</f>
        <v>Sat</v>
      </c>
      <c r="X40" s="58" t="n">
        <f aca="false">IF(AD40&lt;&gt;"",AS40,0)</f>
        <v>0</v>
      </c>
      <c r="Y40" s="40"/>
      <c r="Z40" s="40"/>
      <c r="AA40" s="62"/>
      <c r="AB40" s="64"/>
      <c r="AC40" s="64"/>
      <c r="AD40" s="40"/>
      <c r="AE40" s="67"/>
      <c r="AF40" s="68"/>
      <c r="AG40" s="69" t="str">
        <f aca="false">IF(AB40="","",AE40*AF40/8)</f>
        <v/>
      </c>
      <c r="AH40" s="40"/>
      <c r="AI40" s="40"/>
      <c r="AJ40" s="40"/>
      <c r="AK40" s="63"/>
      <c r="AL40" s="64"/>
      <c r="AM40" s="64"/>
      <c r="AN40" s="65"/>
      <c r="AO40" s="60" t="n">
        <f aca="false">SUM(F40:I40)</f>
        <v>0</v>
      </c>
      <c r="AP40" s="66" t="n">
        <f aca="false">IF(AB40="",1,IF(K40&lt;&gt;0,(G40*0.5+J40)/K40,1))</f>
        <v>1</v>
      </c>
      <c r="AQ40" s="55" t="str">
        <f aca="false">IF(AM40="","",IF(ISERROR(FIND(CHAR(10),AM40,1)),AM40,LEFT(AM40,FIND(CHAR(10),AM40,1))))</f>
        <v/>
      </c>
      <c r="AR40" s="56" t="str">
        <f aca="false">IF(AM40="","",IFERROR(RIGHT(AM40,LEN(AM40)-FIND("@@@",SUBSTITUTE(AM40,CHAR(10),"@@@",LEN(AM40)-LEN(SUBSTITUTE(AM40,CHAR(10),""))),1)),AM40))</f>
        <v/>
      </c>
      <c r="AS40" s="57" t="str">
        <f aca="false">IFERROR(DATE(("20"&amp;MID(AQ40,7,2))*1,MID(AQ40,4,2)*1,MID(AQ40,1,2)*1),"")</f>
        <v/>
      </c>
      <c r="AT40" s="57" t="str">
        <f aca="false">IFERROR(DATE(("20"&amp;MID(AR40,7,2))*1,MID(AR40,4,2)*1,MID(AR40,1,2)*1),"")</f>
        <v/>
      </c>
      <c r="AU40" s="64" t="s">
        <v>364</v>
      </c>
    </row>
    <row r="41" customFormat="false" ht="12.75" hidden="false" customHeight="true" outlineLevel="0" collapsed="false">
      <c r="B41" s="58" t="str">
        <f aca="false">IF(AH41="","tbc",AH41)</f>
        <v>tbc</v>
      </c>
      <c r="C41" s="58" t="str">
        <f aca="false">IF(AI41="","VNT",AI41)</f>
        <v>VNT</v>
      </c>
      <c r="D41" s="58" t="n">
        <f aca="false">MAX(X41,IF(AT41="none",X41,AT41))</f>
        <v>0</v>
      </c>
      <c r="E41" s="59" t="n">
        <f aca="false">IFERROR(DAYS360(X41,D41),0)</f>
        <v>0</v>
      </c>
      <c r="F41" s="59" t="n">
        <f aca="false">((LEN($AN41)-LEN(SUBSTITUTE($AN41,CHAR(10)&amp;". ","")))/3)+IF(LEFT(TRIM($AN41),2)=". ",1,0)</f>
        <v>0</v>
      </c>
      <c r="G41" s="59" t="n">
        <f aca="false">((LEN($AN41)-LEN(SUBSTITUTE($AN41,CHAR(10)&amp;"/ ","")))/3)+IF(LEFT(TRIM($AN41),2)="/ ",1,0)</f>
        <v>0</v>
      </c>
      <c r="H41" s="59" t="n">
        <f aca="false">((LEN($AN41)-LEN(SUBSTITUTE($AN41,CHAR(10)&amp;"~ ","")))/3)+IF(LEFT(TRIM($AN41),2)="~ ",1,0)</f>
        <v>0</v>
      </c>
      <c r="I41" s="59" t="n">
        <f aca="false">((LEN($AN41)-LEN(SUBSTITUTE($AN41,CHAR(10)&amp;"! ","")))/3)+IF(LEFT(TRIM($AN41),2)="! ",1,0)</f>
        <v>0</v>
      </c>
      <c r="J41" s="59" t="n">
        <f aca="false">((LEN($AN41)-LEN(SUBSTITUTE($AN41,CHAR(10)&amp;"x ","")))/3)+IF(LEFT(TRIM($AN41),2)="x ",1,0)</f>
        <v>0</v>
      </c>
      <c r="K41" s="59" t="n">
        <f aca="false">SUM(F41:J41)</f>
        <v>0</v>
      </c>
      <c r="L41" s="60" t="n">
        <f aca="false">YEAR(D41)</f>
        <v>1899</v>
      </c>
      <c r="M41" s="60" t="str">
        <f aca="false">VLOOKUP(MONTH(D41),Static!$AJ$3:$AK$16,2,0)</f>
        <v>Dec</v>
      </c>
      <c r="N41" s="60" t="n">
        <f aca="false">WEEKNUM(D41,1)</f>
        <v>52</v>
      </c>
      <c r="O41" s="60" t="str">
        <f aca="false">IFERROR(INDEX(Static!$I$5:$L$15,MATCH(AA41,Static!$I$5:$I$15,0),3),"Z")</f>
        <v>Z</v>
      </c>
      <c r="P41" s="60" t="str">
        <f aca="false">IFERROR(INDEX(Static!$I$5:$L$15,MATCH(AA41,Static!$I$5:$I$15,0),4),"Y")</f>
        <v>Y</v>
      </c>
      <c r="Q41" s="60" t="str">
        <f aca="false">IF(D41&gt;(($A$14-WEEKDAY($A$14,2))-7*$D$15),"Y","N")</f>
        <v>N</v>
      </c>
      <c r="R41" s="58" t="str">
        <f aca="false">IF(AB41&lt;&gt;"","Y","N")</f>
        <v>N</v>
      </c>
      <c r="S41" s="60" t="str">
        <f aca="false">IF(AND(Q41="Y",R41="N"),"Y","N")</f>
        <v>N</v>
      </c>
      <c r="T41" s="58" t="str">
        <f aca="false">IF(OR(Y41="Y",Y41="N"),Y41,IF(AND(P41="Y", OR(Q41="Y",S41="Y")),"Y","N"))</f>
        <v>N</v>
      </c>
      <c r="U41" s="60" t="str">
        <f aca="false">"Y"</f>
        <v>Y</v>
      </c>
      <c r="V41" s="61" t="str">
        <f aca="false">" -  "&amp;O41&amp;AJ41&amp;AK41&amp;AB41</f>
        <v> -  Z</v>
      </c>
      <c r="W41" s="60" t="str">
        <f aca="false">IFERROR(VLOOKUP(WEEKDAY(X41),Static!$AL$3:$AM$11,2,0),"")</f>
        <v>Sat</v>
      </c>
      <c r="X41" s="58" t="n">
        <f aca="false">IF(AD41&lt;&gt;"",AS41,0)</f>
        <v>0</v>
      </c>
      <c r="Y41" s="40"/>
      <c r="Z41" s="40"/>
      <c r="AA41" s="62"/>
      <c r="AB41" s="64"/>
      <c r="AC41" s="64"/>
      <c r="AD41" s="40"/>
      <c r="AE41" s="67"/>
      <c r="AF41" s="68"/>
      <c r="AG41" s="69" t="str">
        <f aca="false">IF(AB41="","",AE41*AF41/8)</f>
        <v/>
      </c>
      <c r="AH41" s="40"/>
      <c r="AI41" s="40"/>
      <c r="AJ41" s="40"/>
      <c r="AK41" s="63"/>
      <c r="AL41" s="64"/>
      <c r="AM41" s="64"/>
      <c r="AN41" s="65"/>
      <c r="AO41" s="60" t="n">
        <f aca="false">SUM(F41:I41)</f>
        <v>0</v>
      </c>
      <c r="AP41" s="66" t="n">
        <f aca="false">IF(AB41="",1,IF(K41&lt;&gt;0,(G41*0.5+J41)/K41,1))</f>
        <v>1</v>
      </c>
      <c r="AQ41" s="55" t="str">
        <f aca="false">IF(AM41="","",IF(ISERROR(FIND(CHAR(10),AM41,1)),AM41,LEFT(AM41,FIND(CHAR(10),AM41,1))))</f>
        <v/>
      </c>
      <c r="AR41" s="56" t="str">
        <f aca="false">IF(AM41="","",IFERROR(RIGHT(AM41,LEN(AM41)-FIND("@@@",SUBSTITUTE(AM41,CHAR(10),"@@@",LEN(AM41)-LEN(SUBSTITUTE(AM41,CHAR(10),""))),1)),AM41))</f>
        <v/>
      </c>
      <c r="AS41" s="57" t="str">
        <f aca="false">IFERROR(DATE(("20"&amp;MID(AQ41,7,2))*1,MID(AQ41,4,2)*1,MID(AQ41,1,2)*1),"")</f>
        <v/>
      </c>
      <c r="AT41" s="57" t="str">
        <f aca="false">IFERROR(DATE(("20"&amp;MID(AR41,7,2))*1,MID(AR41,4,2)*1,MID(AR41,1,2)*1),"")</f>
        <v/>
      </c>
      <c r="AU41" s="64" t="s">
        <v>364</v>
      </c>
    </row>
    <row r="42" customFormat="false" ht="12.75" hidden="false" customHeight="true" outlineLevel="0" collapsed="false">
      <c r="B42" s="58" t="str">
        <f aca="false">IF(AH42="","tbc",AH42)</f>
        <v>tbc</v>
      </c>
      <c r="C42" s="58" t="str">
        <f aca="false">IF(AI42="","VNT",AI42)</f>
        <v>VNT</v>
      </c>
      <c r="D42" s="58" t="n">
        <f aca="false">MAX(X42,IF(AT42="none",X42,AT42))</f>
        <v>0</v>
      </c>
      <c r="E42" s="59" t="n">
        <f aca="false">IFERROR(DAYS360(X42,D42),0)</f>
        <v>0</v>
      </c>
      <c r="F42" s="59" t="n">
        <f aca="false">((LEN($AN42)-LEN(SUBSTITUTE($AN42,CHAR(10)&amp;". ","")))/3)+IF(LEFT(TRIM($AN42),2)=". ",1,0)</f>
        <v>0</v>
      </c>
      <c r="G42" s="59" t="n">
        <f aca="false">((LEN($AN42)-LEN(SUBSTITUTE($AN42,CHAR(10)&amp;"/ ","")))/3)+IF(LEFT(TRIM($AN42),2)="/ ",1,0)</f>
        <v>0</v>
      </c>
      <c r="H42" s="59" t="n">
        <f aca="false">((LEN($AN42)-LEN(SUBSTITUTE($AN42,CHAR(10)&amp;"~ ","")))/3)+IF(LEFT(TRIM($AN42),2)="~ ",1,0)</f>
        <v>0</v>
      </c>
      <c r="I42" s="59" t="n">
        <f aca="false">((LEN($AN42)-LEN(SUBSTITUTE($AN42,CHAR(10)&amp;"! ","")))/3)+IF(LEFT(TRIM($AN42),2)="! ",1,0)</f>
        <v>0</v>
      </c>
      <c r="J42" s="59" t="n">
        <f aca="false">((LEN($AN42)-LEN(SUBSTITUTE($AN42,CHAR(10)&amp;"x ","")))/3)+IF(LEFT(TRIM($AN42),2)="x ",1,0)</f>
        <v>0</v>
      </c>
      <c r="K42" s="59" t="n">
        <f aca="false">SUM(F42:J42)</f>
        <v>0</v>
      </c>
      <c r="L42" s="60" t="n">
        <f aca="false">YEAR(D42)</f>
        <v>1899</v>
      </c>
      <c r="M42" s="60" t="str">
        <f aca="false">VLOOKUP(MONTH(D42),Static!$AJ$3:$AK$16,2,0)</f>
        <v>Dec</v>
      </c>
      <c r="N42" s="60" t="n">
        <f aca="false">WEEKNUM(D42,1)</f>
        <v>52</v>
      </c>
      <c r="O42" s="60" t="str">
        <f aca="false">IFERROR(INDEX(Static!$I$5:$L$15,MATCH(AA42,Static!$I$5:$I$15,0),3),"Z")</f>
        <v>Z</v>
      </c>
      <c r="P42" s="60" t="str">
        <f aca="false">IFERROR(INDEX(Static!$I$5:$L$15,MATCH(AA42,Static!$I$5:$I$15,0),4),"Y")</f>
        <v>Y</v>
      </c>
      <c r="Q42" s="60" t="str">
        <f aca="false">IF(D42&gt;(($A$14-WEEKDAY($A$14,2))-7*$D$15),"Y","N")</f>
        <v>N</v>
      </c>
      <c r="R42" s="58" t="str">
        <f aca="false">IF(AB42&lt;&gt;"","Y","N")</f>
        <v>N</v>
      </c>
      <c r="S42" s="60" t="str">
        <f aca="false">IF(AND(Q42="Y",R42="N"),"Y","N")</f>
        <v>N</v>
      </c>
      <c r="T42" s="58" t="str">
        <f aca="false">IF(OR(Y42="Y",Y42="N"),Y42,IF(AND(P42="Y", OR(Q42="Y",S42="Y")),"Y","N"))</f>
        <v>N</v>
      </c>
      <c r="U42" s="60" t="str">
        <f aca="false">"Y"</f>
        <v>Y</v>
      </c>
      <c r="V42" s="61" t="str">
        <f aca="false">" -  "&amp;O42&amp;AJ42&amp;AK42&amp;AB42</f>
        <v> -  Z</v>
      </c>
      <c r="W42" s="60" t="str">
        <f aca="false">IFERROR(VLOOKUP(WEEKDAY(X42),Static!$AL$3:$AM$11,2,0),"")</f>
        <v>Sat</v>
      </c>
      <c r="X42" s="58" t="n">
        <f aca="false">IF(AD42&lt;&gt;"",AS42,0)</f>
        <v>0</v>
      </c>
      <c r="Y42" s="40"/>
      <c r="Z42" s="40"/>
      <c r="AA42" s="62"/>
      <c r="AB42" s="64"/>
      <c r="AC42" s="64"/>
      <c r="AD42" s="40"/>
      <c r="AE42" s="67"/>
      <c r="AF42" s="68"/>
      <c r="AG42" s="69" t="str">
        <f aca="false">IF(AB42="","",AE42*AF42/8)</f>
        <v/>
      </c>
      <c r="AH42" s="40"/>
      <c r="AI42" s="40"/>
      <c r="AJ42" s="40"/>
      <c r="AK42" s="63"/>
      <c r="AL42" s="64"/>
      <c r="AM42" s="64"/>
      <c r="AN42" s="64"/>
      <c r="AO42" s="60" t="n">
        <f aca="false">SUM(F42:I42)</f>
        <v>0</v>
      </c>
      <c r="AP42" s="66" t="n">
        <f aca="false">IF(AB42="",1,IF(K42&lt;&gt;0,(G42*0.5+J42)/K42,1))</f>
        <v>1</v>
      </c>
      <c r="AQ42" s="55" t="str">
        <f aca="false">IF(AM42="","",IF(ISERROR(FIND(CHAR(10),AM42,1)),AM42,LEFT(AM42,FIND(CHAR(10),AM42,1))))</f>
        <v/>
      </c>
      <c r="AR42" s="56" t="str">
        <f aca="false">IF(AM42="","",IFERROR(RIGHT(AM42,LEN(AM42)-FIND("@@@",SUBSTITUTE(AM42,CHAR(10),"@@@",LEN(AM42)-LEN(SUBSTITUTE(AM42,CHAR(10),""))),1)),AM42))</f>
        <v/>
      </c>
      <c r="AS42" s="57" t="str">
        <f aca="false">IFERROR(DATE(("20"&amp;MID(AQ42,7,2))*1,MID(AQ42,4,2)*1,MID(AQ42,1,2)*1),"")</f>
        <v/>
      </c>
      <c r="AT42" s="57" t="str">
        <f aca="false">IFERROR(DATE(("20"&amp;MID(AR42,7,2))*1,MID(AR42,4,2)*1,MID(AR42,1,2)*1),"")</f>
        <v/>
      </c>
      <c r="AU42" s="64" t="s">
        <v>364</v>
      </c>
    </row>
    <row r="43" customFormat="false" ht="12.75" hidden="false" customHeight="true" outlineLevel="0" collapsed="false">
      <c r="B43" s="58" t="str">
        <f aca="false">IF(AH43="","tbc",AH43)</f>
        <v>tbc</v>
      </c>
      <c r="C43" s="58" t="str">
        <f aca="false">IF(AI43="","VNT",AI43)</f>
        <v>VNT</v>
      </c>
      <c r="D43" s="58" t="n">
        <f aca="false">MAX(X43,IF(AT43="none",X43,AT43))</f>
        <v>0</v>
      </c>
      <c r="E43" s="59" t="n">
        <f aca="false">IFERROR(DAYS360(X43,D43),0)</f>
        <v>0</v>
      </c>
      <c r="F43" s="59" t="n">
        <f aca="false">((LEN($AN43)-LEN(SUBSTITUTE($AN43,CHAR(10)&amp;". ","")))/3)+IF(LEFT(TRIM($AN43),2)=". ",1,0)</f>
        <v>0</v>
      </c>
      <c r="G43" s="59" t="n">
        <f aca="false">((LEN($AN43)-LEN(SUBSTITUTE($AN43,CHAR(10)&amp;"/ ","")))/3)+IF(LEFT(TRIM($AN43),2)="/ ",1,0)</f>
        <v>0</v>
      </c>
      <c r="H43" s="59" t="n">
        <f aca="false">((LEN($AN43)-LEN(SUBSTITUTE($AN43,CHAR(10)&amp;"~ ","")))/3)+IF(LEFT(TRIM($AN43),2)="~ ",1,0)</f>
        <v>0</v>
      </c>
      <c r="I43" s="59" t="n">
        <f aca="false">((LEN($AN43)-LEN(SUBSTITUTE($AN43,CHAR(10)&amp;"! ","")))/3)+IF(LEFT(TRIM($AN43),2)="! ",1,0)</f>
        <v>0</v>
      </c>
      <c r="J43" s="59" t="n">
        <f aca="false">((LEN($AN43)-LEN(SUBSTITUTE($AN43,CHAR(10)&amp;"x ","")))/3)+IF(LEFT(TRIM($AN43),2)="x ",1,0)</f>
        <v>0</v>
      </c>
      <c r="K43" s="59" t="n">
        <f aca="false">SUM(F43:J43)</f>
        <v>0</v>
      </c>
      <c r="L43" s="60" t="n">
        <f aca="false">YEAR(D43)</f>
        <v>1899</v>
      </c>
      <c r="M43" s="60" t="str">
        <f aca="false">VLOOKUP(MONTH(D43),Static!$AJ$3:$AK$16,2,0)</f>
        <v>Dec</v>
      </c>
      <c r="N43" s="60" t="n">
        <f aca="false">WEEKNUM(D43,1)</f>
        <v>52</v>
      </c>
      <c r="O43" s="60" t="str">
        <f aca="false">IFERROR(INDEX(Static!$I$5:$L$15,MATCH(AA43,Static!$I$5:$I$15,0),3),"Z")</f>
        <v>Z</v>
      </c>
      <c r="P43" s="60" t="str">
        <f aca="false">IFERROR(INDEX(Static!$I$5:$L$15,MATCH(AA43,Static!$I$5:$I$15,0),4),"Y")</f>
        <v>Y</v>
      </c>
      <c r="Q43" s="60" t="str">
        <f aca="false">IF(D43&gt;(($A$14-WEEKDAY($A$14,2))-7*$D$15),"Y","N")</f>
        <v>N</v>
      </c>
      <c r="R43" s="58" t="str">
        <f aca="false">IF(AB43&lt;&gt;"","Y","N")</f>
        <v>N</v>
      </c>
      <c r="S43" s="60" t="str">
        <f aca="false">IF(AND(Q43="Y",R43="N"),"Y","N")</f>
        <v>N</v>
      </c>
      <c r="T43" s="58" t="str">
        <f aca="false">IF(OR(Y43="Y",Y43="N"),Y43,IF(AND(P43="Y", OR(Q43="Y",S43="Y")),"Y","N"))</f>
        <v>N</v>
      </c>
      <c r="U43" s="60" t="str">
        <f aca="false">"Y"</f>
        <v>Y</v>
      </c>
      <c r="V43" s="61" t="str">
        <f aca="false">" -  "&amp;O43&amp;AJ43&amp;AK43&amp;AB43</f>
        <v> -  Z</v>
      </c>
      <c r="W43" s="60" t="str">
        <f aca="false">IFERROR(VLOOKUP(WEEKDAY(X43),Static!$AL$3:$AM$11,2,0),"")</f>
        <v>Sat</v>
      </c>
      <c r="X43" s="58" t="n">
        <f aca="false">IF(AD43&lt;&gt;"",AS43,0)</f>
        <v>0</v>
      </c>
      <c r="Y43" s="40"/>
      <c r="Z43" s="40"/>
      <c r="AA43" s="62"/>
      <c r="AB43" s="64"/>
      <c r="AC43" s="64"/>
      <c r="AD43" s="40"/>
      <c r="AE43" s="67"/>
      <c r="AF43" s="68"/>
      <c r="AG43" s="69" t="str">
        <f aca="false">IF(AB43="","",AE43*AF43/8)</f>
        <v/>
      </c>
      <c r="AH43" s="40"/>
      <c r="AI43" s="40"/>
      <c r="AJ43" s="40"/>
      <c r="AK43" s="63"/>
      <c r="AL43" s="64"/>
      <c r="AM43" s="64"/>
      <c r="AN43" s="65"/>
      <c r="AO43" s="60" t="n">
        <f aca="false">SUM(F43:I43)</f>
        <v>0</v>
      </c>
      <c r="AP43" s="66" t="n">
        <f aca="false">IF(AB43="",1,IF(K43&lt;&gt;0,(G43*0.5+J43)/K43,1))</f>
        <v>1</v>
      </c>
      <c r="AQ43" s="55" t="str">
        <f aca="false">IF(AM43="","",IF(ISERROR(FIND(CHAR(10),AM43,1)),AM43,LEFT(AM43,FIND(CHAR(10),AM43,1))))</f>
        <v/>
      </c>
      <c r="AR43" s="56" t="str">
        <f aca="false">IF(AM43="","",IFERROR(RIGHT(AM43,LEN(AM43)-FIND("@@@",SUBSTITUTE(AM43,CHAR(10),"@@@",LEN(AM43)-LEN(SUBSTITUTE(AM43,CHAR(10),""))),1)),AM43))</f>
        <v/>
      </c>
      <c r="AS43" s="57" t="str">
        <f aca="false">IFERROR(DATE(("20"&amp;MID(AQ43,7,2))*1,MID(AQ43,4,2)*1,MID(AQ43,1,2)*1),"")</f>
        <v/>
      </c>
      <c r="AT43" s="57" t="str">
        <f aca="false">IFERROR(DATE(("20"&amp;MID(AR43,7,2))*1,MID(AR43,4,2)*1,MID(AR43,1,2)*1),"")</f>
        <v/>
      </c>
      <c r="AU43" s="64" t="s">
        <v>364</v>
      </c>
    </row>
    <row r="44" customFormat="false" ht="12.75" hidden="false" customHeight="true" outlineLevel="0" collapsed="false">
      <c r="B44" s="58" t="str">
        <f aca="false">IF(AH44="","tbc",AH44)</f>
        <v>tbc</v>
      </c>
      <c r="C44" s="58" t="str">
        <f aca="false">IF(AI44="","VNT",AI44)</f>
        <v>VNT</v>
      </c>
      <c r="D44" s="58" t="n">
        <f aca="false">MAX(X44,IF(AT44="none",X44,AT44))</f>
        <v>0</v>
      </c>
      <c r="E44" s="59" t="n">
        <f aca="false">IFERROR(DAYS360(X44,D44),0)</f>
        <v>0</v>
      </c>
      <c r="F44" s="59" t="n">
        <f aca="false">((LEN($AN44)-LEN(SUBSTITUTE($AN44,CHAR(10)&amp;". ","")))/3)+IF(LEFT(TRIM($AN44),2)=". ",1,0)</f>
        <v>0</v>
      </c>
      <c r="G44" s="59" t="n">
        <f aca="false">((LEN($AN44)-LEN(SUBSTITUTE($AN44,CHAR(10)&amp;"/ ","")))/3)+IF(LEFT(TRIM($AN44),2)="/ ",1,0)</f>
        <v>0</v>
      </c>
      <c r="H44" s="59" t="n">
        <f aca="false">((LEN($AN44)-LEN(SUBSTITUTE($AN44,CHAR(10)&amp;"~ ","")))/3)+IF(LEFT(TRIM($AN44),2)="~ ",1,0)</f>
        <v>0</v>
      </c>
      <c r="I44" s="59" t="n">
        <f aca="false">((LEN($AN44)-LEN(SUBSTITUTE($AN44,CHAR(10)&amp;"! ","")))/3)+IF(LEFT(TRIM($AN44),2)="! ",1,0)</f>
        <v>0</v>
      </c>
      <c r="J44" s="59" t="n">
        <f aca="false">((LEN($AN44)-LEN(SUBSTITUTE($AN44,CHAR(10)&amp;"x ","")))/3)+IF(LEFT(TRIM($AN44),2)="x ",1,0)</f>
        <v>0</v>
      </c>
      <c r="K44" s="59" t="n">
        <f aca="false">SUM(F44:J44)</f>
        <v>0</v>
      </c>
      <c r="L44" s="60" t="n">
        <f aca="false">YEAR(D44)</f>
        <v>1899</v>
      </c>
      <c r="M44" s="60" t="str">
        <f aca="false">VLOOKUP(MONTH(D44),Static!$AJ$3:$AK$16,2,0)</f>
        <v>Dec</v>
      </c>
      <c r="N44" s="60" t="n">
        <f aca="false">WEEKNUM(D44,1)</f>
        <v>52</v>
      </c>
      <c r="O44" s="60" t="str">
        <f aca="false">IFERROR(INDEX(Static!$I$5:$L$15,MATCH(AA44,Static!$I$5:$I$15,0),3),"Z")</f>
        <v>Z</v>
      </c>
      <c r="P44" s="60" t="str">
        <f aca="false">IFERROR(INDEX(Static!$I$5:$L$15,MATCH(AA44,Static!$I$5:$I$15,0),4),"Y")</f>
        <v>Y</v>
      </c>
      <c r="Q44" s="60" t="str">
        <f aca="false">IF(D44&gt;(($A$14-WEEKDAY($A$14,2))-7*$D$15),"Y","N")</f>
        <v>N</v>
      </c>
      <c r="R44" s="58" t="str">
        <f aca="false">IF(AB44&lt;&gt;"","Y","N")</f>
        <v>N</v>
      </c>
      <c r="S44" s="60" t="str">
        <f aca="false">IF(AND(Q44="Y",R44="N"),"Y","N")</f>
        <v>N</v>
      </c>
      <c r="T44" s="58" t="str">
        <f aca="false">IF(OR(Y44="Y",Y44="N"),Y44,IF(AND(P44="Y", OR(Q44="Y",S44="Y")),"Y","N"))</f>
        <v>N</v>
      </c>
      <c r="U44" s="60" t="str">
        <f aca="false">"Y"</f>
        <v>Y</v>
      </c>
      <c r="V44" s="61" t="str">
        <f aca="false">" -  "&amp;O44&amp;AJ44&amp;AK44&amp;AB44</f>
        <v> -  Z</v>
      </c>
      <c r="W44" s="60" t="str">
        <f aca="false">IFERROR(VLOOKUP(WEEKDAY(X44),Static!$AL$3:$AM$11,2,0),"")</f>
        <v>Sat</v>
      </c>
      <c r="X44" s="58" t="n">
        <f aca="false">IF(AD44&lt;&gt;"",AS44,0)</f>
        <v>0</v>
      </c>
      <c r="Y44" s="40"/>
      <c r="Z44" s="40"/>
      <c r="AA44" s="62"/>
      <c r="AB44" s="64"/>
      <c r="AC44" s="64"/>
      <c r="AD44" s="40"/>
      <c r="AE44" s="67"/>
      <c r="AF44" s="68"/>
      <c r="AG44" s="69" t="str">
        <f aca="false">IF(AB44="","",AE44*AF44/8)</f>
        <v/>
      </c>
      <c r="AH44" s="40"/>
      <c r="AI44" s="40"/>
      <c r="AJ44" s="40"/>
      <c r="AK44" s="63"/>
      <c r="AL44" s="64"/>
      <c r="AM44" s="64"/>
      <c r="AN44" s="65"/>
      <c r="AO44" s="60" t="n">
        <f aca="false">SUM(F44:I44)</f>
        <v>0</v>
      </c>
      <c r="AP44" s="66" t="n">
        <f aca="false">IF(AB44="",1,IF(K44&lt;&gt;0,(G44*0.5+J44)/K44,1))</f>
        <v>1</v>
      </c>
      <c r="AQ44" s="55" t="str">
        <f aca="false">IF(AM44="","",IF(ISERROR(FIND(CHAR(10),AM44,1)),AM44,LEFT(AM44,FIND(CHAR(10),AM44,1))))</f>
        <v/>
      </c>
      <c r="AR44" s="56" t="str">
        <f aca="false">IF(AM44="","",IFERROR(RIGHT(AM44,LEN(AM44)-FIND("@@@",SUBSTITUTE(AM44,CHAR(10),"@@@",LEN(AM44)-LEN(SUBSTITUTE(AM44,CHAR(10),""))),1)),AM44))</f>
        <v/>
      </c>
      <c r="AS44" s="57" t="str">
        <f aca="false">IFERROR(DATE(("20"&amp;MID(AQ44,7,2))*1,MID(AQ44,4,2)*1,MID(AQ44,1,2)*1),"")</f>
        <v/>
      </c>
      <c r="AT44" s="57" t="str">
        <f aca="false">IFERROR(DATE(("20"&amp;MID(AR44,7,2))*1,MID(AR44,4,2)*1,MID(AR44,1,2)*1),"")</f>
        <v/>
      </c>
      <c r="AU44" s="64" t="s">
        <v>364</v>
      </c>
    </row>
    <row r="45" customFormat="false" ht="12.75" hidden="false" customHeight="true" outlineLevel="0" collapsed="false">
      <c r="A45" s="54"/>
      <c r="B45" s="58" t="str">
        <f aca="false">IF(AH45="","tbc",AH45)</f>
        <v>tbc</v>
      </c>
      <c r="C45" s="58" t="str">
        <f aca="false">IF(AI45="","VNT",AI45)</f>
        <v>VNT</v>
      </c>
      <c r="D45" s="58" t="n">
        <f aca="false">MAX(X45,IF(AT45="none",X45,AT45))</f>
        <v>0</v>
      </c>
      <c r="E45" s="59" t="n">
        <f aca="false">IFERROR(DAYS360(X45,D45),0)</f>
        <v>0</v>
      </c>
      <c r="F45" s="59" t="n">
        <f aca="false">((LEN($AN45)-LEN(SUBSTITUTE($AN45,CHAR(10)&amp;". ","")))/3)+IF(LEFT(TRIM($AN45),2)=". ",1,0)</f>
        <v>0</v>
      </c>
      <c r="G45" s="59" t="n">
        <f aca="false">((LEN($AN45)-LEN(SUBSTITUTE($AN45,CHAR(10)&amp;"/ ","")))/3)+IF(LEFT(TRIM($AN45),2)="/ ",1,0)</f>
        <v>0</v>
      </c>
      <c r="H45" s="59" t="n">
        <f aca="false">((LEN($AN45)-LEN(SUBSTITUTE($AN45,CHAR(10)&amp;"~ ","")))/3)+IF(LEFT(TRIM($AN45),2)="~ ",1,0)</f>
        <v>0</v>
      </c>
      <c r="I45" s="59" t="n">
        <f aca="false">((LEN($AN45)-LEN(SUBSTITUTE($AN45,CHAR(10)&amp;"! ","")))/3)+IF(LEFT(TRIM($AN45),2)="! ",1,0)</f>
        <v>0</v>
      </c>
      <c r="J45" s="59" t="n">
        <f aca="false">((LEN($AN45)-LEN(SUBSTITUTE($AN45,CHAR(10)&amp;"x ","")))/3)+IF(LEFT(TRIM($AN45),2)="x ",1,0)</f>
        <v>0</v>
      </c>
      <c r="K45" s="59" t="n">
        <f aca="false">SUM(F45:J45)</f>
        <v>0</v>
      </c>
      <c r="L45" s="60" t="n">
        <f aca="false">YEAR(D45)</f>
        <v>1899</v>
      </c>
      <c r="M45" s="60" t="str">
        <f aca="false">VLOOKUP(MONTH(D45),Static!$AJ$3:$AK$16,2,0)</f>
        <v>Dec</v>
      </c>
      <c r="N45" s="60" t="n">
        <f aca="false">WEEKNUM(D45,1)</f>
        <v>52</v>
      </c>
      <c r="O45" s="60" t="str">
        <f aca="false">IFERROR(INDEX(Static!$I$5:$L$15,MATCH(AA45,Static!$I$5:$I$15,0),3),"Z")</f>
        <v>Z</v>
      </c>
      <c r="P45" s="60" t="str">
        <f aca="false">IFERROR(INDEX(Static!$I$5:$L$15,MATCH(AA45,Static!$I$5:$I$15,0),4),"Y")</f>
        <v>Y</v>
      </c>
      <c r="Q45" s="60" t="str">
        <f aca="false">IF(D45&gt;(($A$14-WEEKDAY($A$14,2))-7*$D$15),"Y","N")</f>
        <v>N</v>
      </c>
      <c r="R45" s="58" t="str">
        <f aca="false">IF(AB45&lt;&gt;"","Y","N")</f>
        <v>N</v>
      </c>
      <c r="S45" s="60" t="str">
        <f aca="false">IF(AND(Q45="Y",R45="N"),"Y","N")</f>
        <v>N</v>
      </c>
      <c r="T45" s="58" t="str">
        <f aca="false">IF(OR(Y45="Y",Y45="N"),Y45,IF(AND(P45="Y", OR(Q45="Y",S45="Y")),"Y","N"))</f>
        <v>N</v>
      </c>
      <c r="U45" s="60" t="str">
        <f aca="false">"Y"</f>
        <v>Y</v>
      </c>
      <c r="V45" s="61" t="str">
        <f aca="false">" -  "&amp;O45&amp;AJ45&amp;AK45&amp;AB45</f>
        <v> -  Z</v>
      </c>
      <c r="W45" s="60" t="str">
        <f aca="false">IFERROR(VLOOKUP(WEEKDAY(X45),Static!$AL$3:$AM$11,2,0),"")</f>
        <v>Sat</v>
      </c>
      <c r="X45" s="58" t="n">
        <f aca="false">IF(AD45&lt;&gt;"",AS45,0)</f>
        <v>0</v>
      </c>
      <c r="Y45" s="40"/>
      <c r="Z45" s="40"/>
      <c r="AA45" s="62"/>
      <c r="AB45" s="64"/>
      <c r="AC45" s="65"/>
      <c r="AD45" s="40"/>
      <c r="AE45" s="67"/>
      <c r="AF45" s="68"/>
      <c r="AG45" s="69" t="str">
        <f aca="false">IF(AB45="","",AE45*AF45/8)</f>
        <v/>
      </c>
      <c r="AH45" s="40"/>
      <c r="AI45" s="40"/>
      <c r="AJ45" s="40"/>
      <c r="AK45" s="63"/>
      <c r="AL45" s="65"/>
      <c r="AM45" s="64"/>
      <c r="AN45" s="65"/>
      <c r="AO45" s="60" t="n">
        <f aca="false">SUM(F45:I45)</f>
        <v>0</v>
      </c>
      <c r="AP45" s="66" t="n">
        <f aca="false">IF(AB45="",1,IF(K45&lt;&gt;0,(G45*0.5+J45)/K45,1))</f>
        <v>1</v>
      </c>
      <c r="AQ45" s="55" t="str">
        <f aca="false">IF(AM45="","",IF(ISERROR(FIND(CHAR(10),AM45,1)),AM45,LEFT(AM45,FIND(CHAR(10),AM45,1))))</f>
        <v/>
      </c>
      <c r="AR45" s="56" t="str">
        <f aca="false">IF(AM45="","",IFERROR(RIGHT(AM45,LEN(AM45)-FIND("@@@",SUBSTITUTE(AM45,CHAR(10),"@@@",LEN(AM45)-LEN(SUBSTITUTE(AM45,CHAR(10),""))),1)),AM45))</f>
        <v/>
      </c>
      <c r="AS45" s="57" t="str">
        <f aca="false">IFERROR(DATE(("20"&amp;MID(AQ45,7,2))*1,MID(AQ45,4,2)*1,MID(AQ45,1,2)*1),"")</f>
        <v/>
      </c>
      <c r="AT45" s="57" t="str">
        <f aca="false">IFERROR(DATE(("20"&amp;MID(AR45,7,2))*1,MID(AR45,4,2)*1,MID(AR45,1,2)*1),"")</f>
        <v/>
      </c>
      <c r="AU45" s="64" t="s">
        <v>364</v>
      </c>
    </row>
    <row r="46" customFormat="false" ht="12.75" hidden="false" customHeight="true" outlineLevel="0" collapsed="false">
      <c r="A46" s="54"/>
      <c r="B46" s="58" t="str">
        <f aca="false">IF(AH46="","tbc",AH46)</f>
        <v>tbc</v>
      </c>
      <c r="C46" s="58" t="str">
        <f aca="false">IF(AI46="","VNT",AI46)</f>
        <v>VNT</v>
      </c>
      <c r="D46" s="58" t="n">
        <f aca="false">MAX(X46,IF(AT46="none",X46,AT46))</f>
        <v>0</v>
      </c>
      <c r="E46" s="59" t="n">
        <f aca="false">IFERROR(DAYS360(X46,D46),0)</f>
        <v>0</v>
      </c>
      <c r="F46" s="59" t="n">
        <f aca="false">((LEN($AN46)-LEN(SUBSTITUTE($AN46,CHAR(10)&amp;". ","")))/3)+IF(LEFT(TRIM($AN46),2)=". ",1,0)</f>
        <v>0</v>
      </c>
      <c r="G46" s="59" t="n">
        <f aca="false">((LEN($AN46)-LEN(SUBSTITUTE($AN46,CHAR(10)&amp;"/ ","")))/3)+IF(LEFT(TRIM($AN46),2)="/ ",1,0)</f>
        <v>0</v>
      </c>
      <c r="H46" s="59" t="n">
        <f aca="false">((LEN($AN46)-LEN(SUBSTITUTE($AN46,CHAR(10)&amp;"~ ","")))/3)+IF(LEFT(TRIM($AN46),2)="~ ",1,0)</f>
        <v>0</v>
      </c>
      <c r="I46" s="59" t="n">
        <f aca="false">((LEN($AN46)-LEN(SUBSTITUTE($AN46,CHAR(10)&amp;"! ","")))/3)+IF(LEFT(TRIM($AN46),2)="! ",1,0)</f>
        <v>0</v>
      </c>
      <c r="J46" s="59" t="n">
        <f aca="false">((LEN($AN46)-LEN(SUBSTITUTE($AN46,CHAR(10)&amp;"x ","")))/3)+IF(LEFT(TRIM($AN46),2)="x ",1,0)</f>
        <v>0</v>
      </c>
      <c r="K46" s="59" t="n">
        <f aca="false">SUM(F46:J46)</f>
        <v>0</v>
      </c>
      <c r="L46" s="60" t="n">
        <f aca="false">YEAR(D46)</f>
        <v>1899</v>
      </c>
      <c r="M46" s="60" t="str">
        <f aca="false">VLOOKUP(MONTH(D46),Static!$AJ$3:$AK$16,2,0)</f>
        <v>Dec</v>
      </c>
      <c r="N46" s="60" t="n">
        <f aca="false">WEEKNUM(D46,1)</f>
        <v>52</v>
      </c>
      <c r="O46" s="60" t="str">
        <f aca="false">IFERROR(INDEX(Static!$I$5:$L$15,MATCH(AA46,Static!$I$5:$I$15,0),3),"Z")</f>
        <v>Z</v>
      </c>
      <c r="P46" s="60" t="str">
        <f aca="false">IFERROR(INDEX(Static!$I$5:$L$15,MATCH(AA46,Static!$I$5:$I$15,0),4),"Y")</f>
        <v>Y</v>
      </c>
      <c r="Q46" s="60" t="str">
        <f aca="false">IF(D46&gt;(($A$14-WEEKDAY($A$14,2))-7*$D$15),"Y","N")</f>
        <v>N</v>
      </c>
      <c r="R46" s="58" t="str">
        <f aca="false">IF(AB46&lt;&gt;"","Y","N")</f>
        <v>N</v>
      </c>
      <c r="S46" s="60" t="str">
        <f aca="false">IF(AND(Q46="Y",R46="N"),"Y","N")</f>
        <v>N</v>
      </c>
      <c r="T46" s="58" t="str">
        <f aca="false">IF(OR(Y46="Y",Y46="N"),Y46,IF(AND(P46="Y", OR(Q46="Y",S46="Y")),"Y","N"))</f>
        <v>N</v>
      </c>
      <c r="U46" s="60" t="str">
        <f aca="false">"Y"</f>
        <v>Y</v>
      </c>
      <c r="V46" s="61" t="str">
        <f aca="false">" -  "&amp;O46&amp;AJ46&amp;AK46&amp;AB46</f>
        <v> -  Z</v>
      </c>
      <c r="W46" s="60" t="str">
        <f aca="false">IFERROR(VLOOKUP(WEEKDAY(X46),Static!$AL$3:$AM$11,2,0),"")</f>
        <v>Sat</v>
      </c>
      <c r="X46" s="58" t="n">
        <f aca="false">IF(AD46&lt;&gt;"",AS46,0)</f>
        <v>0</v>
      </c>
      <c r="Y46" s="40"/>
      <c r="Z46" s="40"/>
      <c r="AA46" s="62"/>
      <c r="AB46" s="64"/>
      <c r="AC46" s="65"/>
      <c r="AD46" s="40"/>
      <c r="AE46" s="67"/>
      <c r="AF46" s="68"/>
      <c r="AG46" s="69" t="str">
        <f aca="false">IF(AB46="","",AE46*AF46/8)</f>
        <v/>
      </c>
      <c r="AH46" s="40"/>
      <c r="AI46" s="40"/>
      <c r="AJ46" s="40"/>
      <c r="AK46" s="63"/>
      <c r="AL46" s="65"/>
      <c r="AM46" s="64"/>
      <c r="AN46" s="65"/>
      <c r="AO46" s="60" t="n">
        <f aca="false">SUM(F46:I46)</f>
        <v>0</v>
      </c>
      <c r="AP46" s="66" t="n">
        <f aca="false">IF(AB46="",1,IF(K46&lt;&gt;0,(G46*0.5+J46)/K46,1))</f>
        <v>1</v>
      </c>
      <c r="AQ46" s="55" t="str">
        <f aca="false">IF(AM46="","",IF(ISERROR(FIND(CHAR(10),AM46,1)),AM46,LEFT(AM46,FIND(CHAR(10),AM46,1))))</f>
        <v/>
      </c>
      <c r="AR46" s="56" t="str">
        <f aca="false">IF(AM46="","",IFERROR(RIGHT(AM46,LEN(AM46)-FIND("@@@",SUBSTITUTE(AM46,CHAR(10),"@@@",LEN(AM46)-LEN(SUBSTITUTE(AM46,CHAR(10),""))),1)),AM46))</f>
        <v/>
      </c>
      <c r="AS46" s="57" t="str">
        <f aca="false">IFERROR(DATE(("20"&amp;MID(AQ46,7,2))*1,MID(AQ46,4,2)*1,MID(AQ46,1,2)*1),"")</f>
        <v/>
      </c>
      <c r="AT46" s="57" t="str">
        <f aca="false">IFERROR(DATE(("20"&amp;MID(AR46,7,2))*1,MID(AR46,4,2)*1,MID(AR46,1,2)*1),"")</f>
        <v/>
      </c>
      <c r="AU46" s="64" t="s">
        <v>364</v>
      </c>
    </row>
    <row r="47" customFormat="false" ht="12.75" hidden="false" customHeight="true" outlineLevel="0" collapsed="false">
      <c r="A47" s="54"/>
      <c r="B47" s="58" t="str">
        <f aca="false">IF(AH47="","tbc",AH47)</f>
        <v>tbc</v>
      </c>
      <c r="C47" s="58" t="str">
        <f aca="false">IF(AI47="","VNT",AI47)</f>
        <v>VNT</v>
      </c>
      <c r="D47" s="58" t="n">
        <f aca="false">MAX(X47,IF(AT47="none",X47,AT47))</f>
        <v>0</v>
      </c>
      <c r="E47" s="59" t="n">
        <f aca="false">IFERROR(DAYS360(X47,D47),0)</f>
        <v>0</v>
      </c>
      <c r="F47" s="59" t="n">
        <f aca="false">((LEN($AN47)-LEN(SUBSTITUTE($AN47,CHAR(10)&amp;". ","")))/3)+IF(LEFT(TRIM($AN47),2)=". ",1,0)</f>
        <v>0</v>
      </c>
      <c r="G47" s="59" t="n">
        <f aca="false">((LEN($AN47)-LEN(SUBSTITUTE($AN47,CHAR(10)&amp;"/ ","")))/3)+IF(LEFT(TRIM($AN47),2)="/ ",1,0)</f>
        <v>0</v>
      </c>
      <c r="H47" s="59" t="n">
        <f aca="false">((LEN($AN47)-LEN(SUBSTITUTE($AN47,CHAR(10)&amp;"~ ","")))/3)+IF(LEFT(TRIM($AN47),2)="~ ",1,0)</f>
        <v>0</v>
      </c>
      <c r="I47" s="59" t="n">
        <f aca="false">((LEN($AN47)-LEN(SUBSTITUTE($AN47,CHAR(10)&amp;"! ","")))/3)+IF(LEFT(TRIM($AN47),2)="! ",1,0)</f>
        <v>0</v>
      </c>
      <c r="J47" s="59" t="n">
        <f aca="false">((LEN($AN47)-LEN(SUBSTITUTE($AN47,CHAR(10)&amp;"x ","")))/3)+IF(LEFT(TRIM($AN47),2)="x ",1,0)</f>
        <v>0</v>
      </c>
      <c r="K47" s="59" t="n">
        <f aca="false">SUM(F47:J47)</f>
        <v>0</v>
      </c>
      <c r="L47" s="60" t="n">
        <f aca="false">YEAR(D47)</f>
        <v>1899</v>
      </c>
      <c r="M47" s="60" t="str">
        <f aca="false">VLOOKUP(MONTH(D47),Static!$AJ$3:$AK$16,2,0)</f>
        <v>Dec</v>
      </c>
      <c r="N47" s="60" t="n">
        <f aca="false">WEEKNUM(D47,1)</f>
        <v>52</v>
      </c>
      <c r="O47" s="60" t="str">
        <f aca="false">IFERROR(INDEX(Static!$I$5:$L$15,MATCH(AA47,Static!$I$5:$I$15,0),3),"Z")</f>
        <v>Z</v>
      </c>
      <c r="P47" s="60" t="str">
        <f aca="false">IFERROR(INDEX(Static!$I$5:$L$15,MATCH(AA47,Static!$I$5:$I$15,0),4),"Y")</f>
        <v>Y</v>
      </c>
      <c r="Q47" s="60" t="str">
        <f aca="false">IF(D47&gt;(($A$14-WEEKDAY($A$14,2))-7*$D$15),"Y","N")</f>
        <v>N</v>
      </c>
      <c r="R47" s="58" t="str">
        <f aca="false">IF(AB47&lt;&gt;"","Y","N")</f>
        <v>N</v>
      </c>
      <c r="S47" s="60" t="str">
        <f aca="false">IF(AND(Q47="Y",R47="N"),"Y","N")</f>
        <v>N</v>
      </c>
      <c r="T47" s="58" t="str">
        <f aca="false">IF(OR(Y47="Y",Y47="N"),Y47,IF(AND(P47="Y", OR(Q47="Y",S47="Y")),"Y","N"))</f>
        <v>N</v>
      </c>
      <c r="U47" s="60" t="str">
        <f aca="false">"Y"</f>
        <v>Y</v>
      </c>
      <c r="V47" s="61" t="str">
        <f aca="false">" -  "&amp;O47&amp;AJ47&amp;AK47&amp;AB47</f>
        <v> -  Z</v>
      </c>
      <c r="W47" s="60" t="str">
        <f aca="false">IFERROR(VLOOKUP(WEEKDAY(X47),Static!$AL$3:$AM$11,2,0),"")</f>
        <v>Sat</v>
      </c>
      <c r="X47" s="58" t="n">
        <f aca="false">IF(AD47&lt;&gt;"",AS47,0)</f>
        <v>0</v>
      </c>
      <c r="Y47" s="40"/>
      <c r="Z47" s="40"/>
      <c r="AA47" s="62"/>
      <c r="AB47" s="64"/>
      <c r="AC47" s="65"/>
      <c r="AD47" s="40"/>
      <c r="AE47" s="67"/>
      <c r="AF47" s="68"/>
      <c r="AG47" s="69" t="str">
        <f aca="false">IF(AB47="","",AE47*AF47/8)</f>
        <v/>
      </c>
      <c r="AH47" s="40"/>
      <c r="AI47" s="40"/>
      <c r="AJ47" s="40"/>
      <c r="AK47" s="63"/>
      <c r="AL47" s="65"/>
      <c r="AM47" s="64"/>
      <c r="AN47" s="65"/>
      <c r="AO47" s="60" t="n">
        <f aca="false">SUM(F47:I47)</f>
        <v>0</v>
      </c>
      <c r="AP47" s="66" t="n">
        <f aca="false">IF(AB47="",1,IF(K47&lt;&gt;0,(G47*0.5+J47)/K47,1))</f>
        <v>1</v>
      </c>
      <c r="AQ47" s="55" t="str">
        <f aca="false">IF(AM47="","",IF(ISERROR(FIND(CHAR(10),AM47,1)),AM47,LEFT(AM47,FIND(CHAR(10),AM47,1))))</f>
        <v/>
      </c>
      <c r="AR47" s="56" t="str">
        <f aca="false">IF(AM47="","",IFERROR(RIGHT(AM47,LEN(AM47)-FIND("@@@",SUBSTITUTE(AM47,CHAR(10),"@@@",LEN(AM47)-LEN(SUBSTITUTE(AM47,CHAR(10),""))),1)),AM47))</f>
        <v/>
      </c>
      <c r="AS47" s="57" t="str">
        <f aca="false">IFERROR(DATE(("20"&amp;MID(AQ47,7,2))*1,MID(AQ47,4,2)*1,MID(AQ47,1,2)*1),"")</f>
        <v/>
      </c>
      <c r="AT47" s="57" t="str">
        <f aca="false">IFERROR(DATE(("20"&amp;MID(AR47,7,2))*1,MID(AR47,4,2)*1,MID(AR47,1,2)*1),"")</f>
        <v/>
      </c>
      <c r="AU47" s="64" t="s">
        <v>364</v>
      </c>
    </row>
    <row r="48" customFormat="false" ht="12.75" hidden="false" customHeight="true" outlineLevel="0" collapsed="false">
      <c r="A48" s="54"/>
      <c r="B48" s="58" t="str">
        <f aca="false">IF(AH48="","tbc",AH48)</f>
        <v>tbc</v>
      </c>
      <c r="C48" s="58" t="str">
        <f aca="false">IF(AI48="","VNT",AI48)</f>
        <v>VNT</v>
      </c>
      <c r="D48" s="58" t="n">
        <f aca="false">MAX(X48,IF(AT48="none",X48,AT48))</f>
        <v>0</v>
      </c>
      <c r="E48" s="59" t="n">
        <f aca="false">IFERROR(DAYS360(X48,D48),0)</f>
        <v>0</v>
      </c>
      <c r="F48" s="59" t="n">
        <f aca="false">((LEN($AN48)-LEN(SUBSTITUTE($AN48,CHAR(10)&amp;". ","")))/3)+IF(LEFT(TRIM($AN48),2)=". ",1,0)</f>
        <v>0</v>
      </c>
      <c r="G48" s="59" t="n">
        <f aca="false">((LEN($AN48)-LEN(SUBSTITUTE($AN48,CHAR(10)&amp;"/ ","")))/3)+IF(LEFT(TRIM($AN48),2)="/ ",1,0)</f>
        <v>0</v>
      </c>
      <c r="H48" s="59" t="n">
        <f aca="false">((LEN($AN48)-LEN(SUBSTITUTE($AN48,CHAR(10)&amp;"~ ","")))/3)+IF(LEFT(TRIM($AN48),2)="~ ",1,0)</f>
        <v>0</v>
      </c>
      <c r="I48" s="59" t="n">
        <f aca="false">((LEN($AN48)-LEN(SUBSTITUTE($AN48,CHAR(10)&amp;"! ","")))/3)+IF(LEFT(TRIM($AN48),2)="! ",1,0)</f>
        <v>0</v>
      </c>
      <c r="J48" s="59" t="n">
        <f aca="false">((LEN($AN48)-LEN(SUBSTITUTE($AN48,CHAR(10)&amp;"x ","")))/3)+IF(LEFT(TRIM($AN48),2)="x ",1,0)</f>
        <v>0</v>
      </c>
      <c r="K48" s="59" t="n">
        <f aca="false">SUM(F48:J48)</f>
        <v>0</v>
      </c>
      <c r="L48" s="60" t="n">
        <f aca="false">YEAR(D48)</f>
        <v>1899</v>
      </c>
      <c r="M48" s="60" t="str">
        <f aca="false">VLOOKUP(MONTH(D48),Static!$AJ$3:$AK$16,2,0)</f>
        <v>Dec</v>
      </c>
      <c r="N48" s="60" t="n">
        <f aca="false">WEEKNUM(D48,1)</f>
        <v>52</v>
      </c>
      <c r="O48" s="60" t="str">
        <f aca="false">IFERROR(INDEX(Static!$I$5:$L$15,MATCH(AA48,Static!$I$5:$I$15,0),3),"Z")</f>
        <v>Z</v>
      </c>
      <c r="P48" s="60" t="str">
        <f aca="false">IFERROR(INDEX(Static!$I$5:$L$15,MATCH(AA48,Static!$I$5:$I$15,0),4),"Y")</f>
        <v>Y</v>
      </c>
      <c r="Q48" s="60" t="str">
        <f aca="false">IF(D48&gt;(($A$14-WEEKDAY($A$14,2))-7*$D$15),"Y","N")</f>
        <v>N</v>
      </c>
      <c r="R48" s="58" t="str">
        <f aca="false">IF(AB48&lt;&gt;"","Y","N")</f>
        <v>N</v>
      </c>
      <c r="S48" s="60" t="str">
        <f aca="false">IF(AND(Q48="Y",R48="N"),"Y","N")</f>
        <v>N</v>
      </c>
      <c r="T48" s="58" t="str">
        <f aca="false">IF(OR(Y48="Y",Y48="N"),Y48,IF(AND(P48="Y", OR(Q48="Y",S48="Y")),"Y","N"))</f>
        <v>N</v>
      </c>
      <c r="U48" s="60" t="str">
        <f aca="false">"Y"</f>
        <v>Y</v>
      </c>
      <c r="V48" s="61" t="str">
        <f aca="false">" -  "&amp;O48&amp;AJ48&amp;AK48&amp;AB48</f>
        <v> -  Z</v>
      </c>
      <c r="W48" s="60" t="str">
        <f aca="false">IFERROR(VLOOKUP(WEEKDAY(X48),Static!$AL$3:$AM$11,2,0),"")</f>
        <v>Sat</v>
      </c>
      <c r="X48" s="58" t="n">
        <f aca="false">IF(AD48&lt;&gt;"",AS48,0)</f>
        <v>0</v>
      </c>
      <c r="Y48" s="40"/>
      <c r="Z48" s="40"/>
      <c r="AA48" s="62"/>
      <c r="AB48" s="64"/>
      <c r="AC48" s="65"/>
      <c r="AD48" s="40"/>
      <c r="AE48" s="67"/>
      <c r="AF48" s="68"/>
      <c r="AG48" s="69" t="str">
        <f aca="false">IF(AB48="","",AE48*AF48/8)</f>
        <v/>
      </c>
      <c r="AH48" s="40"/>
      <c r="AI48" s="40"/>
      <c r="AJ48" s="40"/>
      <c r="AK48" s="63"/>
      <c r="AL48" s="65"/>
      <c r="AM48" s="64"/>
      <c r="AN48" s="65"/>
      <c r="AO48" s="60" t="n">
        <f aca="false">SUM(F48:I48)</f>
        <v>0</v>
      </c>
      <c r="AP48" s="66" t="n">
        <f aca="false">IF(AB48="",1,IF(K48&lt;&gt;0,(G48*0.5+J48)/K48,1))</f>
        <v>1</v>
      </c>
      <c r="AQ48" s="55" t="str">
        <f aca="false">IF(AM48="","",IF(ISERROR(FIND(CHAR(10),AM48,1)),AM48,LEFT(AM48,FIND(CHAR(10),AM48,1))))</f>
        <v/>
      </c>
      <c r="AR48" s="56" t="str">
        <f aca="false">IF(AM48="","",IFERROR(RIGHT(AM48,LEN(AM48)-FIND("@@@",SUBSTITUTE(AM48,CHAR(10),"@@@",LEN(AM48)-LEN(SUBSTITUTE(AM48,CHAR(10),""))),1)),AM48))</f>
        <v/>
      </c>
      <c r="AS48" s="57" t="str">
        <f aca="false">IFERROR(DATE(("20"&amp;MID(AQ48,7,2))*1,MID(AQ48,4,2)*1,MID(AQ48,1,2)*1),"")</f>
        <v/>
      </c>
      <c r="AT48" s="57" t="str">
        <f aca="false">IFERROR(DATE(("20"&amp;MID(AR48,7,2))*1,MID(AR48,4,2)*1,MID(AR48,1,2)*1),"")</f>
        <v/>
      </c>
      <c r="AU48" s="64" t="s">
        <v>364</v>
      </c>
    </row>
    <row r="49" customFormat="false" ht="12.75" hidden="false" customHeight="true" outlineLevel="0" collapsed="false">
      <c r="A49" s="54"/>
      <c r="B49" s="58" t="str">
        <f aca="false">IF(AH49="","tbc",AH49)</f>
        <v>tbc</v>
      </c>
      <c r="C49" s="58" t="str">
        <f aca="false">IF(AI49="","VNT",AI49)</f>
        <v>VNT</v>
      </c>
      <c r="D49" s="58" t="n">
        <f aca="false">MAX(X49,IF(AT49="none",X49,AT49))</f>
        <v>0</v>
      </c>
      <c r="E49" s="59" t="n">
        <f aca="false">IFERROR(DAYS360(X49,D49),0)</f>
        <v>0</v>
      </c>
      <c r="F49" s="59" t="n">
        <f aca="false">((LEN($AN49)-LEN(SUBSTITUTE($AN49,CHAR(10)&amp;". ","")))/3)+IF(LEFT(TRIM($AN49),2)=". ",1,0)</f>
        <v>0</v>
      </c>
      <c r="G49" s="59" t="n">
        <f aca="false">((LEN($AN49)-LEN(SUBSTITUTE($AN49,CHAR(10)&amp;"/ ","")))/3)+IF(LEFT(TRIM($AN49),2)="/ ",1,0)</f>
        <v>0</v>
      </c>
      <c r="H49" s="59" t="n">
        <f aca="false">((LEN($AN49)-LEN(SUBSTITUTE($AN49,CHAR(10)&amp;"~ ","")))/3)+IF(LEFT(TRIM($AN49),2)="~ ",1,0)</f>
        <v>0</v>
      </c>
      <c r="I49" s="59" t="n">
        <f aca="false">((LEN($AN49)-LEN(SUBSTITUTE($AN49,CHAR(10)&amp;"! ","")))/3)+IF(LEFT(TRIM($AN49),2)="! ",1,0)</f>
        <v>0</v>
      </c>
      <c r="J49" s="59" t="n">
        <f aca="false">((LEN($AN49)-LEN(SUBSTITUTE($AN49,CHAR(10)&amp;"x ","")))/3)+IF(LEFT(TRIM($AN49),2)="x ",1,0)</f>
        <v>0</v>
      </c>
      <c r="K49" s="59" t="n">
        <f aca="false">SUM(F49:J49)</f>
        <v>0</v>
      </c>
      <c r="L49" s="60" t="n">
        <f aca="false">YEAR(D49)</f>
        <v>1899</v>
      </c>
      <c r="M49" s="60" t="str">
        <f aca="false">VLOOKUP(MONTH(D49),Static!$AJ$3:$AK$16,2,0)</f>
        <v>Dec</v>
      </c>
      <c r="N49" s="60" t="n">
        <f aca="false">WEEKNUM(D49,1)</f>
        <v>52</v>
      </c>
      <c r="O49" s="60" t="str">
        <f aca="false">IFERROR(INDEX(Static!$I$5:$L$15,MATCH(AA49,Static!$I$5:$I$15,0),3),"Z")</f>
        <v>Z</v>
      </c>
      <c r="P49" s="60" t="str">
        <f aca="false">IFERROR(INDEX(Static!$I$5:$L$15,MATCH(AA49,Static!$I$5:$I$15,0),4),"Y")</f>
        <v>Y</v>
      </c>
      <c r="Q49" s="60" t="str">
        <f aca="false">IF(D49&gt;(($A$14-WEEKDAY($A$14,2))-7*$D$15),"Y","N")</f>
        <v>N</v>
      </c>
      <c r="R49" s="58" t="str">
        <f aca="false">IF(AB49&lt;&gt;"","Y","N")</f>
        <v>N</v>
      </c>
      <c r="S49" s="60" t="str">
        <f aca="false">IF(AND(Q49="Y",R49="N"),"Y","N")</f>
        <v>N</v>
      </c>
      <c r="T49" s="58" t="str">
        <f aca="false">IF(OR(Y49="Y",Y49="N"),Y49,IF(AND(P49="Y", OR(Q49="Y",S49="Y")),"Y","N"))</f>
        <v>N</v>
      </c>
      <c r="U49" s="60" t="str">
        <f aca="false">"Y"</f>
        <v>Y</v>
      </c>
      <c r="V49" s="61" t="str">
        <f aca="false">" -  "&amp;O49&amp;AJ49&amp;AK49&amp;AB49</f>
        <v> -  Z</v>
      </c>
      <c r="W49" s="60" t="str">
        <f aca="false">IFERROR(VLOOKUP(WEEKDAY(X49),Static!$AL$3:$AM$11,2,0),"")</f>
        <v>Sat</v>
      </c>
      <c r="X49" s="58" t="n">
        <f aca="false">IF(AD49&lt;&gt;"",AS49,0)</f>
        <v>0</v>
      </c>
      <c r="Y49" s="40"/>
      <c r="Z49" s="40"/>
      <c r="AA49" s="62"/>
      <c r="AB49" s="64"/>
      <c r="AC49" s="65"/>
      <c r="AD49" s="40"/>
      <c r="AE49" s="67"/>
      <c r="AF49" s="68"/>
      <c r="AG49" s="69" t="str">
        <f aca="false">IF(AB49="","",AE49*AF49/8)</f>
        <v/>
      </c>
      <c r="AH49" s="40"/>
      <c r="AI49" s="40"/>
      <c r="AJ49" s="40"/>
      <c r="AK49" s="63"/>
      <c r="AL49" s="65"/>
      <c r="AM49" s="64"/>
      <c r="AN49" s="65"/>
      <c r="AO49" s="60" t="n">
        <f aca="false">SUM(F49:I49)</f>
        <v>0</v>
      </c>
      <c r="AP49" s="66" t="n">
        <f aca="false">IF(AB49="",1,IF(K49&lt;&gt;0,(G49*0.5+J49)/K49,1))</f>
        <v>1</v>
      </c>
      <c r="AQ49" s="55" t="str">
        <f aca="false">IF(AM49="","",IF(ISERROR(FIND(CHAR(10),AM49,1)),AM49,LEFT(AM49,FIND(CHAR(10),AM49,1))))</f>
        <v/>
      </c>
      <c r="AR49" s="56" t="str">
        <f aca="false">IF(AM49="","",IFERROR(RIGHT(AM49,LEN(AM49)-FIND("@@@",SUBSTITUTE(AM49,CHAR(10),"@@@",LEN(AM49)-LEN(SUBSTITUTE(AM49,CHAR(10),""))),1)),AM49))</f>
        <v/>
      </c>
      <c r="AS49" s="57" t="str">
        <f aca="false">IFERROR(DATE(("20"&amp;MID(AQ49,7,2))*1,MID(AQ49,4,2)*1,MID(AQ49,1,2)*1),"")</f>
        <v/>
      </c>
      <c r="AT49" s="57" t="str">
        <f aca="false">IFERROR(DATE(("20"&amp;MID(AR49,7,2))*1,MID(AR49,4,2)*1,MID(AR49,1,2)*1),"")</f>
        <v/>
      </c>
      <c r="AU49" s="64" t="s">
        <v>364</v>
      </c>
    </row>
    <row r="50" customFormat="false" ht="12.75" hidden="false" customHeight="true" outlineLevel="0" collapsed="false">
      <c r="A50" s="54"/>
      <c r="B50" s="58" t="str">
        <f aca="false">IF(AH50="","tbc",AH50)</f>
        <v>tbc</v>
      </c>
      <c r="C50" s="58" t="str">
        <f aca="false">IF(AI50="","VNT",AI50)</f>
        <v>VNT</v>
      </c>
      <c r="D50" s="58" t="n">
        <f aca="false">MAX(X50,IF(AT50="none",X50,AT50))</f>
        <v>0</v>
      </c>
      <c r="E50" s="59" t="n">
        <f aca="false">IFERROR(DAYS360(X50,D50),0)</f>
        <v>0</v>
      </c>
      <c r="F50" s="59" t="n">
        <f aca="false">((LEN($AN50)-LEN(SUBSTITUTE($AN50,CHAR(10)&amp;". ","")))/3)+IF(LEFT(TRIM($AN50),2)=". ",1,0)</f>
        <v>0</v>
      </c>
      <c r="G50" s="59" t="n">
        <f aca="false">((LEN($AN50)-LEN(SUBSTITUTE($AN50,CHAR(10)&amp;"/ ","")))/3)+IF(LEFT(TRIM($AN50),2)="/ ",1,0)</f>
        <v>0</v>
      </c>
      <c r="H50" s="59" t="n">
        <f aca="false">((LEN($AN50)-LEN(SUBSTITUTE($AN50,CHAR(10)&amp;"~ ","")))/3)+IF(LEFT(TRIM($AN50),2)="~ ",1,0)</f>
        <v>0</v>
      </c>
      <c r="I50" s="59" t="n">
        <f aca="false">((LEN($AN50)-LEN(SUBSTITUTE($AN50,CHAR(10)&amp;"! ","")))/3)+IF(LEFT(TRIM($AN50),2)="! ",1,0)</f>
        <v>0</v>
      </c>
      <c r="J50" s="59" t="n">
        <f aca="false">((LEN($AN50)-LEN(SUBSTITUTE($AN50,CHAR(10)&amp;"x ","")))/3)+IF(LEFT(TRIM($AN50),2)="x ",1,0)</f>
        <v>0</v>
      </c>
      <c r="K50" s="59" t="n">
        <f aca="false">SUM(F50:J50)</f>
        <v>0</v>
      </c>
      <c r="L50" s="60" t="n">
        <f aca="false">YEAR(D50)</f>
        <v>1899</v>
      </c>
      <c r="M50" s="60" t="str">
        <f aca="false">VLOOKUP(MONTH(D50),Static!$AJ$3:$AK$16,2,0)</f>
        <v>Dec</v>
      </c>
      <c r="N50" s="60" t="n">
        <f aca="false">WEEKNUM(D50,1)</f>
        <v>52</v>
      </c>
      <c r="O50" s="60" t="str">
        <f aca="false">IFERROR(INDEX(Static!$I$5:$L$15,MATCH(AA50,Static!$I$5:$I$15,0),3),"Z")</f>
        <v>Z</v>
      </c>
      <c r="P50" s="60" t="str">
        <f aca="false">IFERROR(INDEX(Static!$I$5:$L$15,MATCH(AA50,Static!$I$5:$I$15,0),4),"Y")</f>
        <v>Y</v>
      </c>
      <c r="Q50" s="60" t="str">
        <f aca="false">IF(D50&gt;(($A$14-WEEKDAY($A$14,2))-7*$D$15),"Y","N")</f>
        <v>N</v>
      </c>
      <c r="R50" s="58" t="str">
        <f aca="false">IF(AB50&lt;&gt;"","Y","N")</f>
        <v>N</v>
      </c>
      <c r="S50" s="60" t="str">
        <f aca="false">IF(AND(Q50="Y",R50="N"),"Y","N")</f>
        <v>N</v>
      </c>
      <c r="T50" s="58" t="str">
        <f aca="false">IF(OR(Y50="Y",Y50="N"),Y50,IF(AND(P50="Y", OR(Q50="Y",S50="Y")),"Y","N"))</f>
        <v>N</v>
      </c>
      <c r="U50" s="60" t="str">
        <f aca="false">"Y"</f>
        <v>Y</v>
      </c>
      <c r="V50" s="61" t="str">
        <f aca="false">" -  "&amp;O50&amp;AJ50&amp;AK50&amp;AB50</f>
        <v> -  Z</v>
      </c>
      <c r="W50" s="60" t="str">
        <f aca="false">IFERROR(VLOOKUP(WEEKDAY(X50),Static!$AL$3:$AM$11,2,0),"")</f>
        <v>Sat</v>
      </c>
      <c r="X50" s="58" t="n">
        <f aca="false">IF(AD50&lt;&gt;"",AS50,0)</f>
        <v>0</v>
      </c>
      <c r="Y50" s="40"/>
      <c r="Z50" s="40"/>
      <c r="AA50" s="62"/>
      <c r="AB50" s="64"/>
      <c r="AC50" s="65"/>
      <c r="AD50" s="40"/>
      <c r="AE50" s="67"/>
      <c r="AF50" s="68"/>
      <c r="AG50" s="69" t="str">
        <f aca="false">IF(AB50="","",AE50*AF50/8)</f>
        <v/>
      </c>
      <c r="AH50" s="40"/>
      <c r="AI50" s="40"/>
      <c r="AJ50" s="40"/>
      <c r="AK50" s="63"/>
      <c r="AL50" s="65"/>
      <c r="AM50" s="64"/>
      <c r="AN50" s="65"/>
      <c r="AO50" s="60" t="n">
        <f aca="false">SUM(F50:I50)</f>
        <v>0</v>
      </c>
      <c r="AP50" s="66" t="n">
        <f aca="false">IF(AB50="",1,IF(K50&lt;&gt;0,(G50*0.5+J50)/K50,1))</f>
        <v>1</v>
      </c>
      <c r="AQ50" s="55" t="str">
        <f aca="false">IF(AM50="","",IF(ISERROR(FIND(CHAR(10),AM50,1)),AM50,LEFT(AM50,FIND(CHAR(10),AM50,1))))</f>
        <v/>
      </c>
      <c r="AR50" s="56" t="str">
        <f aca="false">IF(AM50="","",IFERROR(RIGHT(AM50,LEN(AM50)-FIND("@@@",SUBSTITUTE(AM50,CHAR(10),"@@@",LEN(AM50)-LEN(SUBSTITUTE(AM50,CHAR(10),""))),1)),AM50))</f>
        <v/>
      </c>
      <c r="AS50" s="57" t="str">
        <f aca="false">IFERROR(DATE(("20"&amp;MID(AQ50,7,2))*1,MID(AQ50,4,2)*1,MID(AQ50,1,2)*1),"")</f>
        <v/>
      </c>
      <c r="AT50" s="57" t="str">
        <f aca="false">IFERROR(DATE(("20"&amp;MID(AR50,7,2))*1,MID(AR50,4,2)*1,MID(AR50,1,2)*1),"")</f>
        <v/>
      </c>
      <c r="AU50" s="64" t="s">
        <v>364</v>
      </c>
    </row>
    <row r="51" customFormat="false" ht="12.75" hidden="false" customHeight="true" outlineLevel="0" collapsed="false">
      <c r="A51" s="54"/>
      <c r="B51" s="58" t="str">
        <f aca="false">IF(AH51="","tbc",AH51)</f>
        <v>tbc</v>
      </c>
      <c r="C51" s="58" t="str">
        <f aca="false">IF(AI51="","VNT",AI51)</f>
        <v>VNT</v>
      </c>
      <c r="D51" s="58" t="n">
        <f aca="false">MAX(X51,IF(AT51="none",X51,AT51))</f>
        <v>0</v>
      </c>
      <c r="E51" s="59" t="n">
        <f aca="false">IFERROR(DAYS360(X51,D51),0)</f>
        <v>0</v>
      </c>
      <c r="F51" s="59" t="n">
        <f aca="false">((LEN($AN51)-LEN(SUBSTITUTE($AN51,CHAR(10)&amp;". ","")))/3)+IF(LEFT(TRIM($AN51),2)=". ",1,0)</f>
        <v>0</v>
      </c>
      <c r="G51" s="59" t="n">
        <f aca="false">((LEN($AN51)-LEN(SUBSTITUTE($AN51,CHAR(10)&amp;"/ ","")))/3)+IF(LEFT(TRIM($AN51),2)="/ ",1,0)</f>
        <v>0</v>
      </c>
      <c r="H51" s="59" t="n">
        <f aca="false">((LEN($AN51)-LEN(SUBSTITUTE($AN51,CHAR(10)&amp;"~ ","")))/3)+IF(LEFT(TRIM($AN51),2)="~ ",1,0)</f>
        <v>0</v>
      </c>
      <c r="I51" s="59" t="n">
        <f aca="false">((LEN($AN51)-LEN(SUBSTITUTE($AN51,CHAR(10)&amp;"! ","")))/3)+IF(LEFT(TRIM($AN51),2)="! ",1,0)</f>
        <v>0</v>
      </c>
      <c r="J51" s="59" t="n">
        <f aca="false">((LEN($AN51)-LEN(SUBSTITUTE($AN51,CHAR(10)&amp;"x ","")))/3)+IF(LEFT(TRIM($AN51),2)="x ",1,0)</f>
        <v>0</v>
      </c>
      <c r="K51" s="59" t="n">
        <f aca="false">SUM(F51:J51)</f>
        <v>0</v>
      </c>
      <c r="L51" s="60" t="n">
        <f aca="false">YEAR(D51)</f>
        <v>1899</v>
      </c>
      <c r="M51" s="60" t="str">
        <f aca="false">VLOOKUP(MONTH(D51),Static!$AJ$3:$AK$16,2,0)</f>
        <v>Dec</v>
      </c>
      <c r="N51" s="60" t="n">
        <f aca="false">WEEKNUM(D51,1)</f>
        <v>52</v>
      </c>
      <c r="O51" s="60" t="str">
        <f aca="false">IFERROR(INDEX(Static!$I$5:$L$15,MATCH(AA51,Static!$I$5:$I$15,0),3),"Z")</f>
        <v>Z</v>
      </c>
      <c r="P51" s="60" t="str">
        <f aca="false">IFERROR(INDEX(Static!$I$5:$L$15,MATCH(AA51,Static!$I$5:$I$15,0),4),"Y")</f>
        <v>Y</v>
      </c>
      <c r="Q51" s="60" t="str">
        <f aca="false">IF(D51&gt;(($A$14-WEEKDAY($A$14,2))-7*$D$15),"Y","N")</f>
        <v>N</v>
      </c>
      <c r="R51" s="58" t="str">
        <f aca="false">IF(AB51&lt;&gt;"","Y","N")</f>
        <v>N</v>
      </c>
      <c r="S51" s="60" t="str">
        <f aca="false">IF(AND(Q51="Y",R51="N"),"Y","N")</f>
        <v>N</v>
      </c>
      <c r="T51" s="58" t="str">
        <f aca="false">IF(OR(Y51="Y",Y51="N"),Y51,IF(AND(P51="Y", OR(Q51="Y",S51="Y")),"Y","N"))</f>
        <v>N</v>
      </c>
      <c r="U51" s="60" t="str">
        <f aca="false">"Y"</f>
        <v>Y</v>
      </c>
      <c r="V51" s="61" t="str">
        <f aca="false">" -  "&amp;O51&amp;AJ51&amp;AK51&amp;AB51</f>
        <v> -  Z</v>
      </c>
      <c r="W51" s="60" t="str">
        <f aca="false">IFERROR(VLOOKUP(WEEKDAY(X51),Static!$AL$3:$AM$11,2,0),"")</f>
        <v>Sat</v>
      </c>
      <c r="X51" s="58" t="n">
        <f aca="false">IF(AD51&lt;&gt;"",AS51,0)</f>
        <v>0</v>
      </c>
      <c r="Y51" s="40"/>
      <c r="Z51" s="40"/>
      <c r="AA51" s="62"/>
      <c r="AB51" s="64"/>
      <c r="AC51" s="65"/>
      <c r="AD51" s="40"/>
      <c r="AE51" s="67"/>
      <c r="AF51" s="68"/>
      <c r="AG51" s="69" t="str">
        <f aca="false">IF(AB51="","",AE51*AF51/8)</f>
        <v/>
      </c>
      <c r="AH51" s="40"/>
      <c r="AI51" s="40"/>
      <c r="AJ51" s="40"/>
      <c r="AK51" s="63"/>
      <c r="AL51" s="65"/>
      <c r="AM51" s="64"/>
      <c r="AN51" s="65"/>
      <c r="AO51" s="60" t="n">
        <f aca="false">SUM(F51:I51)</f>
        <v>0</v>
      </c>
      <c r="AP51" s="66" t="n">
        <f aca="false">IF(AB51="",1,IF(K51&lt;&gt;0,(G51*0.5+J51)/K51,1))</f>
        <v>1</v>
      </c>
      <c r="AQ51" s="55" t="str">
        <f aca="false">IF(AM51="","",IF(ISERROR(FIND(CHAR(10),AM51,1)),AM51,LEFT(AM51,FIND(CHAR(10),AM51,1))))</f>
        <v/>
      </c>
      <c r="AR51" s="56" t="str">
        <f aca="false">IF(AM51="","",IFERROR(RIGHT(AM51,LEN(AM51)-FIND("@@@",SUBSTITUTE(AM51,CHAR(10),"@@@",LEN(AM51)-LEN(SUBSTITUTE(AM51,CHAR(10),""))),1)),AM51))</f>
        <v/>
      </c>
      <c r="AS51" s="57" t="str">
        <f aca="false">IFERROR(DATE(("20"&amp;MID(AQ51,7,2))*1,MID(AQ51,4,2)*1,MID(AQ51,1,2)*1),"")</f>
        <v/>
      </c>
      <c r="AT51" s="57" t="str">
        <f aca="false">IFERROR(DATE(("20"&amp;MID(AR51,7,2))*1,MID(AR51,4,2)*1,MID(AR51,1,2)*1),"")</f>
        <v/>
      </c>
      <c r="AU51" s="64" t="s">
        <v>364</v>
      </c>
    </row>
    <row r="52" customFormat="false" ht="12.75" hidden="false" customHeight="true" outlineLevel="0" collapsed="false">
      <c r="A52" s="54"/>
      <c r="B52" s="58" t="str">
        <f aca="false">IF(AH52="","tbc",AH52)</f>
        <v>tbc</v>
      </c>
      <c r="C52" s="58" t="str">
        <f aca="false">IF(AI52="","VNT",AI52)</f>
        <v>VNT</v>
      </c>
      <c r="D52" s="58" t="n">
        <f aca="false">MAX(X52,IF(AT52="none",X52,AT52))</f>
        <v>0</v>
      </c>
      <c r="E52" s="59" t="n">
        <f aca="false">IFERROR(DAYS360(X52,D52),0)</f>
        <v>0</v>
      </c>
      <c r="F52" s="59" t="n">
        <f aca="false">((LEN($AN52)-LEN(SUBSTITUTE($AN52,CHAR(10)&amp;". ","")))/3)+IF(LEFT(TRIM($AN52),2)=". ",1,0)</f>
        <v>0</v>
      </c>
      <c r="G52" s="59" t="n">
        <f aca="false">((LEN($AN52)-LEN(SUBSTITUTE($AN52,CHAR(10)&amp;"/ ","")))/3)+IF(LEFT(TRIM($AN52),2)="/ ",1,0)</f>
        <v>0</v>
      </c>
      <c r="H52" s="59" t="n">
        <f aca="false">((LEN($AN52)-LEN(SUBSTITUTE($AN52,CHAR(10)&amp;"~ ","")))/3)+IF(LEFT(TRIM($AN52),2)="~ ",1,0)</f>
        <v>0</v>
      </c>
      <c r="I52" s="59" t="n">
        <f aca="false">((LEN($AN52)-LEN(SUBSTITUTE($AN52,CHAR(10)&amp;"! ","")))/3)+IF(LEFT(TRIM($AN52),2)="! ",1,0)</f>
        <v>0</v>
      </c>
      <c r="J52" s="59" t="n">
        <f aca="false">((LEN($AN52)-LEN(SUBSTITUTE($AN52,CHAR(10)&amp;"x ","")))/3)+IF(LEFT(TRIM($AN52),2)="x ",1,0)</f>
        <v>0</v>
      </c>
      <c r="K52" s="59" t="n">
        <f aca="false">SUM(F52:J52)</f>
        <v>0</v>
      </c>
      <c r="L52" s="60" t="n">
        <f aca="false">YEAR(D52)</f>
        <v>1899</v>
      </c>
      <c r="M52" s="60" t="str">
        <f aca="false">VLOOKUP(MONTH(D52),Static!$AJ$3:$AK$16,2,0)</f>
        <v>Dec</v>
      </c>
      <c r="N52" s="60" t="n">
        <f aca="false">WEEKNUM(D52,1)</f>
        <v>52</v>
      </c>
      <c r="O52" s="60" t="str">
        <f aca="false">IFERROR(INDEX(Static!$I$5:$L$15,MATCH(AA52,Static!$I$5:$I$15,0),3),"Z")</f>
        <v>Z</v>
      </c>
      <c r="P52" s="60" t="str">
        <f aca="false">IFERROR(INDEX(Static!$I$5:$L$15,MATCH(AA52,Static!$I$5:$I$15,0),4),"Y")</f>
        <v>Y</v>
      </c>
      <c r="Q52" s="60" t="str">
        <f aca="false">IF(D52&gt;(($A$14-WEEKDAY($A$14,2))-7*$D$15),"Y","N")</f>
        <v>N</v>
      </c>
      <c r="R52" s="58" t="str">
        <f aca="false">IF(AB52&lt;&gt;"","Y","N")</f>
        <v>N</v>
      </c>
      <c r="S52" s="60" t="str">
        <f aca="false">IF(AND(Q52="Y",R52="N"),"Y","N")</f>
        <v>N</v>
      </c>
      <c r="T52" s="58" t="str">
        <f aca="false">IF(OR(Y52="Y",Y52="N"),Y52,IF(AND(P52="Y", OR(Q52="Y",S52="Y")),"Y","N"))</f>
        <v>N</v>
      </c>
      <c r="U52" s="60" t="str">
        <f aca="false">"Y"</f>
        <v>Y</v>
      </c>
      <c r="V52" s="61" t="str">
        <f aca="false">" -  "&amp;O52&amp;AJ52&amp;AK52&amp;AB52</f>
        <v> -  Z</v>
      </c>
      <c r="W52" s="60" t="str">
        <f aca="false">IFERROR(VLOOKUP(WEEKDAY(X52),Static!$AL$3:$AM$11,2,0),"")</f>
        <v>Sat</v>
      </c>
      <c r="X52" s="58" t="n">
        <f aca="false">IF(AD52&lt;&gt;"",AS52,0)</f>
        <v>0</v>
      </c>
      <c r="Y52" s="40"/>
      <c r="Z52" s="40"/>
      <c r="AA52" s="62"/>
      <c r="AB52" s="64"/>
      <c r="AC52" s="65"/>
      <c r="AD52" s="40"/>
      <c r="AE52" s="67"/>
      <c r="AF52" s="68"/>
      <c r="AG52" s="69" t="str">
        <f aca="false">IF(AB52="","",AE52*AF52/8)</f>
        <v/>
      </c>
      <c r="AH52" s="40"/>
      <c r="AI52" s="40"/>
      <c r="AJ52" s="40"/>
      <c r="AK52" s="63"/>
      <c r="AL52" s="65"/>
      <c r="AM52" s="64"/>
      <c r="AN52" s="65"/>
      <c r="AO52" s="60" t="n">
        <f aca="false">SUM(F52:I52)</f>
        <v>0</v>
      </c>
      <c r="AP52" s="66" t="n">
        <f aca="false">IF(AB52="",1,IF(K52&lt;&gt;0,(G52*0.5+J52)/K52,1))</f>
        <v>1</v>
      </c>
      <c r="AQ52" s="55" t="str">
        <f aca="false">IF(AM52="","",IF(ISERROR(FIND(CHAR(10),AM52,1)),AM52,LEFT(AM52,FIND(CHAR(10),AM52,1))))</f>
        <v/>
      </c>
      <c r="AR52" s="56" t="str">
        <f aca="false">IF(AM52="","",IFERROR(RIGHT(AM52,LEN(AM52)-FIND("@@@",SUBSTITUTE(AM52,CHAR(10),"@@@",LEN(AM52)-LEN(SUBSTITUTE(AM52,CHAR(10),""))),1)),AM52))</f>
        <v/>
      </c>
      <c r="AS52" s="57" t="str">
        <f aca="false">IFERROR(DATE(("20"&amp;MID(AQ52,7,2))*1,MID(AQ52,4,2)*1,MID(AQ52,1,2)*1),"")</f>
        <v/>
      </c>
      <c r="AT52" s="57" t="str">
        <f aca="false">IFERROR(DATE(("20"&amp;MID(AR52,7,2))*1,MID(AR52,4,2)*1,MID(AR52,1,2)*1),"")</f>
        <v/>
      </c>
      <c r="AU52" s="64" t="s">
        <v>364</v>
      </c>
    </row>
    <row r="53" customFormat="false" ht="12.75" hidden="false" customHeight="true" outlineLevel="0" collapsed="false">
      <c r="A53" s="54"/>
      <c r="B53" s="58" t="str">
        <f aca="false">IF(AH53="","tbc",AH53)</f>
        <v>tbc</v>
      </c>
      <c r="C53" s="58" t="str">
        <f aca="false">IF(AI53="","VNT",AI53)</f>
        <v>VNT</v>
      </c>
      <c r="D53" s="58" t="n">
        <f aca="false">MAX(X53,IF(AT53="none",X53,AT53))</f>
        <v>0</v>
      </c>
      <c r="E53" s="59" t="n">
        <f aca="false">IFERROR(DAYS360(X53,D53),0)</f>
        <v>0</v>
      </c>
      <c r="F53" s="59" t="n">
        <f aca="false">((LEN($AN53)-LEN(SUBSTITUTE($AN53,CHAR(10)&amp;". ","")))/3)+IF(LEFT(TRIM($AN53),2)=". ",1,0)</f>
        <v>0</v>
      </c>
      <c r="G53" s="59" t="n">
        <f aca="false">((LEN($AN53)-LEN(SUBSTITUTE($AN53,CHAR(10)&amp;"/ ","")))/3)+IF(LEFT(TRIM($AN53),2)="/ ",1,0)</f>
        <v>0</v>
      </c>
      <c r="H53" s="59" t="n">
        <f aca="false">((LEN($AN53)-LEN(SUBSTITUTE($AN53,CHAR(10)&amp;"~ ","")))/3)+IF(LEFT(TRIM($AN53),2)="~ ",1,0)</f>
        <v>0</v>
      </c>
      <c r="I53" s="59" t="n">
        <f aca="false">((LEN($AN53)-LEN(SUBSTITUTE($AN53,CHAR(10)&amp;"! ","")))/3)+IF(LEFT(TRIM($AN53),2)="! ",1,0)</f>
        <v>0</v>
      </c>
      <c r="J53" s="59" t="n">
        <f aca="false">((LEN($AN53)-LEN(SUBSTITUTE($AN53,CHAR(10)&amp;"x ","")))/3)+IF(LEFT(TRIM($AN53),2)="x ",1,0)</f>
        <v>0</v>
      </c>
      <c r="K53" s="59" t="n">
        <f aca="false">SUM(F53:J53)</f>
        <v>0</v>
      </c>
      <c r="L53" s="60" t="n">
        <f aca="false">YEAR(D53)</f>
        <v>1899</v>
      </c>
      <c r="M53" s="60" t="str">
        <f aca="false">VLOOKUP(MONTH(D53),Static!$AJ$3:$AK$16,2,0)</f>
        <v>Dec</v>
      </c>
      <c r="N53" s="60" t="n">
        <f aca="false">WEEKNUM(D53,1)</f>
        <v>52</v>
      </c>
      <c r="O53" s="60" t="str">
        <f aca="false">IFERROR(INDEX(Static!$I$5:$L$15,MATCH(AA53,Static!$I$5:$I$15,0),3),"Z")</f>
        <v>Z</v>
      </c>
      <c r="P53" s="60" t="str">
        <f aca="false">IFERROR(INDEX(Static!$I$5:$L$15,MATCH(AA53,Static!$I$5:$I$15,0),4),"Y")</f>
        <v>Y</v>
      </c>
      <c r="Q53" s="60" t="str">
        <f aca="false">IF(D53&gt;(($A$14-WEEKDAY($A$14,2))-7*$D$15),"Y","N")</f>
        <v>N</v>
      </c>
      <c r="R53" s="58" t="str">
        <f aca="false">IF(AB53&lt;&gt;"","Y","N")</f>
        <v>N</v>
      </c>
      <c r="S53" s="60" t="str">
        <f aca="false">IF(AND(Q53="Y",R53="N"),"Y","N")</f>
        <v>N</v>
      </c>
      <c r="T53" s="58" t="str">
        <f aca="false">IF(OR(Y53="Y",Y53="N"),Y53,IF(AND(P53="Y", OR(Q53="Y",S53="Y")),"Y","N"))</f>
        <v>N</v>
      </c>
      <c r="U53" s="60" t="str">
        <f aca="false">"Y"</f>
        <v>Y</v>
      </c>
      <c r="V53" s="61" t="str">
        <f aca="false">" -  "&amp;O53&amp;AJ53&amp;AK53&amp;AB53</f>
        <v> -  Z</v>
      </c>
      <c r="W53" s="60" t="str">
        <f aca="false">IFERROR(VLOOKUP(WEEKDAY(X53),Static!$AL$3:$AM$11,2,0),"")</f>
        <v>Sat</v>
      </c>
      <c r="X53" s="58" t="n">
        <f aca="false">IF(AD53&lt;&gt;"",AS53,0)</f>
        <v>0</v>
      </c>
      <c r="Y53" s="40"/>
      <c r="Z53" s="40"/>
      <c r="AA53" s="62"/>
      <c r="AB53" s="64"/>
      <c r="AC53" s="65"/>
      <c r="AD53" s="40"/>
      <c r="AE53" s="67"/>
      <c r="AF53" s="68"/>
      <c r="AG53" s="69" t="str">
        <f aca="false">IF(AB53="","",AE53*AF53/8)</f>
        <v/>
      </c>
      <c r="AH53" s="40"/>
      <c r="AI53" s="40"/>
      <c r="AJ53" s="40"/>
      <c r="AK53" s="63"/>
      <c r="AL53" s="65"/>
      <c r="AM53" s="64"/>
      <c r="AN53" s="65"/>
      <c r="AO53" s="60" t="n">
        <f aca="false">SUM(F53:I53)</f>
        <v>0</v>
      </c>
      <c r="AP53" s="66" t="n">
        <f aca="false">IF(AB53="",1,IF(K53&lt;&gt;0,(G53*0.5+J53)/K53,1))</f>
        <v>1</v>
      </c>
      <c r="AQ53" s="55" t="str">
        <f aca="false">IF(AM53="","",IF(ISERROR(FIND(CHAR(10),AM53,1)),AM53,LEFT(AM53,FIND(CHAR(10),AM53,1))))</f>
        <v/>
      </c>
      <c r="AR53" s="56" t="str">
        <f aca="false">IF(AM53="","",IFERROR(RIGHT(AM53,LEN(AM53)-FIND("@@@",SUBSTITUTE(AM53,CHAR(10),"@@@",LEN(AM53)-LEN(SUBSTITUTE(AM53,CHAR(10),""))),1)),AM53))</f>
        <v/>
      </c>
      <c r="AS53" s="57" t="str">
        <f aca="false">IFERROR(DATE(("20"&amp;MID(AQ53,7,2))*1,MID(AQ53,4,2)*1,MID(AQ53,1,2)*1),"")</f>
        <v/>
      </c>
      <c r="AT53" s="57" t="str">
        <f aca="false">IFERROR(DATE(("20"&amp;MID(AR53,7,2))*1,MID(AR53,4,2)*1,MID(AR53,1,2)*1),"")</f>
        <v/>
      </c>
      <c r="AU53" s="64" t="s">
        <v>364</v>
      </c>
    </row>
    <row r="54" customFormat="false" ht="12.75" hidden="false" customHeight="true" outlineLevel="0" collapsed="false">
      <c r="A54" s="54"/>
      <c r="B54" s="58" t="str">
        <f aca="false">IF(AH54="","tbc",AH54)</f>
        <v>tbc</v>
      </c>
      <c r="C54" s="58" t="str">
        <f aca="false">IF(AI54="","VNT",AI54)</f>
        <v>VNT</v>
      </c>
      <c r="D54" s="58" t="n">
        <f aca="false">MAX(X54,IF(AT54="none",X54,AT54))</f>
        <v>0</v>
      </c>
      <c r="E54" s="59" t="n">
        <f aca="false">IFERROR(DAYS360(X54,D54),0)</f>
        <v>0</v>
      </c>
      <c r="F54" s="59" t="n">
        <f aca="false">((LEN($AN54)-LEN(SUBSTITUTE($AN54,CHAR(10)&amp;". ","")))/3)+IF(LEFT(TRIM($AN54),2)=". ",1,0)</f>
        <v>0</v>
      </c>
      <c r="G54" s="59" t="n">
        <f aca="false">((LEN($AN54)-LEN(SUBSTITUTE($AN54,CHAR(10)&amp;"/ ","")))/3)+IF(LEFT(TRIM($AN54),2)="/ ",1,0)</f>
        <v>0</v>
      </c>
      <c r="H54" s="59" t="n">
        <f aca="false">((LEN($AN54)-LEN(SUBSTITUTE($AN54,CHAR(10)&amp;"~ ","")))/3)+IF(LEFT(TRIM($AN54),2)="~ ",1,0)</f>
        <v>0</v>
      </c>
      <c r="I54" s="59" t="n">
        <f aca="false">((LEN($AN54)-LEN(SUBSTITUTE($AN54,CHAR(10)&amp;"! ","")))/3)+IF(LEFT(TRIM($AN54),2)="! ",1,0)</f>
        <v>0</v>
      </c>
      <c r="J54" s="59" t="n">
        <f aca="false">((LEN($AN54)-LEN(SUBSTITUTE($AN54,CHAR(10)&amp;"x ","")))/3)+IF(LEFT(TRIM($AN54),2)="x ",1,0)</f>
        <v>0</v>
      </c>
      <c r="K54" s="59" t="n">
        <f aca="false">SUM(F54:J54)</f>
        <v>0</v>
      </c>
      <c r="L54" s="60" t="n">
        <f aca="false">YEAR(D54)</f>
        <v>1899</v>
      </c>
      <c r="M54" s="60" t="str">
        <f aca="false">VLOOKUP(MONTH(D54),Static!$AJ$3:$AK$16,2,0)</f>
        <v>Dec</v>
      </c>
      <c r="N54" s="60" t="n">
        <f aca="false">WEEKNUM(D54,1)</f>
        <v>52</v>
      </c>
      <c r="O54" s="60" t="str">
        <f aca="false">IFERROR(INDEX(Static!$I$5:$L$15,MATCH(AA54,Static!$I$5:$I$15,0),3),"Z")</f>
        <v>Z</v>
      </c>
      <c r="P54" s="60" t="str">
        <f aca="false">IFERROR(INDEX(Static!$I$5:$L$15,MATCH(AA54,Static!$I$5:$I$15,0),4),"Y")</f>
        <v>Y</v>
      </c>
      <c r="Q54" s="60" t="str">
        <f aca="false">IF(D54&gt;(($A$14-WEEKDAY($A$14,2))-7*$D$15),"Y","N")</f>
        <v>N</v>
      </c>
      <c r="R54" s="58" t="str">
        <f aca="false">IF(AB54&lt;&gt;"","Y","N")</f>
        <v>N</v>
      </c>
      <c r="S54" s="60" t="str">
        <f aca="false">IF(AND(Q54="Y",R54="N"),"Y","N")</f>
        <v>N</v>
      </c>
      <c r="T54" s="58" t="str">
        <f aca="false">IF(OR(Y54="Y",Y54="N"),Y54,IF(AND(P54="Y", OR(Q54="Y",S54="Y")),"Y","N"))</f>
        <v>N</v>
      </c>
      <c r="U54" s="60" t="str">
        <f aca="false">"Y"</f>
        <v>Y</v>
      </c>
      <c r="V54" s="61" t="str">
        <f aca="false">" -  "&amp;O54&amp;AJ54&amp;AK54&amp;AB54</f>
        <v> -  Z</v>
      </c>
      <c r="W54" s="60" t="str">
        <f aca="false">IFERROR(VLOOKUP(WEEKDAY(X54),Static!$AL$3:$AM$11,2,0),"")</f>
        <v>Sat</v>
      </c>
      <c r="X54" s="58" t="n">
        <f aca="false">IF(AD54&lt;&gt;"",AS54,0)</f>
        <v>0</v>
      </c>
      <c r="Y54" s="40"/>
      <c r="Z54" s="40"/>
      <c r="AA54" s="62"/>
      <c r="AB54" s="64"/>
      <c r="AC54" s="65"/>
      <c r="AD54" s="40"/>
      <c r="AE54" s="67"/>
      <c r="AF54" s="68"/>
      <c r="AG54" s="69" t="str">
        <f aca="false">IF(AB54="","",AE54*AF54/8)</f>
        <v/>
      </c>
      <c r="AH54" s="40"/>
      <c r="AI54" s="40"/>
      <c r="AJ54" s="40"/>
      <c r="AK54" s="63"/>
      <c r="AL54" s="65"/>
      <c r="AM54" s="64"/>
      <c r="AN54" s="65"/>
      <c r="AO54" s="60" t="n">
        <f aca="false">SUM(F54:I54)</f>
        <v>0</v>
      </c>
      <c r="AP54" s="66" t="n">
        <f aca="false">IF(AB54="",1,IF(K54&lt;&gt;0,(G54*0.5+J54)/K54,1))</f>
        <v>1</v>
      </c>
      <c r="AQ54" s="55" t="str">
        <f aca="false">IF(AM54="","",IF(ISERROR(FIND(CHAR(10),AM54,1)),AM54,LEFT(AM54,FIND(CHAR(10),AM54,1))))</f>
        <v/>
      </c>
      <c r="AR54" s="56" t="str">
        <f aca="false">IF(AM54="","",IFERROR(RIGHT(AM54,LEN(AM54)-FIND("@@@",SUBSTITUTE(AM54,CHAR(10),"@@@",LEN(AM54)-LEN(SUBSTITUTE(AM54,CHAR(10),""))),1)),AM54))</f>
        <v/>
      </c>
      <c r="AS54" s="57" t="str">
        <f aca="false">IFERROR(DATE(("20"&amp;MID(AQ54,7,2))*1,MID(AQ54,4,2)*1,MID(AQ54,1,2)*1),"")</f>
        <v/>
      </c>
      <c r="AT54" s="57" t="str">
        <f aca="false">IFERROR(DATE(("20"&amp;MID(AR54,7,2))*1,MID(AR54,4,2)*1,MID(AR54,1,2)*1),"")</f>
        <v/>
      </c>
      <c r="AU54" s="64" t="s">
        <v>364</v>
      </c>
    </row>
    <row r="55" customFormat="false" ht="12.75" hidden="false" customHeight="true" outlineLevel="0" collapsed="false">
      <c r="A55" s="54"/>
      <c r="B55" s="58" t="str">
        <f aca="false">IF(AH55="","tbc",AH55)</f>
        <v>tbc</v>
      </c>
      <c r="C55" s="58" t="str">
        <f aca="false">IF(AI55="","VNT",AI55)</f>
        <v>VNT</v>
      </c>
      <c r="D55" s="58" t="n">
        <f aca="false">MAX(X55,IF(AT55="none",X55,AT55))</f>
        <v>0</v>
      </c>
      <c r="E55" s="59" t="n">
        <f aca="false">IFERROR(DAYS360(X55,D55),0)</f>
        <v>0</v>
      </c>
      <c r="F55" s="59" t="n">
        <f aca="false">((LEN($AN55)-LEN(SUBSTITUTE($AN55,CHAR(10)&amp;". ","")))/3)+IF(LEFT(TRIM($AN55),2)=". ",1,0)</f>
        <v>0</v>
      </c>
      <c r="G55" s="59" t="n">
        <f aca="false">((LEN($AN55)-LEN(SUBSTITUTE($AN55,CHAR(10)&amp;"/ ","")))/3)+IF(LEFT(TRIM($AN55),2)="/ ",1,0)</f>
        <v>0</v>
      </c>
      <c r="H55" s="59" t="n">
        <f aca="false">((LEN($AN55)-LEN(SUBSTITUTE($AN55,CHAR(10)&amp;"~ ","")))/3)+IF(LEFT(TRIM($AN55),2)="~ ",1,0)</f>
        <v>0</v>
      </c>
      <c r="I55" s="59" t="n">
        <f aca="false">((LEN($AN55)-LEN(SUBSTITUTE($AN55,CHAR(10)&amp;"! ","")))/3)+IF(LEFT(TRIM($AN55),2)="! ",1,0)</f>
        <v>0</v>
      </c>
      <c r="J55" s="59" t="n">
        <f aca="false">((LEN($AN55)-LEN(SUBSTITUTE($AN55,CHAR(10)&amp;"x ","")))/3)+IF(LEFT(TRIM($AN55),2)="x ",1,0)</f>
        <v>0</v>
      </c>
      <c r="K55" s="59" t="n">
        <f aca="false">SUM(F55:J55)</f>
        <v>0</v>
      </c>
      <c r="L55" s="60" t="n">
        <f aca="false">YEAR(D55)</f>
        <v>1899</v>
      </c>
      <c r="M55" s="60" t="str">
        <f aca="false">VLOOKUP(MONTH(D55),Static!$AJ$3:$AK$16,2,0)</f>
        <v>Dec</v>
      </c>
      <c r="N55" s="60" t="n">
        <f aca="false">WEEKNUM(D55,1)</f>
        <v>52</v>
      </c>
      <c r="O55" s="60" t="str">
        <f aca="false">IFERROR(INDEX(Static!$I$5:$L$15,MATCH(AA55,Static!$I$5:$I$15,0),3),"Z")</f>
        <v>Z</v>
      </c>
      <c r="P55" s="60" t="str">
        <f aca="false">IFERROR(INDEX(Static!$I$5:$L$15,MATCH(AA55,Static!$I$5:$I$15,0),4),"Y")</f>
        <v>Y</v>
      </c>
      <c r="Q55" s="60" t="str">
        <f aca="false">IF(D55&gt;(($A$14-WEEKDAY($A$14,2))-7*$D$15),"Y","N")</f>
        <v>N</v>
      </c>
      <c r="R55" s="58" t="str">
        <f aca="false">IF(AB55&lt;&gt;"","Y","N")</f>
        <v>N</v>
      </c>
      <c r="S55" s="60" t="str">
        <f aca="false">IF(AND(Q55="Y",R55="N"),"Y","N")</f>
        <v>N</v>
      </c>
      <c r="T55" s="58" t="str">
        <f aca="false">IF(OR(Y55="Y",Y55="N"),Y55,IF(AND(P55="Y", OR(Q55="Y",S55="Y")),"Y","N"))</f>
        <v>N</v>
      </c>
      <c r="U55" s="60" t="str">
        <f aca="false">"Y"</f>
        <v>Y</v>
      </c>
      <c r="V55" s="61" t="str">
        <f aca="false">" -  "&amp;O55&amp;AJ55&amp;AK55&amp;AB55</f>
        <v> -  Z</v>
      </c>
      <c r="W55" s="60" t="str">
        <f aca="false">IFERROR(VLOOKUP(WEEKDAY(X55),Static!$AL$3:$AM$11,2,0),"")</f>
        <v>Sat</v>
      </c>
      <c r="X55" s="58" t="n">
        <f aca="false">IF(AD55&lt;&gt;"",AS55,0)</f>
        <v>0</v>
      </c>
      <c r="Y55" s="40"/>
      <c r="Z55" s="40"/>
      <c r="AA55" s="62"/>
      <c r="AB55" s="64"/>
      <c r="AC55" s="65"/>
      <c r="AD55" s="40"/>
      <c r="AE55" s="67"/>
      <c r="AF55" s="68"/>
      <c r="AG55" s="69" t="str">
        <f aca="false">IF(AB55="","",AE55*AF55/8)</f>
        <v/>
      </c>
      <c r="AH55" s="40"/>
      <c r="AI55" s="40"/>
      <c r="AJ55" s="40"/>
      <c r="AK55" s="63"/>
      <c r="AL55" s="65"/>
      <c r="AM55" s="64"/>
      <c r="AN55" s="65"/>
      <c r="AO55" s="60" t="n">
        <f aca="false">SUM(F55:I55)</f>
        <v>0</v>
      </c>
      <c r="AP55" s="66" t="n">
        <f aca="false">IF(AB55="",1,IF(K55&lt;&gt;0,(G55*0.5+J55)/K55,1))</f>
        <v>1</v>
      </c>
      <c r="AQ55" s="55" t="str">
        <f aca="false">IF(AM55="","",IF(ISERROR(FIND(CHAR(10),AM55,1)),AM55,LEFT(AM55,FIND(CHAR(10),AM55,1))))</f>
        <v/>
      </c>
      <c r="AR55" s="56" t="str">
        <f aca="false">IF(AM55="","",IFERROR(RIGHT(AM55,LEN(AM55)-FIND("@@@",SUBSTITUTE(AM55,CHAR(10),"@@@",LEN(AM55)-LEN(SUBSTITUTE(AM55,CHAR(10),""))),1)),AM55))</f>
        <v/>
      </c>
      <c r="AS55" s="57" t="str">
        <f aca="false">IFERROR(DATE(("20"&amp;MID(AQ55,7,2))*1,MID(AQ55,4,2)*1,MID(AQ55,1,2)*1),"")</f>
        <v/>
      </c>
      <c r="AT55" s="57" t="str">
        <f aca="false">IFERROR(DATE(("20"&amp;MID(AR55,7,2))*1,MID(AR55,4,2)*1,MID(AR55,1,2)*1),"")</f>
        <v/>
      </c>
      <c r="AU55" s="64" t="s">
        <v>364</v>
      </c>
    </row>
    <row r="56" customFormat="false" ht="12.75" hidden="false" customHeight="true" outlineLevel="0" collapsed="false">
      <c r="A56" s="54"/>
      <c r="B56" s="58" t="str">
        <f aca="false">IF(AH56="","tbc",AH56)</f>
        <v>tbc</v>
      </c>
      <c r="C56" s="58" t="str">
        <f aca="false">IF(AI56="","VNT",AI56)</f>
        <v>VNT</v>
      </c>
      <c r="D56" s="58" t="n">
        <f aca="false">MAX(X56,IF(AT56="none",X56,AT56))</f>
        <v>0</v>
      </c>
      <c r="E56" s="59" t="n">
        <f aca="false">IFERROR(DAYS360(X56,D56),0)</f>
        <v>0</v>
      </c>
      <c r="F56" s="59" t="n">
        <f aca="false">((LEN($AN56)-LEN(SUBSTITUTE($AN56,CHAR(10)&amp;". ","")))/3)+IF(LEFT(TRIM($AN56),2)=". ",1,0)</f>
        <v>0</v>
      </c>
      <c r="G56" s="59" t="n">
        <f aca="false">((LEN($AN56)-LEN(SUBSTITUTE($AN56,CHAR(10)&amp;"/ ","")))/3)+IF(LEFT(TRIM($AN56),2)="/ ",1,0)</f>
        <v>0</v>
      </c>
      <c r="H56" s="59" t="n">
        <f aca="false">((LEN($AN56)-LEN(SUBSTITUTE($AN56,CHAR(10)&amp;"~ ","")))/3)+IF(LEFT(TRIM($AN56),2)="~ ",1,0)</f>
        <v>0</v>
      </c>
      <c r="I56" s="59" t="n">
        <f aca="false">((LEN($AN56)-LEN(SUBSTITUTE($AN56,CHAR(10)&amp;"! ","")))/3)+IF(LEFT(TRIM($AN56),2)="! ",1,0)</f>
        <v>0</v>
      </c>
      <c r="J56" s="59" t="n">
        <f aca="false">((LEN($AN56)-LEN(SUBSTITUTE($AN56,CHAR(10)&amp;"x ","")))/3)+IF(LEFT(TRIM($AN56),2)="x ",1,0)</f>
        <v>0</v>
      </c>
      <c r="K56" s="59" t="n">
        <f aca="false">SUM(F56:J56)</f>
        <v>0</v>
      </c>
      <c r="L56" s="60" t="n">
        <f aca="false">YEAR(D56)</f>
        <v>1899</v>
      </c>
      <c r="M56" s="60" t="str">
        <f aca="false">VLOOKUP(MONTH(D56),Static!$AJ$3:$AK$16,2,0)</f>
        <v>Dec</v>
      </c>
      <c r="N56" s="60" t="n">
        <f aca="false">WEEKNUM(D56,1)</f>
        <v>52</v>
      </c>
      <c r="O56" s="60" t="str">
        <f aca="false">IFERROR(INDEX(Static!$I$5:$L$15,MATCH(AA56,Static!$I$5:$I$15,0),3),"Z")</f>
        <v>Z</v>
      </c>
      <c r="P56" s="60" t="str">
        <f aca="false">IFERROR(INDEX(Static!$I$5:$L$15,MATCH(AA56,Static!$I$5:$I$15,0),4),"Y")</f>
        <v>Y</v>
      </c>
      <c r="Q56" s="60" t="str">
        <f aca="false">IF(D56&gt;(($A$14-WEEKDAY($A$14,2))-7*$D$15),"Y","N")</f>
        <v>N</v>
      </c>
      <c r="R56" s="58" t="str">
        <f aca="false">IF(AB56&lt;&gt;"","Y","N")</f>
        <v>N</v>
      </c>
      <c r="S56" s="60" t="str">
        <f aca="false">IF(AND(Q56="Y",R56="N"),"Y","N")</f>
        <v>N</v>
      </c>
      <c r="T56" s="58" t="str">
        <f aca="false">IF(OR(Y56="Y",Y56="N"),Y56,IF(AND(P56="Y", OR(Q56="Y",S56="Y")),"Y","N"))</f>
        <v>N</v>
      </c>
      <c r="U56" s="60" t="str">
        <f aca="false">"Y"</f>
        <v>Y</v>
      </c>
      <c r="V56" s="61" t="str">
        <f aca="false">" -  "&amp;O56&amp;AJ56&amp;AK56&amp;AB56</f>
        <v> -  Z</v>
      </c>
      <c r="W56" s="60" t="str">
        <f aca="false">IFERROR(VLOOKUP(WEEKDAY(X56),Static!$AL$3:$AM$11,2,0),"")</f>
        <v>Sat</v>
      </c>
      <c r="X56" s="58" t="n">
        <f aca="false">IF(AD56&lt;&gt;"",AS56,0)</f>
        <v>0</v>
      </c>
      <c r="Y56" s="40"/>
      <c r="Z56" s="40"/>
      <c r="AA56" s="62"/>
      <c r="AB56" s="64"/>
      <c r="AC56" s="65"/>
      <c r="AD56" s="40"/>
      <c r="AE56" s="67"/>
      <c r="AF56" s="68"/>
      <c r="AG56" s="69" t="str">
        <f aca="false">IF(AB56="","",AE56*AF56/8)</f>
        <v/>
      </c>
      <c r="AH56" s="40"/>
      <c r="AI56" s="40"/>
      <c r="AJ56" s="40"/>
      <c r="AK56" s="63"/>
      <c r="AL56" s="65"/>
      <c r="AM56" s="64"/>
      <c r="AN56" s="65"/>
      <c r="AO56" s="60" t="n">
        <f aca="false">SUM(F56:I56)</f>
        <v>0</v>
      </c>
      <c r="AP56" s="66" t="n">
        <f aca="false">IF(AB56="",1,IF(K56&lt;&gt;0,(G56*0.5+J56)/K56,1))</f>
        <v>1</v>
      </c>
      <c r="AQ56" s="55" t="str">
        <f aca="false">IF(AM56="","",IF(ISERROR(FIND(CHAR(10),AM56,1)),AM56,LEFT(AM56,FIND(CHAR(10),AM56,1))))</f>
        <v/>
      </c>
      <c r="AR56" s="56" t="str">
        <f aca="false">IF(AM56="","",IFERROR(RIGHT(AM56,LEN(AM56)-FIND("@@@",SUBSTITUTE(AM56,CHAR(10),"@@@",LEN(AM56)-LEN(SUBSTITUTE(AM56,CHAR(10),""))),1)),AM56))</f>
        <v/>
      </c>
      <c r="AS56" s="57" t="str">
        <f aca="false">IFERROR(DATE(("20"&amp;MID(AQ56,7,2))*1,MID(AQ56,4,2)*1,MID(AQ56,1,2)*1),"")</f>
        <v/>
      </c>
      <c r="AT56" s="57" t="str">
        <f aca="false">IFERROR(DATE(("20"&amp;MID(AR56,7,2))*1,MID(AR56,4,2)*1,MID(AR56,1,2)*1),"")</f>
        <v/>
      </c>
      <c r="AU56" s="64" t="s">
        <v>364</v>
      </c>
    </row>
    <row r="57" customFormat="false" ht="12.75" hidden="false" customHeight="true" outlineLevel="0" collapsed="false">
      <c r="A57" s="54"/>
      <c r="B57" s="58" t="str">
        <f aca="false">IF(AH57="","tbc",AH57)</f>
        <v>tbc</v>
      </c>
      <c r="C57" s="58" t="str">
        <f aca="false">IF(AI57="","VNT",AI57)</f>
        <v>VNT</v>
      </c>
      <c r="D57" s="58" t="n">
        <f aca="false">MAX(X57,IF(AT57="none",X57,AT57))</f>
        <v>0</v>
      </c>
      <c r="E57" s="59" t="n">
        <f aca="false">IFERROR(DAYS360(X57,D57),0)</f>
        <v>0</v>
      </c>
      <c r="F57" s="59" t="n">
        <f aca="false">((LEN($AN57)-LEN(SUBSTITUTE($AN57,CHAR(10)&amp;". ","")))/3)+IF(LEFT(TRIM($AN57),2)=". ",1,0)</f>
        <v>0</v>
      </c>
      <c r="G57" s="59" t="n">
        <f aca="false">((LEN($AN57)-LEN(SUBSTITUTE($AN57,CHAR(10)&amp;"/ ","")))/3)+IF(LEFT(TRIM($AN57),2)="/ ",1,0)</f>
        <v>0</v>
      </c>
      <c r="H57" s="59" t="n">
        <f aca="false">((LEN($AN57)-LEN(SUBSTITUTE($AN57,CHAR(10)&amp;"~ ","")))/3)+IF(LEFT(TRIM($AN57),2)="~ ",1,0)</f>
        <v>0</v>
      </c>
      <c r="I57" s="59" t="n">
        <f aca="false">((LEN($AN57)-LEN(SUBSTITUTE($AN57,CHAR(10)&amp;"! ","")))/3)+IF(LEFT(TRIM($AN57),2)="! ",1,0)</f>
        <v>0</v>
      </c>
      <c r="J57" s="59" t="n">
        <f aca="false">((LEN($AN57)-LEN(SUBSTITUTE($AN57,CHAR(10)&amp;"x ","")))/3)+IF(LEFT(TRIM($AN57),2)="x ",1,0)</f>
        <v>0</v>
      </c>
      <c r="K57" s="59" t="n">
        <f aca="false">SUM(F57:J57)</f>
        <v>0</v>
      </c>
      <c r="L57" s="60" t="n">
        <f aca="false">YEAR(D57)</f>
        <v>1899</v>
      </c>
      <c r="M57" s="60" t="str">
        <f aca="false">VLOOKUP(MONTH(D57),Static!$AJ$3:$AK$16,2,0)</f>
        <v>Dec</v>
      </c>
      <c r="N57" s="60" t="n">
        <f aca="false">WEEKNUM(D57,1)</f>
        <v>52</v>
      </c>
      <c r="O57" s="60" t="str">
        <f aca="false">IFERROR(INDEX(Static!$I$5:$L$15,MATCH(AA57,Static!$I$5:$I$15,0),3),"Z")</f>
        <v>Z</v>
      </c>
      <c r="P57" s="60" t="str">
        <f aca="false">IFERROR(INDEX(Static!$I$5:$L$15,MATCH(AA57,Static!$I$5:$I$15,0),4),"Y")</f>
        <v>Y</v>
      </c>
      <c r="Q57" s="60" t="str">
        <f aca="false">IF(D57&gt;(($A$14-WEEKDAY($A$14,2))-7*$D$15),"Y","N")</f>
        <v>N</v>
      </c>
      <c r="R57" s="58" t="str">
        <f aca="false">IF(AB57&lt;&gt;"","Y","N")</f>
        <v>N</v>
      </c>
      <c r="S57" s="60" t="str">
        <f aca="false">IF(AND(Q57="Y",R57="N"),"Y","N")</f>
        <v>N</v>
      </c>
      <c r="T57" s="58" t="str">
        <f aca="false">IF(OR(Y57="Y",Y57="N"),Y57,IF(AND(P57="Y", OR(Q57="Y",S57="Y")),"Y","N"))</f>
        <v>N</v>
      </c>
      <c r="U57" s="60" t="str">
        <f aca="false">"Y"</f>
        <v>Y</v>
      </c>
      <c r="V57" s="61" t="str">
        <f aca="false">" -  "&amp;O57&amp;AJ57&amp;AK57&amp;AB57</f>
        <v> -  Z</v>
      </c>
      <c r="W57" s="60" t="str">
        <f aca="false">IFERROR(VLOOKUP(WEEKDAY(X57),Static!$AL$3:$AM$11,2,0),"")</f>
        <v>Sat</v>
      </c>
      <c r="X57" s="58" t="n">
        <f aca="false">IF(AD57&lt;&gt;"",AS57,0)</f>
        <v>0</v>
      </c>
      <c r="Y57" s="40"/>
      <c r="Z57" s="40"/>
      <c r="AA57" s="62"/>
      <c r="AB57" s="64"/>
      <c r="AC57" s="65"/>
      <c r="AD57" s="40"/>
      <c r="AE57" s="67"/>
      <c r="AF57" s="68"/>
      <c r="AG57" s="69" t="str">
        <f aca="false">IF(AB57="","",AE57*AF57/8)</f>
        <v/>
      </c>
      <c r="AH57" s="40"/>
      <c r="AI57" s="40"/>
      <c r="AJ57" s="40"/>
      <c r="AK57" s="63"/>
      <c r="AL57" s="65"/>
      <c r="AM57" s="64"/>
      <c r="AN57" s="65"/>
      <c r="AO57" s="60" t="n">
        <f aca="false">SUM(F57:I57)</f>
        <v>0</v>
      </c>
      <c r="AP57" s="66" t="n">
        <f aca="false">IF(AB57="",1,IF(K57&lt;&gt;0,(G57*0.5+J57)/K57,1))</f>
        <v>1</v>
      </c>
      <c r="AQ57" s="55" t="str">
        <f aca="false">IF(AM57="","",IF(ISERROR(FIND(CHAR(10),AM57,1)),AM57,LEFT(AM57,FIND(CHAR(10),AM57,1))))</f>
        <v/>
      </c>
      <c r="AR57" s="56" t="str">
        <f aca="false">IF(AM57="","",IFERROR(RIGHT(AM57,LEN(AM57)-FIND("@@@",SUBSTITUTE(AM57,CHAR(10),"@@@",LEN(AM57)-LEN(SUBSTITUTE(AM57,CHAR(10),""))),1)),AM57))</f>
        <v/>
      </c>
      <c r="AS57" s="57" t="str">
        <f aca="false">IFERROR(DATE(("20"&amp;MID(AQ57,7,2))*1,MID(AQ57,4,2)*1,MID(AQ57,1,2)*1),"")</f>
        <v/>
      </c>
      <c r="AT57" s="57" t="str">
        <f aca="false">IFERROR(DATE(("20"&amp;MID(AR57,7,2))*1,MID(AR57,4,2)*1,MID(AR57,1,2)*1),"")</f>
        <v/>
      </c>
      <c r="AU57" s="64" t="s">
        <v>364</v>
      </c>
    </row>
    <row r="58" customFormat="false" ht="12.75" hidden="false" customHeight="true" outlineLevel="0" collapsed="false">
      <c r="A58" s="54"/>
      <c r="B58" s="58" t="str">
        <f aca="false">IF(AH58="","tbc",AH58)</f>
        <v>tbc</v>
      </c>
      <c r="C58" s="58" t="str">
        <f aca="false">IF(AI58="","VNT",AI58)</f>
        <v>VNT</v>
      </c>
      <c r="D58" s="58" t="n">
        <f aca="false">MAX(X58,IF(AT58="none",X58,AT58))</f>
        <v>0</v>
      </c>
      <c r="E58" s="59" t="n">
        <f aca="false">IFERROR(DAYS360(X58,D58),0)</f>
        <v>0</v>
      </c>
      <c r="F58" s="59" t="n">
        <f aca="false">((LEN($AN58)-LEN(SUBSTITUTE($AN58,CHAR(10)&amp;". ","")))/3)+IF(LEFT(TRIM($AN58),2)=". ",1,0)</f>
        <v>0</v>
      </c>
      <c r="G58" s="59" t="n">
        <f aca="false">((LEN($AN58)-LEN(SUBSTITUTE($AN58,CHAR(10)&amp;"/ ","")))/3)+IF(LEFT(TRIM($AN58),2)="/ ",1,0)</f>
        <v>0</v>
      </c>
      <c r="H58" s="59" t="n">
        <f aca="false">((LEN($AN58)-LEN(SUBSTITUTE($AN58,CHAR(10)&amp;"~ ","")))/3)+IF(LEFT(TRIM($AN58),2)="~ ",1,0)</f>
        <v>0</v>
      </c>
      <c r="I58" s="59" t="n">
        <f aca="false">((LEN($AN58)-LEN(SUBSTITUTE($AN58,CHAR(10)&amp;"! ","")))/3)+IF(LEFT(TRIM($AN58),2)="! ",1,0)</f>
        <v>0</v>
      </c>
      <c r="J58" s="59" t="n">
        <f aca="false">((LEN($AN58)-LEN(SUBSTITUTE($AN58,CHAR(10)&amp;"x ","")))/3)+IF(LEFT(TRIM($AN58),2)="x ",1,0)</f>
        <v>0</v>
      </c>
      <c r="K58" s="59" t="n">
        <f aca="false">SUM(F58:J58)</f>
        <v>0</v>
      </c>
      <c r="L58" s="60" t="n">
        <f aca="false">YEAR(D58)</f>
        <v>1899</v>
      </c>
      <c r="M58" s="60" t="str">
        <f aca="false">VLOOKUP(MONTH(D58),Static!$AJ$3:$AK$16,2,0)</f>
        <v>Dec</v>
      </c>
      <c r="N58" s="60" t="n">
        <f aca="false">WEEKNUM(D58,1)</f>
        <v>52</v>
      </c>
      <c r="O58" s="60" t="str">
        <f aca="false">IFERROR(INDEX(Static!$I$5:$L$15,MATCH(AA58,Static!$I$5:$I$15,0),3),"Z")</f>
        <v>Z</v>
      </c>
      <c r="P58" s="60" t="str">
        <f aca="false">IFERROR(INDEX(Static!$I$5:$L$15,MATCH(AA58,Static!$I$5:$I$15,0),4),"Y")</f>
        <v>Y</v>
      </c>
      <c r="Q58" s="60" t="str">
        <f aca="false">IF(D58&gt;(($A$14-WEEKDAY($A$14,2))-7*$D$15),"Y","N")</f>
        <v>N</v>
      </c>
      <c r="R58" s="58" t="str">
        <f aca="false">IF(AB58&lt;&gt;"","Y","N")</f>
        <v>N</v>
      </c>
      <c r="S58" s="60" t="str">
        <f aca="false">IF(AND(Q58="Y",R58="N"),"Y","N")</f>
        <v>N</v>
      </c>
      <c r="T58" s="58" t="str">
        <f aca="false">IF(OR(Y58="Y",Y58="N"),Y58,IF(AND(P58="Y", OR(Q58="Y",S58="Y")),"Y","N"))</f>
        <v>N</v>
      </c>
      <c r="U58" s="60" t="str">
        <f aca="false">"Y"</f>
        <v>Y</v>
      </c>
      <c r="V58" s="61" t="str">
        <f aca="false">" -  "&amp;O58&amp;AJ58&amp;AK58&amp;AB58</f>
        <v> -  Z</v>
      </c>
      <c r="W58" s="60" t="str">
        <f aca="false">IFERROR(VLOOKUP(WEEKDAY(X58),Static!$AL$3:$AM$11,2,0),"")</f>
        <v>Sat</v>
      </c>
      <c r="X58" s="58" t="n">
        <f aca="false">IF(AD58&lt;&gt;"",AS58,0)</f>
        <v>0</v>
      </c>
      <c r="Y58" s="40"/>
      <c r="Z58" s="40"/>
      <c r="AA58" s="62"/>
      <c r="AB58" s="64"/>
      <c r="AC58" s="65"/>
      <c r="AD58" s="40"/>
      <c r="AE58" s="67"/>
      <c r="AF58" s="68"/>
      <c r="AG58" s="69" t="str">
        <f aca="false">IF(AB58="","",AE58*AF58/8)</f>
        <v/>
      </c>
      <c r="AH58" s="40"/>
      <c r="AI58" s="40"/>
      <c r="AJ58" s="40"/>
      <c r="AK58" s="63"/>
      <c r="AL58" s="65"/>
      <c r="AM58" s="64"/>
      <c r="AN58" s="65"/>
      <c r="AO58" s="60" t="n">
        <f aca="false">SUM(F58:I58)</f>
        <v>0</v>
      </c>
      <c r="AP58" s="66" t="n">
        <f aca="false">IF(AB58="",1,IF(K58&lt;&gt;0,(G58*0.5+J58)/K58,1))</f>
        <v>1</v>
      </c>
      <c r="AQ58" s="55" t="str">
        <f aca="false">IF(AM58="","",IF(ISERROR(FIND(CHAR(10),AM58,1)),AM58,LEFT(AM58,FIND(CHAR(10),AM58,1))))</f>
        <v/>
      </c>
      <c r="AR58" s="56" t="str">
        <f aca="false">IF(AM58="","",IFERROR(RIGHT(AM58,LEN(AM58)-FIND("@@@",SUBSTITUTE(AM58,CHAR(10),"@@@",LEN(AM58)-LEN(SUBSTITUTE(AM58,CHAR(10),""))),1)),AM58))</f>
        <v/>
      </c>
      <c r="AS58" s="57" t="str">
        <f aca="false">IFERROR(DATE(("20"&amp;MID(AQ58,7,2))*1,MID(AQ58,4,2)*1,MID(AQ58,1,2)*1),"")</f>
        <v/>
      </c>
      <c r="AT58" s="57" t="str">
        <f aca="false">IFERROR(DATE(("20"&amp;MID(AR58,7,2))*1,MID(AR58,4,2)*1,MID(AR58,1,2)*1),"")</f>
        <v/>
      </c>
      <c r="AU58" s="64" t="s">
        <v>364</v>
      </c>
    </row>
    <row r="59" customFormat="false" ht="12.75" hidden="false" customHeight="true" outlineLevel="0" collapsed="false">
      <c r="A59" s="54"/>
      <c r="B59" s="58" t="str">
        <f aca="false">IF(AH59="","tbc",AH59)</f>
        <v>tbc</v>
      </c>
      <c r="C59" s="58" t="str">
        <f aca="false">IF(AI59="","VNT",AI59)</f>
        <v>VNT</v>
      </c>
      <c r="D59" s="58" t="n">
        <f aca="false">MAX(X59,IF(AT59="none",X59,AT59))</f>
        <v>0</v>
      </c>
      <c r="E59" s="59" t="n">
        <f aca="false">IFERROR(DAYS360(X59,D59),0)</f>
        <v>0</v>
      </c>
      <c r="F59" s="59" t="n">
        <f aca="false">((LEN($AN59)-LEN(SUBSTITUTE($AN59,CHAR(10)&amp;". ","")))/3)+IF(LEFT(TRIM($AN59),2)=". ",1,0)</f>
        <v>0</v>
      </c>
      <c r="G59" s="59" t="n">
        <f aca="false">((LEN($AN59)-LEN(SUBSTITUTE($AN59,CHAR(10)&amp;"/ ","")))/3)+IF(LEFT(TRIM($AN59),2)="/ ",1,0)</f>
        <v>0</v>
      </c>
      <c r="H59" s="59" t="n">
        <f aca="false">((LEN($AN59)-LEN(SUBSTITUTE($AN59,CHAR(10)&amp;"~ ","")))/3)+IF(LEFT(TRIM($AN59),2)="~ ",1,0)</f>
        <v>0</v>
      </c>
      <c r="I59" s="59" t="n">
        <f aca="false">((LEN($AN59)-LEN(SUBSTITUTE($AN59,CHAR(10)&amp;"! ","")))/3)+IF(LEFT(TRIM($AN59),2)="! ",1,0)</f>
        <v>0</v>
      </c>
      <c r="J59" s="59" t="n">
        <f aca="false">((LEN($AN59)-LEN(SUBSTITUTE($AN59,CHAR(10)&amp;"x ","")))/3)+IF(LEFT(TRIM($AN59),2)="x ",1,0)</f>
        <v>0</v>
      </c>
      <c r="K59" s="59" t="n">
        <f aca="false">SUM(F59:J59)</f>
        <v>0</v>
      </c>
      <c r="L59" s="60" t="n">
        <f aca="false">YEAR(D59)</f>
        <v>1899</v>
      </c>
      <c r="M59" s="60" t="str">
        <f aca="false">VLOOKUP(MONTH(D59),Static!$AJ$3:$AK$16,2,0)</f>
        <v>Dec</v>
      </c>
      <c r="N59" s="60" t="n">
        <f aca="false">WEEKNUM(D59,1)</f>
        <v>52</v>
      </c>
      <c r="O59" s="60" t="str">
        <f aca="false">IFERROR(INDEX(Static!$I$5:$L$15,MATCH(AA59,Static!$I$5:$I$15,0),3),"Z")</f>
        <v>Z</v>
      </c>
      <c r="P59" s="60" t="str">
        <f aca="false">IFERROR(INDEX(Static!$I$5:$L$15,MATCH(AA59,Static!$I$5:$I$15,0),4),"Y")</f>
        <v>Y</v>
      </c>
      <c r="Q59" s="60" t="str">
        <f aca="false">IF(D59&gt;(($A$14-WEEKDAY($A$14,2))-7*$D$15),"Y","N")</f>
        <v>N</v>
      </c>
      <c r="R59" s="58" t="str">
        <f aca="false">IF(AB59&lt;&gt;"","Y","N")</f>
        <v>N</v>
      </c>
      <c r="S59" s="60" t="str">
        <f aca="false">IF(AND(Q59="Y",R59="N"),"Y","N")</f>
        <v>N</v>
      </c>
      <c r="T59" s="58" t="str">
        <f aca="false">IF(OR(Y59="Y",Y59="N"),Y59,IF(AND(P59="Y", OR(Q59="Y",S59="Y")),"Y","N"))</f>
        <v>N</v>
      </c>
      <c r="U59" s="60" t="str">
        <f aca="false">"Y"</f>
        <v>Y</v>
      </c>
      <c r="V59" s="61" t="str">
        <f aca="false">" -  "&amp;O59&amp;AJ59&amp;AK59&amp;AB59</f>
        <v> -  Z</v>
      </c>
      <c r="W59" s="60" t="str">
        <f aca="false">IFERROR(VLOOKUP(WEEKDAY(X59),Static!$AL$3:$AM$11,2,0),"")</f>
        <v>Sat</v>
      </c>
      <c r="X59" s="58" t="n">
        <f aca="false">IF(AD59&lt;&gt;"",AS59,0)</f>
        <v>0</v>
      </c>
      <c r="Y59" s="40"/>
      <c r="Z59" s="40"/>
      <c r="AA59" s="62"/>
      <c r="AB59" s="64"/>
      <c r="AC59" s="65"/>
      <c r="AD59" s="40"/>
      <c r="AE59" s="67"/>
      <c r="AF59" s="68"/>
      <c r="AG59" s="69" t="str">
        <f aca="false">IF(AB59="","",AE59*AF59/8)</f>
        <v/>
      </c>
      <c r="AH59" s="40"/>
      <c r="AI59" s="40"/>
      <c r="AJ59" s="40"/>
      <c r="AK59" s="63"/>
      <c r="AL59" s="65"/>
      <c r="AM59" s="64"/>
      <c r="AN59" s="64"/>
      <c r="AO59" s="60" t="n">
        <f aca="false">SUM(F59:I59)</f>
        <v>0</v>
      </c>
      <c r="AP59" s="66" t="n">
        <f aca="false">IF(AB59="",1,IF(K59&lt;&gt;0,(G59*0.5+J59)/K59,1))</f>
        <v>1</v>
      </c>
      <c r="AQ59" s="55" t="str">
        <f aca="false">IF(AM59="","",IF(ISERROR(FIND(CHAR(10),AM59,1)),AM59,LEFT(AM59,FIND(CHAR(10),AM59,1))))</f>
        <v/>
      </c>
      <c r="AR59" s="56" t="str">
        <f aca="false">IF(AM59="","",IFERROR(RIGHT(AM59,LEN(AM59)-FIND("@@@",SUBSTITUTE(AM59,CHAR(10),"@@@",LEN(AM59)-LEN(SUBSTITUTE(AM59,CHAR(10),""))),1)),AM59))</f>
        <v/>
      </c>
      <c r="AS59" s="57" t="str">
        <f aca="false">IFERROR(DATE(("20"&amp;MID(AQ59,7,2))*1,MID(AQ59,4,2)*1,MID(AQ59,1,2)*1),"")</f>
        <v/>
      </c>
      <c r="AT59" s="57" t="str">
        <f aca="false">IFERROR(DATE(("20"&amp;MID(AR59,7,2))*1,MID(AR59,4,2)*1,MID(AR59,1,2)*1),"")</f>
        <v/>
      </c>
      <c r="AU59" s="64" t="s">
        <v>364</v>
      </c>
    </row>
    <row r="60" customFormat="false" ht="12.75" hidden="false" customHeight="true" outlineLevel="0" collapsed="false">
      <c r="A60" s="54"/>
      <c r="B60" s="58" t="str">
        <f aca="false">IF(AH60="","tbc",AH60)</f>
        <v>tbc</v>
      </c>
      <c r="C60" s="58" t="str">
        <f aca="false">IF(AI60="","VNT",AI60)</f>
        <v>VNT</v>
      </c>
      <c r="D60" s="58" t="n">
        <f aca="false">MAX(X60,IF(AT60="none",X60,AT60))</f>
        <v>0</v>
      </c>
      <c r="E60" s="59" t="n">
        <f aca="false">IFERROR(DAYS360(X60,D60),0)</f>
        <v>0</v>
      </c>
      <c r="F60" s="59" t="n">
        <f aca="false">((LEN($AN60)-LEN(SUBSTITUTE($AN60,CHAR(10)&amp;". ","")))/3)+IF(LEFT(TRIM($AN60),2)=". ",1,0)</f>
        <v>0</v>
      </c>
      <c r="G60" s="59" t="n">
        <f aca="false">((LEN($AN60)-LEN(SUBSTITUTE($AN60,CHAR(10)&amp;"/ ","")))/3)+IF(LEFT(TRIM($AN60),2)="/ ",1,0)</f>
        <v>0</v>
      </c>
      <c r="H60" s="59" t="n">
        <f aca="false">((LEN($AN60)-LEN(SUBSTITUTE($AN60,CHAR(10)&amp;"~ ","")))/3)+IF(LEFT(TRIM($AN60),2)="~ ",1,0)</f>
        <v>0</v>
      </c>
      <c r="I60" s="59" t="n">
        <f aca="false">((LEN($AN60)-LEN(SUBSTITUTE($AN60,CHAR(10)&amp;"! ","")))/3)+IF(LEFT(TRIM($AN60),2)="! ",1,0)</f>
        <v>0</v>
      </c>
      <c r="J60" s="59" t="n">
        <f aca="false">((LEN($AN60)-LEN(SUBSTITUTE($AN60,CHAR(10)&amp;"x ","")))/3)+IF(LEFT(TRIM($AN60),2)="x ",1,0)</f>
        <v>0</v>
      </c>
      <c r="K60" s="59" t="n">
        <f aca="false">SUM(F60:J60)</f>
        <v>0</v>
      </c>
      <c r="L60" s="60" t="n">
        <f aca="false">YEAR(D60)</f>
        <v>1899</v>
      </c>
      <c r="M60" s="60" t="str">
        <f aca="false">VLOOKUP(MONTH(D60),Static!$AJ$3:$AK$16,2,0)</f>
        <v>Dec</v>
      </c>
      <c r="N60" s="60" t="n">
        <f aca="false">WEEKNUM(D60,1)</f>
        <v>52</v>
      </c>
      <c r="O60" s="60" t="str">
        <f aca="false">IFERROR(INDEX(Static!$I$5:$L$15,MATCH(AA60,Static!$I$5:$I$15,0),3),"Z")</f>
        <v>Z</v>
      </c>
      <c r="P60" s="60" t="str">
        <f aca="false">IFERROR(INDEX(Static!$I$5:$L$15,MATCH(AA60,Static!$I$5:$I$15,0),4),"Y")</f>
        <v>Y</v>
      </c>
      <c r="Q60" s="60" t="str">
        <f aca="false">IF(D60&gt;(($A$14-WEEKDAY($A$14,2))-7*$D$15),"Y","N")</f>
        <v>N</v>
      </c>
      <c r="R60" s="58" t="str">
        <f aca="false">IF(AB60&lt;&gt;"","Y","N")</f>
        <v>N</v>
      </c>
      <c r="S60" s="60" t="str">
        <f aca="false">IF(AND(Q60="Y",R60="N"),"Y","N")</f>
        <v>N</v>
      </c>
      <c r="T60" s="58" t="str">
        <f aca="false">IF(OR(Y60="Y",Y60="N"),Y60,IF(AND(P60="Y", OR(Q60="Y",S60="Y")),"Y","N"))</f>
        <v>N</v>
      </c>
      <c r="U60" s="60" t="str">
        <f aca="false">"Y"</f>
        <v>Y</v>
      </c>
      <c r="V60" s="61" t="str">
        <f aca="false">" -  "&amp;O60&amp;AJ60&amp;AK60&amp;AB60</f>
        <v> -  Z</v>
      </c>
      <c r="W60" s="60" t="str">
        <f aca="false">IFERROR(VLOOKUP(WEEKDAY(X60),Static!$AL$3:$AM$11,2,0),"")</f>
        <v>Sat</v>
      </c>
      <c r="X60" s="58" t="n">
        <f aca="false">IF(AD60&lt;&gt;"",AS60,0)</f>
        <v>0</v>
      </c>
      <c r="Y60" s="40"/>
      <c r="Z60" s="40"/>
      <c r="AA60" s="62"/>
      <c r="AB60" s="64"/>
      <c r="AC60" s="65"/>
      <c r="AD60" s="40"/>
      <c r="AE60" s="67"/>
      <c r="AF60" s="68"/>
      <c r="AG60" s="69" t="str">
        <f aca="false">IF(AB60="","",AE60*AF60/8)</f>
        <v/>
      </c>
      <c r="AH60" s="40"/>
      <c r="AI60" s="40"/>
      <c r="AJ60" s="40"/>
      <c r="AK60" s="63"/>
      <c r="AL60" s="65"/>
      <c r="AM60" s="64"/>
      <c r="AN60" s="65"/>
      <c r="AO60" s="60" t="n">
        <f aca="false">SUM(F60:I60)</f>
        <v>0</v>
      </c>
      <c r="AP60" s="66" t="n">
        <f aca="false">IF(AB60="",1,IF(K60&lt;&gt;0,(G60*0.5+J60)/K60,1))</f>
        <v>1</v>
      </c>
      <c r="AQ60" s="55" t="str">
        <f aca="false">IF(AM60="","",IF(ISERROR(FIND(CHAR(10),AM60,1)),AM60,LEFT(AM60,FIND(CHAR(10),AM60,1))))</f>
        <v/>
      </c>
      <c r="AR60" s="56" t="str">
        <f aca="false">IF(AM60="","",IFERROR(RIGHT(AM60,LEN(AM60)-FIND("@@@",SUBSTITUTE(AM60,CHAR(10),"@@@",LEN(AM60)-LEN(SUBSTITUTE(AM60,CHAR(10),""))),1)),AM60))</f>
        <v/>
      </c>
      <c r="AS60" s="57" t="str">
        <f aca="false">IFERROR(DATE(("20"&amp;MID(AQ60,7,2))*1,MID(AQ60,4,2)*1,MID(AQ60,1,2)*1),"")</f>
        <v/>
      </c>
      <c r="AT60" s="57" t="str">
        <f aca="false">IFERROR(DATE(("20"&amp;MID(AR60,7,2))*1,MID(AR60,4,2)*1,MID(AR60,1,2)*1),"")</f>
        <v/>
      </c>
      <c r="AU60" s="64" t="s">
        <v>364</v>
      </c>
    </row>
    <row r="61" customFormat="false" ht="12.75" hidden="false" customHeight="true" outlineLevel="0" collapsed="false">
      <c r="A61" s="54"/>
      <c r="B61" s="58" t="str">
        <f aca="false">IF(AH61="","tbc",AH61)</f>
        <v>tbc</v>
      </c>
      <c r="C61" s="58" t="str">
        <f aca="false">IF(AI61="","VNT",AI61)</f>
        <v>VNT</v>
      </c>
      <c r="D61" s="58" t="n">
        <f aca="false">MAX(X61,IF(AT61="none",X61,AT61))</f>
        <v>0</v>
      </c>
      <c r="E61" s="59" t="n">
        <f aca="false">IFERROR(DAYS360(X61,D61),0)</f>
        <v>0</v>
      </c>
      <c r="F61" s="59" t="n">
        <f aca="false">((LEN($AN61)-LEN(SUBSTITUTE($AN61,CHAR(10)&amp;". ","")))/3)+IF(LEFT(TRIM($AN61),2)=". ",1,0)</f>
        <v>0</v>
      </c>
      <c r="G61" s="59" t="n">
        <f aca="false">((LEN($AN61)-LEN(SUBSTITUTE($AN61,CHAR(10)&amp;"/ ","")))/3)+IF(LEFT(TRIM($AN61),2)="/ ",1,0)</f>
        <v>0</v>
      </c>
      <c r="H61" s="59" t="n">
        <f aca="false">((LEN($AN61)-LEN(SUBSTITUTE($AN61,CHAR(10)&amp;"~ ","")))/3)+IF(LEFT(TRIM($AN61),2)="~ ",1,0)</f>
        <v>0</v>
      </c>
      <c r="I61" s="59" t="n">
        <f aca="false">((LEN($AN61)-LEN(SUBSTITUTE($AN61,CHAR(10)&amp;"! ","")))/3)+IF(LEFT(TRIM($AN61),2)="! ",1,0)</f>
        <v>0</v>
      </c>
      <c r="J61" s="59" t="n">
        <f aca="false">((LEN($AN61)-LEN(SUBSTITUTE($AN61,CHAR(10)&amp;"x ","")))/3)+IF(LEFT(TRIM($AN61),2)="x ",1,0)</f>
        <v>0</v>
      </c>
      <c r="K61" s="59" t="n">
        <f aca="false">SUM(F61:J61)</f>
        <v>0</v>
      </c>
      <c r="L61" s="60" t="n">
        <f aca="false">YEAR(D61)</f>
        <v>1899</v>
      </c>
      <c r="M61" s="60" t="str">
        <f aca="false">VLOOKUP(MONTH(D61),Static!$AJ$3:$AK$16,2,0)</f>
        <v>Dec</v>
      </c>
      <c r="N61" s="60" t="n">
        <f aca="false">WEEKNUM(D61,1)</f>
        <v>52</v>
      </c>
      <c r="O61" s="60" t="str">
        <f aca="false">IFERROR(INDEX(Static!$I$5:$L$15,MATCH(AA61,Static!$I$5:$I$15,0),3),"Z")</f>
        <v>Z</v>
      </c>
      <c r="P61" s="60" t="str">
        <f aca="false">IFERROR(INDEX(Static!$I$5:$L$15,MATCH(AA61,Static!$I$5:$I$15,0),4),"Y")</f>
        <v>Y</v>
      </c>
      <c r="Q61" s="60" t="str">
        <f aca="false">IF(D61&gt;(($A$14-WEEKDAY($A$14,2))-7*$D$15),"Y","N")</f>
        <v>N</v>
      </c>
      <c r="R61" s="58" t="str">
        <f aca="false">IF(AB61&lt;&gt;"","Y","N")</f>
        <v>N</v>
      </c>
      <c r="S61" s="60" t="str">
        <f aca="false">IF(AND(Q61="Y",R61="N"),"Y","N")</f>
        <v>N</v>
      </c>
      <c r="T61" s="58" t="str">
        <f aca="false">IF(OR(Y61="Y",Y61="N"),Y61,IF(AND(P61="Y", OR(Q61="Y",S61="Y")),"Y","N"))</f>
        <v>N</v>
      </c>
      <c r="U61" s="60" t="str">
        <f aca="false">"Y"</f>
        <v>Y</v>
      </c>
      <c r="V61" s="61" t="str">
        <f aca="false">" -  "&amp;O61&amp;AJ61&amp;AK61&amp;AB61</f>
        <v> -  Z</v>
      </c>
      <c r="W61" s="60" t="str">
        <f aca="false">IFERROR(VLOOKUP(WEEKDAY(X61),Static!$AL$3:$AM$11,2,0),"")</f>
        <v>Sat</v>
      </c>
      <c r="X61" s="58" t="n">
        <f aca="false">IF(AD61&lt;&gt;"",AS61,0)</f>
        <v>0</v>
      </c>
      <c r="Y61" s="40"/>
      <c r="Z61" s="40"/>
      <c r="AA61" s="62"/>
      <c r="AB61" s="64"/>
      <c r="AC61" s="64"/>
      <c r="AD61" s="40"/>
      <c r="AE61" s="67"/>
      <c r="AF61" s="68"/>
      <c r="AG61" s="69" t="str">
        <f aca="false">IF(AB61="","",AE61*AF61/8)</f>
        <v/>
      </c>
      <c r="AH61" s="40"/>
      <c r="AI61" s="40"/>
      <c r="AJ61" s="40"/>
      <c r="AK61" s="63"/>
      <c r="AL61" s="65"/>
      <c r="AM61" s="64"/>
      <c r="AN61" s="65"/>
      <c r="AO61" s="60" t="n">
        <f aca="false">SUM(F61:I61)</f>
        <v>0</v>
      </c>
      <c r="AP61" s="66" t="n">
        <f aca="false">IF(AB61="",1,IF(K61&lt;&gt;0,(G61*0.5+J61)/K61,1))</f>
        <v>1</v>
      </c>
      <c r="AQ61" s="55" t="str">
        <f aca="false">IF(AM61="","",IF(ISERROR(FIND(CHAR(10),AM61,1)),AM61,LEFT(AM61,FIND(CHAR(10),AM61,1))))</f>
        <v/>
      </c>
      <c r="AR61" s="56" t="str">
        <f aca="false">IF(AM61="","",IFERROR(RIGHT(AM61,LEN(AM61)-FIND("@@@",SUBSTITUTE(AM61,CHAR(10),"@@@",LEN(AM61)-LEN(SUBSTITUTE(AM61,CHAR(10),""))),1)),AM61))</f>
        <v/>
      </c>
      <c r="AS61" s="57" t="str">
        <f aca="false">IFERROR(DATE(("20"&amp;MID(AQ61,7,2))*1,MID(AQ61,4,2)*1,MID(AQ61,1,2)*1),"")</f>
        <v/>
      </c>
      <c r="AT61" s="57" t="str">
        <f aca="false">IFERROR(DATE(("20"&amp;MID(AR61,7,2))*1,MID(AR61,4,2)*1,MID(AR61,1,2)*1),"")</f>
        <v/>
      </c>
      <c r="AU61" s="64" t="s">
        <v>364</v>
      </c>
    </row>
    <row r="62" customFormat="false" ht="12.75" hidden="false" customHeight="true" outlineLevel="0" collapsed="false">
      <c r="A62" s="54"/>
      <c r="B62" s="58" t="str">
        <f aca="false">IF(AH62="","tbc",AH62)</f>
        <v>tbc</v>
      </c>
      <c r="C62" s="58" t="str">
        <f aca="false">IF(AI62="","VNT",AI62)</f>
        <v>VNT</v>
      </c>
      <c r="D62" s="58" t="n">
        <f aca="false">MAX(X62,IF(AT62="none",X62,AT62))</f>
        <v>0</v>
      </c>
      <c r="E62" s="59" t="n">
        <f aca="false">IFERROR(DAYS360(X62,D62),0)</f>
        <v>0</v>
      </c>
      <c r="F62" s="59" t="n">
        <f aca="false">((LEN($AN62)-LEN(SUBSTITUTE($AN62,CHAR(10)&amp;". ","")))/3)+IF(LEFT(TRIM($AN62),2)=". ",1,0)</f>
        <v>0</v>
      </c>
      <c r="G62" s="59" t="n">
        <f aca="false">((LEN($AN62)-LEN(SUBSTITUTE($AN62,CHAR(10)&amp;"/ ","")))/3)+IF(LEFT(TRIM($AN62),2)="/ ",1,0)</f>
        <v>0</v>
      </c>
      <c r="H62" s="59" t="n">
        <f aca="false">((LEN($AN62)-LEN(SUBSTITUTE($AN62,CHAR(10)&amp;"~ ","")))/3)+IF(LEFT(TRIM($AN62),2)="~ ",1,0)</f>
        <v>0</v>
      </c>
      <c r="I62" s="59" t="n">
        <f aca="false">((LEN($AN62)-LEN(SUBSTITUTE($AN62,CHAR(10)&amp;"! ","")))/3)+IF(LEFT(TRIM($AN62),2)="! ",1,0)</f>
        <v>0</v>
      </c>
      <c r="J62" s="59" t="n">
        <f aca="false">((LEN($AN62)-LEN(SUBSTITUTE($AN62,CHAR(10)&amp;"x ","")))/3)+IF(LEFT(TRIM($AN62),2)="x ",1,0)</f>
        <v>0</v>
      </c>
      <c r="K62" s="59" t="n">
        <f aca="false">SUM(F62:J62)</f>
        <v>0</v>
      </c>
      <c r="L62" s="60" t="n">
        <f aca="false">YEAR(D62)</f>
        <v>1899</v>
      </c>
      <c r="M62" s="60" t="str">
        <f aca="false">VLOOKUP(MONTH(D62),Static!$AJ$3:$AK$16,2,0)</f>
        <v>Dec</v>
      </c>
      <c r="N62" s="60" t="n">
        <f aca="false">WEEKNUM(D62,1)</f>
        <v>52</v>
      </c>
      <c r="O62" s="60" t="str">
        <f aca="false">IFERROR(INDEX(Static!$I$5:$L$15,MATCH(AA62,Static!$I$5:$I$15,0),3),"Z")</f>
        <v>Z</v>
      </c>
      <c r="P62" s="60" t="str">
        <f aca="false">IFERROR(INDEX(Static!$I$5:$L$15,MATCH(AA62,Static!$I$5:$I$15,0),4),"Y")</f>
        <v>Y</v>
      </c>
      <c r="Q62" s="60" t="str">
        <f aca="false">IF(D62&gt;(($A$14-WEEKDAY($A$14,2))-7*$D$15),"Y","N")</f>
        <v>N</v>
      </c>
      <c r="R62" s="58" t="str">
        <f aca="false">IF(AB62&lt;&gt;"","Y","N")</f>
        <v>N</v>
      </c>
      <c r="S62" s="60" t="str">
        <f aca="false">IF(AND(Q62="Y",R62="N"),"Y","N")</f>
        <v>N</v>
      </c>
      <c r="T62" s="58" t="str">
        <f aca="false">IF(OR(Y62="Y",Y62="N"),Y62,IF(AND(P62="Y", OR(Q62="Y",S62="Y")),"Y","N"))</f>
        <v>N</v>
      </c>
      <c r="U62" s="60" t="str">
        <f aca="false">"Y"</f>
        <v>Y</v>
      </c>
      <c r="V62" s="61" t="str">
        <f aca="false">" -  "&amp;O62&amp;AJ62&amp;AK62&amp;AB62</f>
        <v> -  Z</v>
      </c>
      <c r="W62" s="60" t="str">
        <f aca="false">IFERROR(VLOOKUP(WEEKDAY(X62),Static!$AL$3:$AM$11,2,0),"")</f>
        <v>Sat</v>
      </c>
      <c r="X62" s="58" t="n">
        <f aca="false">IF(AD62&lt;&gt;"",AS62,0)</f>
        <v>0</v>
      </c>
      <c r="Y62" s="40"/>
      <c r="Z62" s="40"/>
      <c r="AA62" s="62"/>
      <c r="AB62" s="64"/>
      <c r="AC62" s="64"/>
      <c r="AD62" s="40"/>
      <c r="AE62" s="67"/>
      <c r="AF62" s="68"/>
      <c r="AG62" s="69" t="str">
        <f aca="false">IF(AB62="","",AE62*AF62/8)</f>
        <v/>
      </c>
      <c r="AH62" s="40"/>
      <c r="AI62" s="40"/>
      <c r="AJ62" s="40"/>
      <c r="AK62" s="63"/>
      <c r="AL62" s="65"/>
      <c r="AM62" s="64"/>
      <c r="AN62" s="64"/>
      <c r="AO62" s="60" t="n">
        <f aca="false">SUM(F62:I62)</f>
        <v>0</v>
      </c>
      <c r="AP62" s="66" t="n">
        <f aca="false">IF(AB62="",1,IF(K62&lt;&gt;0,(G62*0.5+J62)/K62,1))</f>
        <v>1</v>
      </c>
      <c r="AQ62" s="55" t="str">
        <f aca="false">IF(AM62="","",IF(ISERROR(FIND(CHAR(10),AM62,1)),AM62,LEFT(AM62,FIND(CHAR(10),AM62,1))))</f>
        <v/>
      </c>
      <c r="AR62" s="56" t="str">
        <f aca="false">IF(AM62="","",IFERROR(RIGHT(AM62,LEN(AM62)-FIND("@@@",SUBSTITUTE(AM62,CHAR(10),"@@@",LEN(AM62)-LEN(SUBSTITUTE(AM62,CHAR(10),""))),1)),AM62))</f>
        <v/>
      </c>
      <c r="AS62" s="57" t="str">
        <f aca="false">IFERROR(DATE(("20"&amp;MID(AQ62,7,2))*1,MID(AQ62,4,2)*1,MID(AQ62,1,2)*1),"")</f>
        <v/>
      </c>
      <c r="AT62" s="57" t="str">
        <f aca="false">IFERROR(DATE(("20"&amp;MID(AR62,7,2))*1,MID(AR62,4,2)*1,MID(AR62,1,2)*1),"")</f>
        <v/>
      </c>
      <c r="AU62" s="64" t="s">
        <v>364</v>
      </c>
    </row>
    <row r="63" customFormat="false" ht="12.75" hidden="false" customHeight="true" outlineLevel="0" collapsed="false">
      <c r="A63" s="54"/>
      <c r="B63" s="58" t="str">
        <f aca="false">IF(AH63="","tbc",AH63)</f>
        <v>tbc</v>
      </c>
      <c r="C63" s="58" t="str">
        <f aca="false">IF(AI63="","VNT",AI63)</f>
        <v>VNT</v>
      </c>
      <c r="D63" s="58" t="n">
        <f aca="false">MAX(X63,IF(AT63="none",X63,AT63))</f>
        <v>0</v>
      </c>
      <c r="E63" s="59" t="n">
        <f aca="false">IFERROR(DAYS360(X63,D63),0)</f>
        <v>0</v>
      </c>
      <c r="F63" s="59" t="n">
        <f aca="false">((LEN($AN63)-LEN(SUBSTITUTE($AN63,CHAR(10)&amp;". ","")))/3)+IF(LEFT(TRIM($AN63),2)=". ",1,0)</f>
        <v>0</v>
      </c>
      <c r="G63" s="59" t="n">
        <f aca="false">((LEN($AN63)-LEN(SUBSTITUTE($AN63,CHAR(10)&amp;"/ ","")))/3)+IF(LEFT(TRIM($AN63),2)="/ ",1,0)</f>
        <v>0</v>
      </c>
      <c r="H63" s="59" t="n">
        <f aca="false">((LEN($AN63)-LEN(SUBSTITUTE($AN63,CHAR(10)&amp;"~ ","")))/3)+IF(LEFT(TRIM($AN63),2)="~ ",1,0)</f>
        <v>0</v>
      </c>
      <c r="I63" s="59" t="n">
        <f aca="false">((LEN($AN63)-LEN(SUBSTITUTE($AN63,CHAR(10)&amp;"! ","")))/3)+IF(LEFT(TRIM($AN63),2)="! ",1,0)</f>
        <v>0</v>
      </c>
      <c r="J63" s="59" t="n">
        <f aca="false">((LEN($AN63)-LEN(SUBSTITUTE($AN63,CHAR(10)&amp;"x ","")))/3)+IF(LEFT(TRIM($AN63),2)="x ",1,0)</f>
        <v>0</v>
      </c>
      <c r="K63" s="59" t="n">
        <f aca="false">SUM(F63:J63)</f>
        <v>0</v>
      </c>
      <c r="L63" s="60" t="n">
        <f aca="false">YEAR(D63)</f>
        <v>1899</v>
      </c>
      <c r="M63" s="60" t="str">
        <f aca="false">VLOOKUP(MONTH(D63),Static!$AJ$3:$AK$16,2,0)</f>
        <v>Dec</v>
      </c>
      <c r="N63" s="60" t="n">
        <f aca="false">WEEKNUM(D63,1)</f>
        <v>52</v>
      </c>
      <c r="O63" s="60" t="str">
        <f aca="false">IFERROR(INDEX(Static!$I$5:$L$15,MATCH(AA63,Static!$I$5:$I$15,0),3),"Z")</f>
        <v>Z</v>
      </c>
      <c r="P63" s="60" t="str">
        <f aca="false">IFERROR(INDEX(Static!$I$5:$L$15,MATCH(AA63,Static!$I$5:$I$15,0),4),"Y")</f>
        <v>Y</v>
      </c>
      <c r="Q63" s="60" t="str">
        <f aca="false">IF(D63&gt;(($A$14-WEEKDAY($A$14,2))-7*$D$15),"Y","N")</f>
        <v>N</v>
      </c>
      <c r="R63" s="58" t="str">
        <f aca="false">IF(AB63&lt;&gt;"","Y","N")</f>
        <v>N</v>
      </c>
      <c r="S63" s="60" t="str">
        <f aca="false">IF(AND(Q63="Y",R63="N"),"Y","N")</f>
        <v>N</v>
      </c>
      <c r="T63" s="58" t="str">
        <f aca="false">IF(OR(Y63="Y",Y63="N"),Y63,IF(AND(P63="Y", OR(Q63="Y",S63="Y")),"Y","N"))</f>
        <v>N</v>
      </c>
      <c r="U63" s="60" t="str">
        <f aca="false">"Y"</f>
        <v>Y</v>
      </c>
      <c r="V63" s="61" t="str">
        <f aca="false">" -  "&amp;O63&amp;AJ63&amp;AK63&amp;AB63</f>
        <v> -  Z</v>
      </c>
      <c r="W63" s="60" t="str">
        <f aca="false">IFERROR(VLOOKUP(WEEKDAY(X63),Static!$AL$3:$AM$11,2,0),"")</f>
        <v>Sat</v>
      </c>
      <c r="X63" s="58" t="n">
        <f aca="false">IF(AD63&lt;&gt;"",AS63,0)</f>
        <v>0</v>
      </c>
      <c r="Y63" s="40"/>
      <c r="Z63" s="40"/>
      <c r="AA63" s="62"/>
      <c r="AB63" s="64"/>
      <c r="AC63" s="64"/>
      <c r="AD63" s="40"/>
      <c r="AE63" s="67"/>
      <c r="AF63" s="68"/>
      <c r="AG63" s="69" t="str">
        <f aca="false">IF(AB63="","",AE63*AF63/8)</f>
        <v/>
      </c>
      <c r="AH63" s="40"/>
      <c r="AI63" s="40"/>
      <c r="AJ63" s="40"/>
      <c r="AK63" s="63"/>
      <c r="AL63" s="65"/>
      <c r="AM63" s="64"/>
      <c r="AN63" s="65"/>
      <c r="AO63" s="60" t="n">
        <f aca="false">SUM(F63:I63)</f>
        <v>0</v>
      </c>
      <c r="AP63" s="66" t="n">
        <f aca="false">IF(AB63="",1,IF(K63&lt;&gt;0,(G63*0.5+J63)/K63,1))</f>
        <v>1</v>
      </c>
      <c r="AQ63" s="55" t="str">
        <f aca="false">IF(AM63="","",IF(ISERROR(FIND(CHAR(10),AM63,1)),AM63,LEFT(AM63,FIND(CHAR(10),AM63,1))))</f>
        <v/>
      </c>
      <c r="AR63" s="56" t="str">
        <f aca="false">IF(AM63="","",IFERROR(RIGHT(AM63,LEN(AM63)-FIND("@@@",SUBSTITUTE(AM63,CHAR(10),"@@@",LEN(AM63)-LEN(SUBSTITUTE(AM63,CHAR(10),""))),1)),AM63))</f>
        <v/>
      </c>
      <c r="AS63" s="57" t="str">
        <f aca="false">IFERROR(DATE(("20"&amp;MID(AQ63,7,2))*1,MID(AQ63,4,2)*1,MID(AQ63,1,2)*1),"")</f>
        <v/>
      </c>
      <c r="AT63" s="57" t="str">
        <f aca="false">IFERROR(DATE(("20"&amp;MID(AR63,7,2))*1,MID(AR63,4,2)*1,MID(AR63,1,2)*1),"")</f>
        <v/>
      </c>
      <c r="AU63" s="64" t="s">
        <v>364</v>
      </c>
    </row>
    <row r="64" customFormat="false" ht="12.75" hidden="false" customHeight="true" outlineLevel="0" collapsed="false">
      <c r="A64" s="54"/>
      <c r="B64" s="58" t="str">
        <f aca="false">IF(AH64="","tbc",AH64)</f>
        <v>tbc</v>
      </c>
      <c r="C64" s="58" t="str">
        <f aca="false">IF(AI64="","VNT",AI64)</f>
        <v>VNT</v>
      </c>
      <c r="D64" s="58" t="n">
        <f aca="false">MAX(X64,IF(AT64="none",X64,AT64))</f>
        <v>0</v>
      </c>
      <c r="E64" s="59" t="n">
        <f aca="false">IFERROR(DAYS360(X64,D64),0)</f>
        <v>0</v>
      </c>
      <c r="F64" s="59" t="n">
        <f aca="false">((LEN($AN64)-LEN(SUBSTITUTE($AN64,CHAR(10)&amp;". ","")))/3)+IF(LEFT(TRIM($AN64),2)=". ",1,0)</f>
        <v>0</v>
      </c>
      <c r="G64" s="59" t="n">
        <f aca="false">((LEN($AN64)-LEN(SUBSTITUTE($AN64,CHAR(10)&amp;"/ ","")))/3)+IF(LEFT(TRIM($AN64),2)="/ ",1,0)</f>
        <v>0</v>
      </c>
      <c r="H64" s="59" t="n">
        <f aca="false">((LEN($AN64)-LEN(SUBSTITUTE($AN64,CHAR(10)&amp;"~ ","")))/3)+IF(LEFT(TRIM($AN64),2)="~ ",1,0)</f>
        <v>0</v>
      </c>
      <c r="I64" s="59" t="n">
        <f aca="false">((LEN($AN64)-LEN(SUBSTITUTE($AN64,CHAR(10)&amp;"! ","")))/3)+IF(LEFT(TRIM($AN64),2)="! ",1,0)</f>
        <v>0</v>
      </c>
      <c r="J64" s="59" t="n">
        <f aca="false">((LEN($AN64)-LEN(SUBSTITUTE($AN64,CHAR(10)&amp;"x ","")))/3)+IF(LEFT(TRIM($AN64),2)="x ",1,0)</f>
        <v>0</v>
      </c>
      <c r="K64" s="59" t="n">
        <f aca="false">SUM(F64:J64)</f>
        <v>0</v>
      </c>
      <c r="L64" s="60" t="n">
        <f aca="false">YEAR(D64)</f>
        <v>1899</v>
      </c>
      <c r="M64" s="60" t="str">
        <f aca="false">VLOOKUP(MONTH(D64),Static!$AJ$3:$AK$16,2,0)</f>
        <v>Dec</v>
      </c>
      <c r="N64" s="60" t="n">
        <f aca="false">WEEKNUM(D64,1)</f>
        <v>52</v>
      </c>
      <c r="O64" s="60" t="str">
        <f aca="false">IFERROR(INDEX(Static!$I$5:$L$15,MATCH(AA64,Static!$I$5:$I$15,0),3),"Z")</f>
        <v>Z</v>
      </c>
      <c r="P64" s="60" t="str">
        <f aca="false">IFERROR(INDEX(Static!$I$5:$L$15,MATCH(AA64,Static!$I$5:$I$15,0),4),"Y")</f>
        <v>Y</v>
      </c>
      <c r="Q64" s="60" t="str">
        <f aca="false">IF(D64&gt;(($A$14-WEEKDAY($A$14,2))-7*$D$15),"Y","N")</f>
        <v>N</v>
      </c>
      <c r="R64" s="58" t="str">
        <f aca="false">IF(AB64&lt;&gt;"","Y","N")</f>
        <v>N</v>
      </c>
      <c r="S64" s="60" t="str">
        <f aca="false">IF(AND(Q64="Y",R64="N"),"Y","N")</f>
        <v>N</v>
      </c>
      <c r="T64" s="58" t="str">
        <f aca="false">IF(OR(Y64="Y",Y64="N"),Y64,IF(AND(P64="Y", OR(Q64="Y",S64="Y")),"Y","N"))</f>
        <v>N</v>
      </c>
      <c r="U64" s="60" t="str">
        <f aca="false">"Y"</f>
        <v>Y</v>
      </c>
      <c r="V64" s="61" t="str">
        <f aca="false">" -  "&amp;O64&amp;AJ64&amp;AK64&amp;AB64</f>
        <v> -  Z</v>
      </c>
      <c r="W64" s="60" t="str">
        <f aca="false">IFERROR(VLOOKUP(WEEKDAY(X64),Static!$AL$3:$AM$11,2,0),"")</f>
        <v>Sat</v>
      </c>
      <c r="X64" s="58" t="n">
        <f aca="false">IF(AD64&lt;&gt;"",AS64,0)</f>
        <v>0</v>
      </c>
      <c r="Y64" s="40"/>
      <c r="Z64" s="40"/>
      <c r="AA64" s="62"/>
      <c r="AB64" s="64"/>
      <c r="AC64" s="64"/>
      <c r="AD64" s="40"/>
      <c r="AE64" s="67"/>
      <c r="AF64" s="68"/>
      <c r="AG64" s="69" t="str">
        <f aca="false">IF(AB64="","",AE64*AF64/8)</f>
        <v/>
      </c>
      <c r="AH64" s="40"/>
      <c r="AI64" s="40"/>
      <c r="AJ64" s="40"/>
      <c r="AK64" s="63"/>
      <c r="AL64" s="65"/>
      <c r="AM64" s="64"/>
      <c r="AN64" s="65"/>
      <c r="AO64" s="60" t="n">
        <f aca="false">SUM(F64:I64)</f>
        <v>0</v>
      </c>
      <c r="AP64" s="66" t="n">
        <f aca="false">IF(AB64="",1,IF(K64&lt;&gt;0,(G64*0.5+J64)/K64,1))</f>
        <v>1</v>
      </c>
      <c r="AQ64" s="55" t="str">
        <f aca="false">IF(AM64="","",IF(ISERROR(FIND(CHAR(10),AM64,1)),AM64,LEFT(AM64,FIND(CHAR(10),AM64,1))))</f>
        <v/>
      </c>
      <c r="AR64" s="56" t="str">
        <f aca="false">IF(AM64="","",IFERROR(RIGHT(AM64,LEN(AM64)-FIND("@@@",SUBSTITUTE(AM64,CHAR(10),"@@@",LEN(AM64)-LEN(SUBSTITUTE(AM64,CHAR(10),""))),1)),AM64))</f>
        <v/>
      </c>
      <c r="AS64" s="57" t="str">
        <f aca="false">IFERROR(DATE(("20"&amp;MID(AQ64,7,2))*1,MID(AQ64,4,2)*1,MID(AQ64,1,2)*1),"")</f>
        <v/>
      </c>
      <c r="AT64" s="57" t="str">
        <f aca="false">IFERROR(DATE(("20"&amp;MID(AR64,7,2))*1,MID(AR64,4,2)*1,MID(AR64,1,2)*1),"")</f>
        <v/>
      </c>
      <c r="AU64" s="64" t="s">
        <v>364</v>
      </c>
    </row>
    <row r="65" customFormat="false" ht="12.75" hidden="false" customHeight="true" outlineLevel="0" collapsed="false">
      <c r="B65" s="58" t="str">
        <f aca="false">IF(AH65="","tbc",AH65)</f>
        <v>tbc</v>
      </c>
      <c r="C65" s="58" t="str">
        <f aca="false">IF(AI65="","VNT",AI65)</f>
        <v>VNT</v>
      </c>
      <c r="D65" s="58" t="n">
        <f aca="false">MAX(X65,IF(AT65="none",X65,AT65))</f>
        <v>0</v>
      </c>
      <c r="E65" s="59" t="n">
        <f aca="false">IFERROR(DAYS360(X65,D65),0)</f>
        <v>0</v>
      </c>
      <c r="F65" s="59" t="n">
        <f aca="false">((LEN($AN65)-LEN(SUBSTITUTE($AN65,CHAR(10)&amp;". ","")))/3)+IF(LEFT(TRIM($AN65),2)=". ",1,0)</f>
        <v>0</v>
      </c>
      <c r="G65" s="59" t="n">
        <f aca="false">((LEN($AN65)-LEN(SUBSTITUTE($AN65,CHAR(10)&amp;"/ ","")))/3)+IF(LEFT(TRIM($AN65),2)="/ ",1,0)</f>
        <v>0</v>
      </c>
      <c r="H65" s="59" t="n">
        <f aca="false">((LEN($AN65)-LEN(SUBSTITUTE($AN65,CHAR(10)&amp;"~ ","")))/3)+IF(LEFT(TRIM($AN65),2)="~ ",1,0)</f>
        <v>0</v>
      </c>
      <c r="I65" s="59" t="n">
        <f aca="false">((LEN($AN65)-LEN(SUBSTITUTE($AN65,CHAR(10)&amp;"! ","")))/3)+IF(LEFT(TRIM($AN65),2)="! ",1,0)</f>
        <v>0</v>
      </c>
      <c r="J65" s="59" t="n">
        <f aca="false">((LEN($AN65)-LEN(SUBSTITUTE($AN65,CHAR(10)&amp;"x ","")))/3)+IF(LEFT(TRIM($AN65),2)="x ",1,0)</f>
        <v>0</v>
      </c>
      <c r="K65" s="59" t="n">
        <f aca="false">SUM(F65:J65)</f>
        <v>0</v>
      </c>
      <c r="L65" s="60" t="n">
        <f aca="false">YEAR(D65)</f>
        <v>1899</v>
      </c>
      <c r="M65" s="60" t="str">
        <f aca="false">VLOOKUP(MONTH(D65),Static!$AJ$3:$AK$16,2,0)</f>
        <v>Dec</v>
      </c>
      <c r="N65" s="60" t="n">
        <f aca="false">WEEKNUM(D65,1)</f>
        <v>52</v>
      </c>
      <c r="O65" s="60" t="str">
        <f aca="false">IFERROR(INDEX(Static!$I$5:$L$15,MATCH(AA65,Static!$I$5:$I$15,0),3),"Z")</f>
        <v>Z</v>
      </c>
      <c r="P65" s="60" t="str">
        <f aca="false">IFERROR(INDEX(Static!$I$5:$L$15,MATCH(AA65,Static!$I$5:$I$15,0),4),"Y")</f>
        <v>Y</v>
      </c>
      <c r="Q65" s="60" t="str">
        <f aca="false">IF(D65&gt;(($A$14-WEEKDAY($A$14,2))-7*$D$15),"Y","N")</f>
        <v>N</v>
      </c>
      <c r="R65" s="58" t="str">
        <f aca="false">IF(AB65&lt;&gt;"","Y","N")</f>
        <v>N</v>
      </c>
      <c r="S65" s="60" t="str">
        <f aca="false">IF(AND(Q65="Y",R65="N"),"Y","N")</f>
        <v>N</v>
      </c>
      <c r="T65" s="58" t="str">
        <f aca="false">IF(OR(Y65="Y",Y65="N"),Y65,IF(AND(P65="Y", OR(Q65="Y",S65="Y")),"Y","N"))</f>
        <v>N</v>
      </c>
      <c r="U65" s="60" t="str">
        <f aca="false">"Y"</f>
        <v>Y</v>
      </c>
      <c r="V65" s="61" t="str">
        <f aca="false">" -  "&amp;O65&amp;AJ65&amp;AK65&amp;AB65</f>
        <v> -  Z</v>
      </c>
      <c r="W65" s="60" t="str">
        <f aca="false">IFERROR(VLOOKUP(WEEKDAY(X65),Static!$AL$3:$AM$11,2,0),"")</f>
        <v>Sat</v>
      </c>
      <c r="X65" s="58" t="n">
        <f aca="false">IF(AD65&lt;&gt;"",AS65,0)</f>
        <v>0</v>
      </c>
      <c r="Y65" s="40"/>
      <c r="Z65" s="40"/>
      <c r="AA65" s="62"/>
      <c r="AB65" s="64"/>
      <c r="AC65" s="64"/>
      <c r="AD65" s="40"/>
      <c r="AE65" s="67"/>
      <c r="AF65" s="68"/>
      <c r="AG65" s="69" t="str">
        <f aca="false">IF(AB65="","",AE65*AF65/8)</f>
        <v/>
      </c>
      <c r="AH65" s="40"/>
      <c r="AI65" s="40"/>
      <c r="AJ65" s="40"/>
      <c r="AK65" s="63"/>
      <c r="AL65" s="65"/>
      <c r="AM65" s="65"/>
      <c r="AN65" s="65"/>
      <c r="AO65" s="60" t="n">
        <f aca="false">SUM(F65:I65)</f>
        <v>0</v>
      </c>
      <c r="AP65" s="66" t="n">
        <f aca="false">IF(AB65="",1,IF(K65&lt;&gt;0,(G65*0.5+J65)/K65,1))</f>
        <v>1</v>
      </c>
      <c r="AQ65" s="55" t="str">
        <f aca="false">IF(AM65="","",IF(ISERROR(FIND(CHAR(10),AM65,1)),AM65,LEFT(AM65,FIND(CHAR(10),AM65,1))))</f>
        <v/>
      </c>
      <c r="AR65" s="56" t="str">
        <f aca="false">IF(AM65="","",IFERROR(RIGHT(AM65,LEN(AM65)-FIND("@@@",SUBSTITUTE(AM65,CHAR(10),"@@@",LEN(AM65)-LEN(SUBSTITUTE(AM65,CHAR(10),""))),1)),AM65))</f>
        <v/>
      </c>
      <c r="AS65" s="57" t="str">
        <f aca="false">IFERROR(DATE(("20"&amp;MID(AQ65,7,2))*1,MID(AQ65,4,2)*1,MID(AQ65,1,2)*1),"")</f>
        <v/>
      </c>
      <c r="AT65" s="57" t="str">
        <f aca="false">IFERROR(DATE(("20"&amp;MID(AR65,7,2))*1,MID(AR65,4,2)*1,MID(AR65,1,2)*1),"")</f>
        <v/>
      </c>
      <c r="AU65" s="64" t="s">
        <v>364</v>
      </c>
    </row>
    <row r="66" customFormat="false" ht="12.75" hidden="false" customHeight="true" outlineLevel="0" collapsed="false">
      <c r="A66" s="54"/>
      <c r="B66" s="58" t="str">
        <f aca="false">IF(AH66="","tbc",AH66)</f>
        <v>tbc</v>
      </c>
      <c r="C66" s="58" t="str">
        <f aca="false">IF(AI66="","VNT",AI66)</f>
        <v>VNT</v>
      </c>
      <c r="D66" s="58" t="n">
        <f aca="false">MAX(X66,IF(AT66="none",X66,AT66))</f>
        <v>0</v>
      </c>
      <c r="E66" s="59" t="n">
        <f aca="false">IFERROR(DAYS360(X66,D66),0)</f>
        <v>0</v>
      </c>
      <c r="F66" s="59" t="n">
        <f aca="false">((LEN($AN66)-LEN(SUBSTITUTE($AN66,CHAR(10)&amp;". ","")))/3)+IF(LEFT(TRIM($AN66),2)=". ",1,0)</f>
        <v>0</v>
      </c>
      <c r="G66" s="59" t="n">
        <f aca="false">((LEN($AN66)-LEN(SUBSTITUTE($AN66,CHAR(10)&amp;"/ ","")))/3)+IF(LEFT(TRIM($AN66),2)="/ ",1,0)</f>
        <v>0</v>
      </c>
      <c r="H66" s="59" t="n">
        <f aca="false">((LEN($AN66)-LEN(SUBSTITUTE($AN66,CHAR(10)&amp;"~ ","")))/3)+IF(LEFT(TRIM($AN66),2)="~ ",1,0)</f>
        <v>0</v>
      </c>
      <c r="I66" s="59" t="n">
        <f aca="false">((LEN($AN66)-LEN(SUBSTITUTE($AN66,CHAR(10)&amp;"! ","")))/3)+IF(LEFT(TRIM($AN66),2)="! ",1,0)</f>
        <v>0</v>
      </c>
      <c r="J66" s="59" t="n">
        <f aca="false">((LEN($AN66)-LEN(SUBSTITUTE($AN66,CHAR(10)&amp;"x ","")))/3)+IF(LEFT(TRIM($AN66),2)="x ",1,0)</f>
        <v>0</v>
      </c>
      <c r="K66" s="59" t="n">
        <f aca="false">SUM(F66:J66)</f>
        <v>0</v>
      </c>
      <c r="L66" s="60" t="n">
        <f aca="false">YEAR(D66)</f>
        <v>1899</v>
      </c>
      <c r="M66" s="60" t="str">
        <f aca="false">VLOOKUP(MONTH(D66),Static!$AJ$3:$AK$16,2,0)</f>
        <v>Dec</v>
      </c>
      <c r="N66" s="60" t="n">
        <f aca="false">WEEKNUM(D66,1)</f>
        <v>52</v>
      </c>
      <c r="O66" s="60" t="str">
        <f aca="false">IFERROR(INDEX(Static!$I$5:$L$15,MATCH(AA66,Static!$I$5:$I$15,0),3),"Z")</f>
        <v>Z</v>
      </c>
      <c r="P66" s="60" t="str">
        <f aca="false">IFERROR(INDEX(Static!$I$5:$L$15,MATCH(AA66,Static!$I$5:$I$15,0),4),"Y")</f>
        <v>Y</v>
      </c>
      <c r="Q66" s="60" t="str">
        <f aca="false">IF(D66&gt;(($A$14-WEEKDAY($A$14,2))-7*$D$15),"Y","N")</f>
        <v>N</v>
      </c>
      <c r="R66" s="58" t="str">
        <f aca="false">IF(AB66&lt;&gt;"","Y","N")</f>
        <v>N</v>
      </c>
      <c r="S66" s="60" t="str">
        <f aca="false">IF(AND(Q66="Y",R66="N"),"Y","N")</f>
        <v>N</v>
      </c>
      <c r="T66" s="58" t="str">
        <f aca="false">IF(OR(Y66="Y",Y66="N"),Y66,IF(AND(P66="Y", OR(Q66="Y",S66="Y")),"Y","N"))</f>
        <v>N</v>
      </c>
      <c r="U66" s="60" t="str">
        <f aca="false">"Y"</f>
        <v>Y</v>
      </c>
      <c r="V66" s="61" t="str">
        <f aca="false">" -  "&amp;O66&amp;AJ66&amp;AK66&amp;AB66</f>
        <v> -  Z</v>
      </c>
      <c r="W66" s="60" t="str">
        <f aca="false">IFERROR(VLOOKUP(WEEKDAY(X66),Static!$AL$3:$AM$11,2,0),"")</f>
        <v>Sat</v>
      </c>
      <c r="X66" s="58" t="n">
        <f aca="false">IF(AD66&lt;&gt;"",AS66,0)</f>
        <v>0</v>
      </c>
      <c r="Y66" s="40"/>
      <c r="Z66" s="40"/>
      <c r="AA66" s="62"/>
      <c r="AB66" s="64"/>
      <c r="AC66" s="64"/>
      <c r="AD66" s="40"/>
      <c r="AE66" s="67"/>
      <c r="AF66" s="68"/>
      <c r="AG66" s="69" t="str">
        <f aca="false">IF(AB66="","",AE66*AF66/8)</f>
        <v/>
      </c>
      <c r="AH66" s="40"/>
      <c r="AI66" s="40"/>
      <c r="AJ66" s="40"/>
      <c r="AK66" s="63"/>
      <c r="AL66" s="65"/>
      <c r="AM66" s="64"/>
      <c r="AN66" s="65"/>
      <c r="AO66" s="60" t="n">
        <f aca="false">SUM(F66:I66)</f>
        <v>0</v>
      </c>
      <c r="AP66" s="66" t="n">
        <f aca="false">IF(AB66="",1,IF(K66&lt;&gt;0,(G66*0.5+J66)/K66,1))</f>
        <v>1</v>
      </c>
      <c r="AQ66" s="55" t="str">
        <f aca="false">IF(AM66="","",IF(ISERROR(FIND(CHAR(10),AM66,1)),AM66,LEFT(AM66,FIND(CHAR(10),AM66,1))))</f>
        <v/>
      </c>
      <c r="AR66" s="56" t="str">
        <f aca="false">IF(AM66="","",IFERROR(RIGHT(AM66,LEN(AM66)-FIND("@@@",SUBSTITUTE(AM66,CHAR(10),"@@@",LEN(AM66)-LEN(SUBSTITUTE(AM66,CHAR(10),""))),1)),AM66))</f>
        <v/>
      </c>
      <c r="AS66" s="57" t="str">
        <f aca="false">IFERROR(DATE(("20"&amp;MID(AQ66,7,2))*1,MID(AQ66,4,2)*1,MID(AQ66,1,2)*1),"")</f>
        <v/>
      </c>
      <c r="AT66" s="57" t="str">
        <f aca="false">IFERROR(DATE(("20"&amp;MID(AR66,7,2))*1,MID(AR66,4,2)*1,MID(AR66,1,2)*1),"")</f>
        <v/>
      </c>
      <c r="AU66" s="64" t="s">
        <v>364</v>
      </c>
    </row>
    <row r="67" customFormat="false" ht="12.75" hidden="false" customHeight="true" outlineLevel="0" collapsed="false">
      <c r="A67" s="54"/>
      <c r="B67" s="58" t="str">
        <f aca="false">IF(AH67="","tbc",AH67)</f>
        <v>tbc</v>
      </c>
      <c r="C67" s="58" t="str">
        <f aca="false">IF(AI67="","VNT",AI67)</f>
        <v>VNT</v>
      </c>
      <c r="D67" s="58" t="n">
        <f aca="false">MAX(X67,IF(AT67="none",X67,AT67))</f>
        <v>0</v>
      </c>
      <c r="E67" s="59" t="n">
        <f aca="false">IFERROR(DAYS360(X67,D67),0)</f>
        <v>0</v>
      </c>
      <c r="F67" s="59" t="n">
        <f aca="false">((LEN($AN67)-LEN(SUBSTITUTE($AN67,CHAR(10)&amp;". ","")))/3)+IF(LEFT(TRIM($AN67),2)=". ",1,0)</f>
        <v>0</v>
      </c>
      <c r="G67" s="59" t="n">
        <f aca="false">((LEN($AN67)-LEN(SUBSTITUTE($AN67,CHAR(10)&amp;"/ ","")))/3)+IF(LEFT(TRIM($AN67),2)="/ ",1,0)</f>
        <v>0</v>
      </c>
      <c r="H67" s="59" t="n">
        <f aca="false">((LEN($AN67)-LEN(SUBSTITUTE($AN67,CHAR(10)&amp;"~ ","")))/3)+IF(LEFT(TRIM($AN67),2)="~ ",1,0)</f>
        <v>0</v>
      </c>
      <c r="I67" s="59" t="n">
        <f aca="false">((LEN($AN67)-LEN(SUBSTITUTE($AN67,CHAR(10)&amp;"! ","")))/3)+IF(LEFT(TRIM($AN67),2)="! ",1,0)</f>
        <v>0</v>
      </c>
      <c r="J67" s="59" t="n">
        <f aca="false">((LEN($AN67)-LEN(SUBSTITUTE($AN67,CHAR(10)&amp;"x ","")))/3)+IF(LEFT(TRIM($AN67),2)="x ",1,0)</f>
        <v>0</v>
      </c>
      <c r="K67" s="59" t="n">
        <f aca="false">SUM(F67:J67)</f>
        <v>0</v>
      </c>
      <c r="L67" s="60" t="n">
        <f aca="false">YEAR(D67)</f>
        <v>1899</v>
      </c>
      <c r="M67" s="60" t="str">
        <f aca="false">VLOOKUP(MONTH(D67),Static!$AJ$3:$AK$16,2,0)</f>
        <v>Dec</v>
      </c>
      <c r="N67" s="60" t="n">
        <f aca="false">WEEKNUM(D67,1)</f>
        <v>52</v>
      </c>
      <c r="O67" s="60" t="str">
        <f aca="false">IFERROR(INDEX(Static!$I$5:$L$15,MATCH(AA67,Static!$I$5:$I$15,0),3),"Z")</f>
        <v>Z</v>
      </c>
      <c r="P67" s="60" t="str">
        <f aca="false">IFERROR(INDEX(Static!$I$5:$L$15,MATCH(AA67,Static!$I$5:$I$15,0),4),"Y")</f>
        <v>Y</v>
      </c>
      <c r="Q67" s="60" t="str">
        <f aca="false">IF(D67&gt;(($A$14-WEEKDAY($A$14,2))-7*$D$15),"Y","N")</f>
        <v>N</v>
      </c>
      <c r="R67" s="58" t="str">
        <f aca="false">IF(AB67&lt;&gt;"","Y","N")</f>
        <v>N</v>
      </c>
      <c r="S67" s="60" t="str">
        <f aca="false">IF(AND(Q67="Y",R67="N"),"Y","N")</f>
        <v>N</v>
      </c>
      <c r="T67" s="58" t="str">
        <f aca="false">IF(OR(Y67="Y",Y67="N"),Y67,IF(AND(P67="Y", OR(Q67="Y",S67="Y")),"Y","N"))</f>
        <v>N</v>
      </c>
      <c r="U67" s="60" t="str">
        <f aca="false">"Y"</f>
        <v>Y</v>
      </c>
      <c r="V67" s="61" t="str">
        <f aca="false">" -  "&amp;O67&amp;AJ67&amp;AK67&amp;AB67</f>
        <v> -  Z</v>
      </c>
      <c r="W67" s="60" t="str">
        <f aca="false">IFERROR(VLOOKUP(WEEKDAY(X67),Static!$AL$3:$AM$11,2,0),"")</f>
        <v>Sat</v>
      </c>
      <c r="X67" s="58" t="n">
        <f aca="false">IF(AD67&lt;&gt;"",AS67,0)</f>
        <v>0</v>
      </c>
      <c r="Y67" s="40"/>
      <c r="Z67" s="40"/>
      <c r="AA67" s="62"/>
      <c r="AB67" s="64"/>
      <c r="AC67" s="64"/>
      <c r="AD67" s="40"/>
      <c r="AE67" s="67"/>
      <c r="AF67" s="68"/>
      <c r="AG67" s="69" t="str">
        <f aca="false">IF(AB67="","",AE67*AF67/8)</f>
        <v/>
      </c>
      <c r="AH67" s="40"/>
      <c r="AI67" s="40"/>
      <c r="AJ67" s="40"/>
      <c r="AK67" s="63"/>
      <c r="AL67" s="65"/>
      <c r="AM67" s="64"/>
      <c r="AN67" s="65"/>
      <c r="AO67" s="60" t="n">
        <f aca="false">SUM(F67:I67)</f>
        <v>0</v>
      </c>
      <c r="AP67" s="66" t="n">
        <f aca="false">IF(AB67="",1,IF(K67&lt;&gt;0,(G67*0.5+J67)/K67,1))</f>
        <v>1</v>
      </c>
      <c r="AQ67" s="55" t="str">
        <f aca="false">IF(AM67="","",IF(ISERROR(FIND(CHAR(10),AM67,1)),AM67,LEFT(AM67,FIND(CHAR(10),AM67,1))))</f>
        <v/>
      </c>
      <c r="AR67" s="56" t="str">
        <f aca="false">IF(AM67="","",IFERROR(RIGHT(AM67,LEN(AM67)-FIND("@@@",SUBSTITUTE(AM67,CHAR(10),"@@@",LEN(AM67)-LEN(SUBSTITUTE(AM67,CHAR(10),""))),1)),AM67))</f>
        <v/>
      </c>
      <c r="AS67" s="57" t="str">
        <f aca="false">IFERROR(DATE(("20"&amp;MID(AQ67,7,2))*1,MID(AQ67,4,2)*1,MID(AQ67,1,2)*1),"")</f>
        <v/>
      </c>
      <c r="AT67" s="57" t="str">
        <f aca="false">IFERROR(DATE(("20"&amp;MID(AR67,7,2))*1,MID(AR67,4,2)*1,MID(AR67,1,2)*1),"")</f>
        <v/>
      </c>
      <c r="AU67" s="64" t="s">
        <v>364</v>
      </c>
    </row>
    <row r="68" customFormat="false" ht="12.75" hidden="false" customHeight="true" outlineLevel="0" collapsed="false">
      <c r="A68" s="54"/>
      <c r="B68" s="58" t="str">
        <f aca="false">IF(AH68="","tbc",AH68)</f>
        <v>tbc</v>
      </c>
      <c r="C68" s="58" t="str">
        <f aca="false">IF(AI68="","VNT",AI68)</f>
        <v>VNT</v>
      </c>
      <c r="D68" s="58" t="n">
        <f aca="false">MAX(X68,IF(AT68="none",X68,AT68))</f>
        <v>0</v>
      </c>
      <c r="E68" s="59" t="n">
        <f aca="false">IFERROR(DAYS360(X68,D68),0)</f>
        <v>0</v>
      </c>
      <c r="F68" s="59" t="n">
        <f aca="false">((LEN($AN68)-LEN(SUBSTITUTE($AN68,CHAR(10)&amp;". ","")))/3)+IF(LEFT(TRIM($AN68),2)=". ",1,0)</f>
        <v>0</v>
      </c>
      <c r="G68" s="59" t="n">
        <f aca="false">((LEN($AN68)-LEN(SUBSTITUTE($AN68,CHAR(10)&amp;"/ ","")))/3)+IF(LEFT(TRIM($AN68),2)="/ ",1,0)</f>
        <v>0</v>
      </c>
      <c r="H68" s="59" t="n">
        <f aca="false">((LEN($AN68)-LEN(SUBSTITUTE($AN68,CHAR(10)&amp;"~ ","")))/3)+IF(LEFT(TRIM($AN68),2)="~ ",1,0)</f>
        <v>0</v>
      </c>
      <c r="I68" s="59" t="n">
        <f aca="false">((LEN($AN68)-LEN(SUBSTITUTE($AN68,CHAR(10)&amp;"! ","")))/3)+IF(LEFT(TRIM($AN68),2)="! ",1,0)</f>
        <v>0</v>
      </c>
      <c r="J68" s="59" t="n">
        <f aca="false">((LEN($AN68)-LEN(SUBSTITUTE($AN68,CHAR(10)&amp;"x ","")))/3)+IF(LEFT(TRIM($AN68),2)="x ",1,0)</f>
        <v>0</v>
      </c>
      <c r="K68" s="59" t="n">
        <f aca="false">SUM(F68:J68)</f>
        <v>0</v>
      </c>
      <c r="L68" s="60" t="n">
        <f aca="false">YEAR(D68)</f>
        <v>1899</v>
      </c>
      <c r="M68" s="60" t="str">
        <f aca="false">VLOOKUP(MONTH(D68),Static!$AJ$3:$AK$16,2,0)</f>
        <v>Dec</v>
      </c>
      <c r="N68" s="60" t="n">
        <f aca="false">WEEKNUM(D68,1)</f>
        <v>52</v>
      </c>
      <c r="O68" s="60" t="str">
        <f aca="false">IFERROR(INDEX(Static!$I$5:$L$15,MATCH(AA68,Static!$I$5:$I$15,0),3),"Z")</f>
        <v>Z</v>
      </c>
      <c r="P68" s="60" t="str">
        <f aca="false">IFERROR(INDEX(Static!$I$5:$L$15,MATCH(AA68,Static!$I$5:$I$15,0),4),"Y")</f>
        <v>Y</v>
      </c>
      <c r="Q68" s="60" t="str">
        <f aca="false">IF(D68&gt;(($A$14-WEEKDAY($A$14,2))-7*$D$15),"Y","N")</f>
        <v>N</v>
      </c>
      <c r="R68" s="58" t="str">
        <f aca="false">IF(AB68&lt;&gt;"","Y","N")</f>
        <v>N</v>
      </c>
      <c r="S68" s="60" t="str">
        <f aca="false">IF(AND(Q68="Y",R68="N"),"Y","N")</f>
        <v>N</v>
      </c>
      <c r="T68" s="58" t="str">
        <f aca="false">IF(OR(Y68="Y",Y68="N"),Y68,IF(AND(P68="Y", OR(Q68="Y",S68="Y")),"Y","N"))</f>
        <v>N</v>
      </c>
      <c r="U68" s="60" t="str">
        <f aca="false">"Y"</f>
        <v>Y</v>
      </c>
      <c r="V68" s="61" t="str">
        <f aca="false">" -  "&amp;O68&amp;AJ68&amp;AK68&amp;AB68</f>
        <v> -  Z</v>
      </c>
      <c r="W68" s="60" t="str">
        <f aca="false">IFERROR(VLOOKUP(WEEKDAY(X68),Static!$AL$3:$AM$11,2,0),"")</f>
        <v>Sat</v>
      </c>
      <c r="X68" s="58" t="n">
        <f aca="false">IF(AD68&lt;&gt;"",AS68,0)</f>
        <v>0</v>
      </c>
      <c r="Y68" s="40"/>
      <c r="Z68" s="40"/>
      <c r="AA68" s="62"/>
      <c r="AB68" s="64"/>
      <c r="AC68" s="64"/>
      <c r="AD68" s="40"/>
      <c r="AE68" s="67"/>
      <c r="AF68" s="68"/>
      <c r="AG68" s="69" t="str">
        <f aca="false">IF(AB68="","",AE68*AF68/8)</f>
        <v/>
      </c>
      <c r="AH68" s="40"/>
      <c r="AI68" s="40"/>
      <c r="AJ68" s="40"/>
      <c r="AK68" s="63"/>
      <c r="AL68" s="65"/>
      <c r="AM68" s="64"/>
      <c r="AN68" s="65"/>
      <c r="AO68" s="60" t="n">
        <f aca="false">SUM(F68:I68)</f>
        <v>0</v>
      </c>
      <c r="AP68" s="66" t="n">
        <f aca="false">IF(AB68="",1,IF(K68&lt;&gt;0,(G68*0.5+J68)/K68,1))</f>
        <v>1</v>
      </c>
      <c r="AQ68" s="55" t="str">
        <f aca="false">IF(AM68="","",IF(ISERROR(FIND(CHAR(10),AM68,1)),AM68,LEFT(AM68,FIND(CHAR(10),AM68,1))))</f>
        <v/>
      </c>
      <c r="AR68" s="56" t="str">
        <f aca="false">IF(AM68="","",IFERROR(RIGHT(AM68,LEN(AM68)-FIND("@@@",SUBSTITUTE(AM68,CHAR(10),"@@@",LEN(AM68)-LEN(SUBSTITUTE(AM68,CHAR(10),""))),1)),AM68))</f>
        <v/>
      </c>
      <c r="AS68" s="57" t="str">
        <f aca="false">IFERROR(DATE(("20"&amp;MID(AQ68,7,2))*1,MID(AQ68,4,2)*1,MID(AQ68,1,2)*1),"")</f>
        <v/>
      </c>
      <c r="AT68" s="57" t="str">
        <f aca="false">IFERROR(DATE(("20"&amp;MID(AR68,7,2))*1,MID(AR68,4,2)*1,MID(AR68,1,2)*1),"")</f>
        <v/>
      </c>
      <c r="AU68" s="64" t="s">
        <v>364</v>
      </c>
    </row>
    <row r="69" customFormat="false" ht="12.75" hidden="false" customHeight="true" outlineLevel="0" collapsed="false">
      <c r="A69" s="54"/>
      <c r="B69" s="58" t="str">
        <f aca="false">IF(AH69="","tbc",AH69)</f>
        <v>tbc</v>
      </c>
      <c r="C69" s="58" t="str">
        <f aca="false">IF(AI69="","VNT",AI69)</f>
        <v>VNT</v>
      </c>
      <c r="D69" s="58" t="n">
        <f aca="false">MAX(X69,IF(AT69="none",X69,AT69))</f>
        <v>0</v>
      </c>
      <c r="E69" s="59" t="n">
        <f aca="false">IFERROR(DAYS360(X69,D69),0)</f>
        <v>0</v>
      </c>
      <c r="F69" s="59" t="n">
        <f aca="false">((LEN($AN69)-LEN(SUBSTITUTE($AN69,CHAR(10)&amp;". ","")))/3)+IF(LEFT(TRIM($AN69),2)=". ",1,0)</f>
        <v>0</v>
      </c>
      <c r="G69" s="59" t="n">
        <f aca="false">((LEN($AN69)-LEN(SUBSTITUTE($AN69,CHAR(10)&amp;"/ ","")))/3)+IF(LEFT(TRIM($AN69),2)="/ ",1,0)</f>
        <v>0</v>
      </c>
      <c r="H69" s="59" t="n">
        <f aca="false">((LEN($AN69)-LEN(SUBSTITUTE($AN69,CHAR(10)&amp;"~ ","")))/3)+IF(LEFT(TRIM($AN69),2)="~ ",1,0)</f>
        <v>0</v>
      </c>
      <c r="I69" s="59" t="n">
        <f aca="false">((LEN($AN69)-LEN(SUBSTITUTE($AN69,CHAR(10)&amp;"! ","")))/3)+IF(LEFT(TRIM($AN69),2)="! ",1,0)</f>
        <v>0</v>
      </c>
      <c r="J69" s="59" t="n">
        <f aca="false">((LEN($AN69)-LEN(SUBSTITUTE($AN69,CHAR(10)&amp;"x ","")))/3)+IF(LEFT(TRIM($AN69),2)="x ",1,0)</f>
        <v>0</v>
      </c>
      <c r="K69" s="59" t="n">
        <f aca="false">SUM(F69:J69)</f>
        <v>0</v>
      </c>
      <c r="L69" s="60" t="n">
        <f aca="false">YEAR(D69)</f>
        <v>1899</v>
      </c>
      <c r="M69" s="60" t="str">
        <f aca="false">VLOOKUP(MONTH(D69),Static!$AJ$3:$AK$16,2,0)</f>
        <v>Dec</v>
      </c>
      <c r="N69" s="60" t="n">
        <f aca="false">WEEKNUM(D69,1)</f>
        <v>52</v>
      </c>
      <c r="O69" s="60" t="str">
        <f aca="false">IFERROR(INDEX(Static!$I$5:$L$15,MATCH(AA69,Static!$I$5:$I$15,0),3),"Z")</f>
        <v>Z</v>
      </c>
      <c r="P69" s="60" t="str">
        <f aca="false">IFERROR(INDEX(Static!$I$5:$L$15,MATCH(AA69,Static!$I$5:$I$15,0),4),"Y")</f>
        <v>Y</v>
      </c>
      <c r="Q69" s="60" t="str">
        <f aca="false">IF(D69&gt;(($A$14-WEEKDAY($A$14,2))-7*$D$15),"Y","N")</f>
        <v>N</v>
      </c>
      <c r="R69" s="58" t="str">
        <f aca="false">IF(AB69&lt;&gt;"","Y","N")</f>
        <v>N</v>
      </c>
      <c r="S69" s="60" t="str">
        <f aca="false">IF(AND(Q69="Y",R69="N"),"Y","N")</f>
        <v>N</v>
      </c>
      <c r="T69" s="58" t="str">
        <f aca="false">IF(OR(Y69="Y",Y69="N"),Y69,IF(AND(P69="Y", OR(Q69="Y",S69="Y")),"Y","N"))</f>
        <v>N</v>
      </c>
      <c r="U69" s="60" t="str">
        <f aca="false">"Y"</f>
        <v>Y</v>
      </c>
      <c r="V69" s="61" t="str">
        <f aca="false">" -  "&amp;O69&amp;AJ69&amp;AK69&amp;AB69</f>
        <v> -  Z</v>
      </c>
      <c r="W69" s="60" t="str">
        <f aca="false">IFERROR(VLOOKUP(WEEKDAY(X69),Static!$AL$3:$AM$11,2,0),"")</f>
        <v>Sat</v>
      </c>
      <c r="X69" s="58" t="n">
        <f aca="false">IF(AD69&lt;&gt;"",AS69,0)</f>
        <v>0</v>
      </c>
      <c r="Y69" s="40"/>
      <c r="Z69" s="40"/>
      <c r="AA69" s="62"/>
      <c r="AB69" s="64"/>
      <c r="AC69" s="64"/>
      <c r="AD69" s="40"/>
      <c r="AE69" s="67"/>
      <c r="AF69" s="68"/>
      <c r="AG69" s="69" t="str">
        <f aca="false">IF(AB69="","",AE69*AF69/8)</f>
        <v/>
      </c>
      <c r="AH69" s="40"/>
      <c r="AI69" s="40"/>
      <c r="AJ69" s="40"/>
      <c r="AK69" s="63"/>
      <c r="AL69" s="65"/>
      <c r="AM69" s="64"/>
      <c r="AN69" s="65"/>
      <c r="AO69" s="60" t="n">
        <f aca="false">SUM(F69:I69)</f>
        <v>0</v>
      </c>
      <c r="AP69" s="66" t="n">
        <f aca="false">IF(AB69="",1,IF(K69&lt;&gt;0,(G69*0.5+J69)/K69,1))</f>
        <v>1</v>
      </c>
      <c r="AQ69" s="55" t="str">
        <f aca="false">IF(AM69="","",IF(ISERROR(FIND(CHAR(10),AM69,1)),AM69,LEFT(AM69,FIND(CHAR(10),AM69,1))))</f>
        <v/>
      </c>
      <c r="AR69" s="56" t="str">
        <f aca="false">IF(AM69="","",IFERROR(RIGHT(AM69,LEN(AM69)-FIND("@@@",SUBSTITUTE(AM69,CHAR(10),"@@@",LEN(AM69)-LEN(SUBSTITUTE(AM69,CHAR(10),""))),1)),AM69))</f>
        <v/>
      </c>
      <c r="AS69" s="57" t="str">
        <f aca="false">IFERROR(DATE(("20"&amp;MID(AQ69,7,2))*1,MID(AQ69,4,2)*1,MID(AQ69,1,2)*1),"")</f>
        <v/>
      </c>
      <c r="AT69" s="57" t="str">
        <f aca="false">IFERROR(DATE(("20"&amp;MID(AR69,7,2))*1,MID(AR69,4,2)*1,MID(AR69,1,2)*1),"")</f>
        <v/>
      </c>
      <c r="AU69" s="64" t="s">
        <v>364</v>
      </c>
    </row>
    <row r="70" customFormat="false" ht="12.75" hidden="false" customHeight="true" outlineLevel="0" collapsed="false">
      <c r="A70" s="54"/>
      <c r="B70" s="58" t="str">
        <f aca="false">IF(AH70="","tbc",AH70)</f>
        <v>tbc</v>
      </c>
      <c r="C70" s="58" t="str">
        <f aca="false">IF(AI70="","VNT",AI70)</f>
        <v>VNT</v>
      </c>
      <c r="D70" s="58" t="n">
        <f aca="false">MAX(X70,IF(AT70="none",X70,AT70))</f>
        <v>0</v>
      </c>
      <c r="E70" s="59" t="n">
        <f aca="false">IFERROR(DAYS360(X70,D70),0)</f>
        <v>0</v>
      </c>
      <c r="F70" s="59" t="n">
        <f aca="false">((LEN($AN70)-LEN(SUBSTITUTE($AN70,CHAR(10)&amp;". ","")))/3)+IF(LEFT(TRIM($AN70),2)=". ",1,0)</f>
        <v>0</v>
      </c>
      <c r="G70" s="59" t="n">
        <f aca="false">((LEN($AN70)-LEN(SUBSTITUTE($AN70,CHAR(10)&amp;"/ ","")))/3)+IF(LEFT(TRIM($AN70),2)="/ ",1,0)</f>
        <v>0</v>
      </c>
      <c r="H70" s="59" t="n">
        <f aca="false">((LEN($AN70)-LEN(SUBSTITUTE($AN70,CHAR(10)&amp;"~ ","")))/3)+IF(LEFT(TRIM($AN70),2)="~ ",1,0)</f>
        <v>0</v>
      </c>
      <c r="I70" s="59" t="n">
        <f aca="false">((LEN($AN70)-LEN(SUBSTITUTE($AN70,CHAR(10)&amp;"! ","")))/3)+IF(LEFT(TRIM($AN70),2)="! ",1,0)</f>
        <v>0</v>
      </c>
      <c r="J70" s="59" t="n">
        <f aca="false">((LEN($AN70)-LEN(SUBSTITUTE($AN70,CHAR(10)&amp;"x ","")))/3)+IF(LEFT(TRIM($AN70),2)="x ",1,0)</f>
        <v>0</v>
      </c>
      <c r="K70" s="59" t="n">
        <f aca="false">SUM(F70:J70)</f>
        <v>0</v>
      </c>
      <c r="L70" s="60" t="n">
        <f aca="false">YEAR(D70)</f>
        <v>1899</v>
      </c>
      <c r="M70" s="60" t="str">
        <f aca="false">VLOOKUP(MONTH(D70),Static!$AJ$3:$AK$16,2,0)</f>
        <v>Dec</v>
      </c>
      <c r="N70" s="60" t="n">
        <f aca="false">WEEKNUM(D70,1)</f>
        <v>52</v>
      </c>
      <c r="O70" s="60" t="str">
        <f aca="false">IFERROR(INDEX(Static!$I$5:$L$15,MATCH(AA70,Static!$I$5:$I$15,0),3),"Z")</f>
        <v>Z</v>
      </c>
      <c r="P70" s="60" t="str">
        <f aca="false">IFERROR(INDEX(Static!$I$5:$L$15,MATCH(AA70,Static!$I$5:$I$15,0),4),"Y")</f>
        <v>Y</v>
      </c>
      <c r="Q70" s="60" t="str">
        <f aca="false">IF(D70&gt;(($A$14-WEEKDAY($A$14,2))-7*$D$15),"Y","N")</f>
        <v>N</v>
      </c>
      <c r="R70" s="58" t="str">
        <f aca="false">IF(AB70&lt;&gt;"","Y","N")</f>
        <v>N</v>
      </c>
      <c r="S70" s="60" t="str">
        <f aca="false">IF(AND(Q70="Y",R70="N"),"Y","N")</f>
        <v>N</v>
      </c>
      <c r="T70" s="58" t="str">
        <f aca="false">IF(OR(Y70="Y",Y70="N"),Y70,IF(AND(P70="Y", OR(Q70="Y",S70="Y")),"Y","N"))</f>
        <v>N</v>
      </c>
      <c r="U70" s="60" t="str">
        <f aca="false">"Y"</f>
        <v>Y</v>
      </c>
      <c r="V70" s="61" t="str">
        <f aca="false">" -  "&amp;O70&amp;AJ70&amp;AK70&amp;AB70</f>
        <v> -  Z</v>
      </c>
      <c r="W70" s="60" t="str">
        <f aca="false">IFERROR(VLOOKUP(WEEKDAY(X70),Static!$AL$3:$AM$11,2,0),"")</f>
        <v>Sat</v>
      </c>
      <c r="X70" s="58" t="n">
        <f aca="false">IF(AD70&lt;&gt;"",AS70,0)</f>
        <v>0</v>
      </c>
      <c r="Y70" s="40"/>
      <c r="Z70" s="40"/>
      <c r="AA70" s="62"/>
      <c r="AB70" s="64"/>
      <c r="AC70" s="64"/>
      <c r="AD70" s="40"/>
      <c r="AE70" s="67"/>
      <c r="AF70" s="68"/>
      <c r="AG70" s="69" t="str">
        <f aca="false">IF(AB70="","",AE70*AF70/8)</f>
        <v/>
      </c>
      <c r="AH70" s="40"/>
      <c r="AI70" s="40"/>
      <c r="AJ70" s="40"/>
      <c r="AK70" s="63"/>
      <c r="AL70" s="65"/>
      <c r="AM70" s="64"/>
      <c r="AN70" s="65"/>
      <c r="AO70" s="60" t="n">
        <f aca="false">SUM(F70:I70)</f>
        <v>0</v>
      </c>
      <c r="AP70" s="66" t="n">
        <f aca="false">IF(AB70="",1,IF(K70&lt;&gt;0,(G70*0.5+J70)/K70,1))</f>
        <v>1</v>
      </c>
      <c r="AQ70" s="55" t="str">
        <f aca="false">IF(AM70="","",IF(ISERROR(FIND(CHAR(10),AM70,1)),AM70,LEFT(AM70,FIND(CHAR(10),AM70,1))))</f>
        <v/>
      </c>
      <c r="AR70" s="56" t="str">
        <f aca="false">IF(AM70="","",IFERROR(RIGHT(AM70,LEN(AM70)-FIND("@@@",SUBSTITUTE(AM70,CHAR(10),"@@@",LEN(AM70)-LEN(SUBSTITUTE(AM70,CHAR(10),""))),1)),AM70))</f>
        <v/>
      </c>
      <c r="AS70" s="57" t="str">
        <f aca="false">IFERROR(DATE(("20"&amp;MID(AQ70,7,2))*1,MID(AQ70,4,2)*1,MID(AQ70,1,2)*1),"")</f>
        <v/>
      </c>
      <c r="AT70" s="57" t="str">
        <f aca="false">IFERROR(DATE(("20"&amp;MID(AR70,7,2))*1,MID(AR70,4,2)*1,MID(AR70,1,2)*1),"")</f>
        <v/>
      </c>
      <c r="AU70" s="64" t="s">
        <v>364</v>
      </c>
    </row>
    <row r="71" customFormat="false" ht="12.75" hidden="false" customHeight="true" outlineLevel="0" collapsed="false">
      <c r="A71" s="54"/>
      <c r="B71" s="58" t="str">
        <f aca="false">IF(AH71="","tbc",AH71)</f>
        <v>tbc</v>
      </c>
      <c r="C71" s="58" t="str">
        <f aca="false">IF(AI71="","VNT",AI71)</f>
        <v>VNT</v>
      </c>
      <c r="D71" s="58" t="n">
        <f aca="false">MAX(X71,IF(AT71="none",X71,AT71))</f>
        <v>0</v>
      </c>
      <c r="E71" s="59" t="n">
        <f aca="false">IFERROR(DAYS360(X71,D71),0)</f>
        <v>0</v>
      </c>
      <c r="F71" s="59" t="n">
        <f aca="false">((LEN($AN71)-LEN(SUBSTITUTE($AN71,CHAR(10)&amp;". ","")))/3)+IF(LEFT(TRIM($AN71),2)=". ",1,0)</f>
        <v>0</v>
      </c>
      <c r="G71" s="59" t="n">
        <f aca="false">((LEN($AN71)-LEN(SUBSTITUTE($AN71,CHAR(10)&amp;"/ ","")))/3)+IF(LEFT(TRIM($AN71),2)="/ ",1,0)</f>
        <v>0</v>
      </c>
      <c r="H71" s="59" t="n">
        <f aca="false">((LEN($AN71)-LEN(SUBSTITUTE($AN71,CHAR(10)&amp;"~ ","")))/3)+IF(LEFT(TRIM($AN71),2)="~ ",1,0)</f>
        <v>0</v>
      </c>
      <c r="I71" s="59" t="n">
        <f aca="false">((LEN($AN71)-LEN(SUBSTITUTE($AN71,CHAR(10)&amp;"! ","")))/3)+IF(LEFT(TRIM($AN71),2)="! ",1,0)</f>
        <v>0</v>
      </c>
      <c r="J71" s="59" t="n">
        <f aca="false">((LEN($AN71)-LEN(SUBSTITUTE($AN71,CHAR(10)&amp;"x ","")))/3)+IF(LEFT(TRIM($AN71),2)="x ",1,0)</f>
        <v>0</v>
      </c>
      <c r="K71" s="59" t="n">
        <f aca="false">SUM(F71:J71)</f>
        <v>0</v>
      </c>
      <c r="L71" s="60" t="n">
        <f aca="false">YEAR(D71)</f>
        <v>1899</v>
      </c>
      <c r="M71" s="60" t="str">
        <f aca="false">VLOOKUP(MONTH(D71),Static!$AJ$3:$AK$16,2,0)</f>
        <v>Dec</v>
      </c>
      <c r="N71" s="60" t="n">
        <f aca="false">WEEKNUM(D71,1)</f>
        <v>52</v>
      </c>
      <c r="O71" s="60" t="str">
        <f aca="false">IFERROR(INDEX(Static!$I$5:$L$15,MATCH(AA71,Static!$I$5:$I$15,0),3),"Z")</f>
        <v>Z</v>
      </c>
      <c r="P71" s="60" t="str">
        <f aca="false">IFERROR(INDEX(Static!$I$5:$L$15,MATCH(AA71,Static!$I$5:$I$15,0),4),"Y")</f>
        <v>Y</v>
      </c>
      <c r="Q71" s="60" t="str">
        <f aca="false">IF(D71&gt;(($A$14-WEEKDAY($A$14,2))-7*$D$15),"Y","N")</f>
        <v>N</v>
      </c>
      <c r="R71" s="58" t="str">
        <f aca="false">IF(AB71&lt;&gt;"","Y","N")</f>
        <v>N</v>
      </c>
      <c r="S71" s="60" t="str">
        <f aca="false">IF(AND(Q71="Y",R71="N"),"Y","N")</f>
        <v>N</v>
      </c>
      <c r="T71" s="58" t="str">
        <f aca="false">IF(OR(Y71="Y",Y71="N"),Y71,IF(AND(P71="Y", OR(Q71="Y",S71="Y")),"Y","N"))</f>
        <v>N</v>
      </c>
      <c r="U71" s="60" t="str">
        <f aca="false">"Y"</f>
        <v>Y</v>
      </c>
      <c r="V71" s="61" t="str">
        <f aca="false">" -  "&amp;O71&amp;AJ71&amp;AK71&amp;AB71</f>
        <v> -  Z</v>
      </c>
      <c r="W71" s="60" t="str">
        <f aca="false">IFERROR(VLOOKUP(WEEKDAY(X71),Static!$AL$3:$AM$11,2,0),"")</f>
        <v>Sat</v>
      </c>
      <c r="X71" s="58" t="n">
        <f aca="false">IF(AD71&lt;&gt;"",AS71,0)</f>
        <v>0</v>
      </c>
      <c r="Y71" s="40"/>
      <c r="Z71" s="40"/>
      <c r="AA71" s="62"/>
      <c r="AB71" s="64"/>
      <c r="AC71" s="64"/>
      <c r="AD71" s="40"/>
      <c r="AE71" s="67"/>
      <c r="AF71" s="68"/>
      <c r="AG71" s="69" t="str">
        <f aca="false">IF(AB71="","",AE71*AF71/8)</f>
        <v/>
      </c>
      <c r="AH71" s="40"/>
      <c r="AI71" s="40"/>
      <c r="AJ71" s="40"/>
      <c r="AK71" s="63"/>
      <c r="AL71" s="65"/>
      <c r="AM71" s="64"/>
      <c r="AN71" s="65"/>
      <c r="AO71" s="60" t="n">
        <f aca="false">SUM(F71:I71)</f>
        <v>0</v>
      </c>
      <c r="AP71" s="66" t="n">
        <f aca="false">IF(AB71="",1,IF(K71&lt;&gt;0,(G71*0.5+J71)/K71,1))</f>
        <v>1</v>
      </c>
      <c r="AQ71" s="55" t="str">
        <f aca="false">IF(AM71="","",IF(ISERROR(FIND(CHAR(10),AM71,1)),AM71,LEFT(AM71,FIND(CHAR(10),AM71,1))))</f>
        <v/>
      </c>
      <c r="AR71" s="56" t="str">
        <f aca="false">IF(AM71="","",IFERROR(RIGHT(AM71,LEN(AM71)-FIND("@@@",SUBSTITUTE(AM71,CHAR(10),"@@@",LEN(AM71)-LEN(SUBSTITUTE(AM71,CHAR(10),""))),1)),AM71))</f>
        <v/>
      </c>
      <c r="AS71" s="57" t="str">
        <f aca="false">IFERROR(DATE(("20"&amp;MID(AQ71,7,2))*1,MID(AQ71,4,2)*1,MID(AQ71,1,2)*1),"")</f>
        <v/>
      </c>
      <c r="AT71" s="57" t="str">
        <f aca="false">IFERROR(DATE(("20"&amp;MID(AR71,7,2))*1,MID(AR71,4,2)*1,MID(AR71,1,2)*1),"")</f>
        <v/>
      </c>
      <c r="AU71" s="64" t="s">
        <v>364</v>
      </c>
    </row>
    <row r="72" customFormat="false" ht="12.75" hidden="false" customHeight="true" outlineLevel="0" collapsed="false">
      <c r="A72" s="54"/>
      <c r="B72" s="58" t="str">
        <f aca="false">IF(AH72="","tbc",AH72)</f>
        <v>tbc</v>
      </c>
      <c r="C72" s="58" t="str">
        <f aca="false">IF(AI72="","VNT",AI72)</f>
        <v>VNT</v>
      </c>
      <c r="D72" s="58" t="n">
        <f aca="false">MAX(X72,IF(AT72="none",X72,AT72))</f>
        <v>0</v>
      </c>
      <c r="E72" s="59" t="n">
        <f aca="false">IFERROR(DAYS360(X72,D72),0)</f>
        <v>0</v>
      </c>
      <c r="F72" s="59" t="n">
        <f aca="false">((LEN($AN72)-LEN(SUBSTITUTE($AN72,CHAR(10)&amp;". ","")))/3)+IF(LEFT(TRIM($AN72),2)=". ",1,0)</f>
        <v>0</v>
      </c>
      <c r="G72" s="59" t="n">
        <f aca="false">((LEN($AN72)-LEN(SUBSTITUTE($AN72,CHAR(10)&amp;"/ ","")))/3)+IF(LEFT(TRIM($AN72),2)="/ ",1,0)</f>
        <v>0</v>
      </c>
      <c r="H72" s="59" t="n">
        <f aca="false">((LEN($AN72)-LEN(SUBSTITUTE($AN72,CHAR(10)&amp;"~ ","")))/3)+IF(LEFT(TRIM($AN72),2)="~ ",1,0)</f>
        <v>0</v>
      </c>
      <c r="I72" s="59" t="n">
        <f aca="false">((LEN($AN72)-LEN(SUBSTITUTE($AN72,CHAR(10)&amp;"! ","")))/3)+IF(LEFT(TRIM($AN72),2)="! ",1,0)</f>
        <v>0</v>
      </c>
      <c r="J72" s="59" t="n">
        <f aca="false">((LEN($AN72)-LEN(SUBSTITUTE($AN72,CHAR(10)&amp;"x ","")))/3)+IF(LEFT(TRIM($AN72),2)="x ",1,0)</f>
        <v>0</v>
      </c>
      <c r="K72" s="59" t="n">
        <f aca="false">SUM(F72:J72)</f>
        <v>0</v>
      </c>
      <c r="L72" s="60" t="n">
        <f aca="false">YEAR(D72)</f>
        <v>1899</v>
      </c>
      <c r="M72" s="60" t="str">
        <f aca="false">VLOOKUP(MONTH(D72),Static!$AJ$3:$AK$16,2,0)</f>
        <v>Dec</v>
      </c>
      <c r="N72" s="60" t="n">
        <f aca="false">WEEKNUM(D72,1)</f>
        <v>52</v>
      </c>
      <c r="O72" s="60" t="str">
        <f aca="false">IFERROR(INDEX(Static!$I$5:$L$15,MATCH(AA72,Static!$I$5:$I$15,0),3),"Z")</f>
        <v>Z</v>
      </c>
      <c r="P72" s="60" t="str">
        <f aca="false">IFERROR(INDEX(Static!$I$5:$L$15,MATCH(AA72,Static!$I$5:$I$15,0),4),"Y")</f>
        <v>Y</v>
      </c>
      <c r="Q72" s="60" t="str">
        <f aca="false">IF(D72&gt;(($A$14-WEEKDAY($A$14,2))-7*$D$15),"Y","N")</f>
        <v>N</v>
      </c>
      <c r="R72" s="58" t="str">
        <f aca="false">IF(AB72&lt;&gt;"","Y","N")</f>
        <v>N</v>
      </c>
      <c r="S72" s="60" t="str">
        <f aca="false">IF(AND(Q72="Y",R72="N"),"Y","N")</f>
        <v>N</v>
      </c>
      <c r="T72" s="58" t="str">
        <f aca="false">IF(OR(Y72="Y",Y72="N"),Y72,IF(AND(P72="Y", OR(Q72="Y",S72="Y")),"Y","N"))</f>
        <v>N</v>
      </c>
      <c r="U72" s="60" t="str">
        <f aca="false">"Y"</f>
        <v>Y</v>
      </c>
      <c r="V72" s="61" t="str">
        <f aca="false">" -  "&amp;O72&amp;AJ72&amp;AK72&amp;AB72</f>
        <v> -  Z</v>
      </c>
      <c r="W72" s="60" t="str">
        <f aca="false">IFERROR(VLOOKUP(WEEKDAY(X72),Static!$AL$3:$AM$11,2,0),"")</f>
        <v>Sat</v>
      </c>
      <c r="X72" s="58" t="n">
        <f aca="false">IF(AD72&lt;&gt;"",AS72,0)</f>
        <v>0</v>
      </c>
      <c r="Y72" s="40"/>
      <c r="Z72" s="40"/>
      <c r="AA72" s="62"/>
      <c r="AB72" s="64"/>
      <c r="AC72" s="64"/>
      <c r="AD72" s="40"/>
      <c r="AE72" s="67"/>
      <c r="AF72" s="68"/>
      <c r="AG72" s="69" t="str">
        <f aca="false">IF(AB72="","",AE72*AF72/8)</f>
        <v/>
      </c>
      <c r="AH72" s="40"/>
      <c r="AI72" s="40"/>
      <c r="AJ72" s="40"/>
      <c r="AK72" s="63"/>
      <c r="AL72" s="65"/>
      <c r="AM72" s="65"/>
      <c r="AN72" s="64"/>
      <c r="AO72" s="60" t="n">
        <f aca="false">SUM(F72:I72)</f>
        <v>0</v>
      </c>
      <c r="AP72" s="66" t="n">
        <f aca="false">IF(AB72="",1,IF(K72&lt;&gt;0,(G72*0.5+J72)/K72,1))</f>
        <v>1</v>
      </c>
      <c r="AQ72" s="78" t="str">
        <f aca="false">IF(AM72="","",IF(ISERROR(FIND(CHAR(10),AM72,1)),AM72,LEFT(AM72,FIND(CHAR(10),AM72,1))))</f>
        <v/>
      </c>
      <c r="AR72" s="79" t="str">
        <f aca="false">IF(AM72="","",IFERROR(RIGHT(AM72,LEN(AM72)-FIND("@@@",SUBSTITUTE(AM72,CHAR(10),"@@@",LEN(AM72)-LEN(SUBSTITUTE(AM72,CHAR(10),""))),1)),AM72))</f>
        <v/>
      </c>
      <c r="AS72" s="57" t="str">
        <f aca="false">IFERROR(DATE(("20"&amp;MID(AQ72,7,2))*1,MID(AQ72,4,2)*1,MID(AQ72,1,2)*1),"")</f>
        <v/>
      </c>
      <c r="AT72" s="57" t="str">
        <f aca="false">IFERROR(DATE(("20"&amp;MID(AR72,7,2))*1,MID(AR72,4,2)*1,MID(AR72,1,2)*1),"")</f>
        <v/>
      </c>
      <c r="AU72" s="64" t="s">
        <v>364</v>
      </c>
    </row>
    <row r="73" customFormat="false" ht="12.75" hidden="false" customHeight="true" outlineLevel="0" collapsed="false">
      <c r="A73" s="54"/>
      <c r="B73" s="58" t="str">
        <f aca="false">IF(AH73="","tbc",AH73)</f>
        <v>tbc</v>
      </c>
      <c r="C73" s="58" t="str">
        <f aca="false">IF(AI73="","VNT",AI73)</f>
        <v>VNT</v>
      </c>
      <c r="D73" s="58" t="n">
        <f aca="false">MAX(X73,IF(AT73="none",X73,AT73))</f>
        <v>0</v>
      </c>
      <c r="E73" s="59" t="n">
        <f aca="false">IFERROR(DAYS360(X73,D73),0)</f>
        <v>0</v>
      </c>
      <c r="F73" s="59" t="n">
        <f aca="false">((LEN($AN73)-LEN(SUBSTITUTE($AN73,CHAR(10)&amp;". ","")))/3)+IF(LEFT(TRIM($AN73),2)=". ",1,0)</f>
        <v>0</v>
      </c>
      <c r="G73" s="59" t="n">
        <f aca="false">((LEN($AN73)-LEN(SUBSTITUTE($AN73,CHAR(10)&amp;"/ ","")))/3)+IF(LEFT(TRIM($AN73),2)="/ ",1,0)</f>
        <v>0</v>
      </c>
      <c r="H73" s="59" t="n">
        <f aca="false">((LEN($AN73)-LEN(SUBSTITUTE($AN73,CHAR(10)&amp;"~ ","")))/3)+IF(LEFT(TRIM($AN73),2)="~ ",1,0)</f>
        <v>0</v>
      </c>
      <c r="I73" s="59" t="n">
        <f aca="false">((LEN($AN73)-LEN(SUBSTITUTE($AN73,CHAR(10)&amp;"! ","")))/3)+IF(LEFT(TRIM($AN73),2)="! ",1,0)</f>
        <v>0</v>
      </c>
      <c r="J73" s="59" t="n">
        <f aca="false">((LEN($AN73)-LEN(SUBSTITUTE($AN73,CHAR(10)&amp;"x ","")))/3)+IF(LEFT(TRIM($AN73),2)="x ",1,0)</f>
        <v>0</v>
      </c>
      <c r="K73" s="59" t="n">
        <f aca="false">SUM(F73:J73)</f>
        <v>0</v>
      </c>
      <c r="L73" s="60" t="n">
        <f aca="false">YEAR(D73)</f>
        <v>1899</v>
      </c>
      <c r="M73" s="60" t="str">
        <f aca="false">VLOOKUP(MONTH(D73),Static!$AJ$3:$AK$16,2,0)</f>
        <v>Dec</v>
      </c>
      <c r="N73" s="60" t="n">
        <f aca="false">WEEKNUM(D73,1)</f>
        <v>52</v>
      </c>
      <c r="O73" s="60" t="str">
        <f aca="false">IFERROR(INDEX(Static!$I$5:$L$15,MATCH(AA73,Static!$I$5:$I$15,0),3),"Z")</f>
        <v>Z</v>
      </c>
      <c r="P73" s="60" t="str">
        <f aca="false">IFERROR(INDEX(Static!$I$5:$L$15,MATCH(AA73,Static!$I$5:$I$15,0),4),"Y")</f>
        <v>Y</v>
      </c>
      <c r="Q73" s="60" t="str">
        <f aca="false">IF(D73&gt;(($A$14-WEEKDAY($A$14,2))-7*$D$15),"Y","N")</f>
        <v>N</v>
      </c>
      <c r="R73" s="58" t="str">
        <f aca="false">IF(AB73&lt;&gt;"","Y","N")</f>
        <v>N</v>
      </c>
      <c r="S73" s="60" t="str">
        <f aca="false">IF(AND(Q73="Y",R73="N"),"Y","N")</f>
        <v>N</v>
      </c>
      <c r="T73" s="58" t="str">
        <f aca="false">IF(OR(Y73="Y",Y73="N"),Y73,IF(AND(P73="Y", OR(Q73="Y",S73="Y")),"Y","N"))</f>
        <v>N</v>
      </c>
      <c r="U73" s="60" t="str">
        <f aca="false">"Y"</f>
        <v>Y</v>
      </c>
      <c r="V73" s="61" t="str">
        <f aca="false">" -  "&amp;O73&amp;AJ73&amp;AK73&amp;AB73</f>
        <v> -  Z</v>
      </c>
      <c r="W73" s="60" t="str">
        <f aca="false">IFERROR(VLOOKUP(WEEKDAY(X73),Static!$AL$3:$AM$11,2,0),"")</f>
        <v>Sat</v>
      </c>
      <c r="X73" s="58" t="n">
        <f aca="false">IF(AD73&lt;&gt;"",AS73,0)</f>
        <v>0</v>
      </c>
      <c r="Y73" s="40"/>
      <c r="Z73" s="40"/>
      <c r="AA73" s="62"/>
      <c r="AB73" s="64"/>
      <c r="AC73" s="64"/>
      <c r="AD73" s="40"/>
      <c r="AE73" s="67"/>
      <c r="AF73" s="68"/>
      <c r="AG73" s="69" t="str">
        <f aca="false">IF(AB73="","",AE73*AF73/8)</f>
        <v/>
      </c>
      <c r="AH73" s="40"/>
      <c r="AI73" s="40"/>
      <c r="AJ73" s="40"/>
      <c r="AK73" s="63"/>
      <c r="AL73" s="65"/>
      <c r="AM73" s="64"/>
      <c r="AN73" s="64"/>
      <c r="AO73" s="60" t="n">
        <f aca="false">SUM(F73:I73)</f>
        <v>0</v>
      </c>
      <c r="AP73" s="66" t="n">
        <f aca="false">IF(AB73="",1,IF(K73&lt;&gt;0,(G73*0.5+J73)/K73,1))</f>
        <v>1</v>
      </c>
      <c r="AQ73" s="55" t="str">
        <f aca="false">IF(AM73="","",IF(ISERROR(FIND(CHAR(10),AM73,1)),AM73,LEFT(AM73,FIND(CHAR(10),AM73,1))))</f>
        <v/>
      </c>
      <c r="AR73" s="56" t="str">
        <f aca="false">IF(AM73="","",IFERROR(RIGHT(AM73,LEN(AM73)-FIND("@@@",SUBSTITUTE(AM73,CHAR(10),"@@@",LEN(AM73)-LEN(SUBSTITUTE(AM73,CHAR(10),""))),1)),AM73))</f>
        <v/>
      </c>
      <c r="AS73" s="57" t="str">
        <f aca="false">IFERROR(DATE(("20"&amp;MID(AQ73,7,2))*1,MID(AQ73,4,2)*1,MID(AQ73,1,2)*1),"")</f>
        <v/>
      </c>
      <c r="AT73" s="57" t="str">
        <f aca="false">IFERROR(DATE(("20"&amp;MID(AR73,7,2))*1,MID(AR73,4,2)*1,MID(AR73,1,2)*1),"")</f>
        <v/>
      </c>
      <c r="AU73" s="64" t="s">
        <v>364</v>
      </c>
    </row>
    <row r="74" customFormat="false" ht="12.75" hidden="false" customHeight="true" outlineLevel="0" collapsed="false">
      <c r="B74" s="58" t="str">
        <f aca="false">IF(AH74="","tbc",AH74)</f>
        <v>tbc</v>
      </c>
      <c r="C74" s="58" t="str">
        <f aca="false">IF(AI74="","VNT",AI74)</f>
        <v>VNT</v>
      </c>
      <c r="D74" s="58" t="n">
        <f aca="false">MAX(X74,IF(AT74="none",X74,AT74))</f>
        <v>0</v>
      </c>
      <c r="E74" s="59" t="n">
        <f aca="false">IFERROR(DAYS360(X74,D74),0)</f>
        <v>0</v>
      </c>
      <c r="F74" s="59" t="n">
        <f aca="false">((LEN($AN74)-LEN(SUBSTITUTE($AN74,CHAR(10)&amp;". ","")))/3)+IF(LEFT(TRIM($AN74),2)=". ",1,0)</f>
        <v>0</v>
      </c>
      <c r="G74" s="59" t="n">
        <f aca="false">((LEN($AN74)-LEN(SUBSTITUTE($AN74,CHAR(10)&amp;"/ ","")))/3)+IF(LEFT(TRIM($AN74),2)="/ ",1,0)</f>
        <v>0</v>
      </c>
      <c r="H74" s="59" t="n">
        <f aca="false">((LEN($AN74)-LEN(SUBSTITUTE($AN74,CHAR(10)&amp;"~ ","")))/3)+IF(LEFT(TRIM($AN74),2)="~ ",1,0)</f>
        <v>0</v>
      </c>
      <c r="I74" s="59" t="n">
        <f aca="false">((LEN($AN74)-LEN(SUBSTITUTE($AN74,CHAR(10)&amp;"! ","")))/3)+IF(LEFT(TRIM($AN74),2)="! ",1,0)</f>
        <v>0</v>
      </c>
      <c r="J74" s="59" t="n">
        <f aca="false">((LEN($AN74)-LEN(SUBSTITUTE($AN74,CHAR(10)&amp;"x ","")))/3)+IF(LEFT(TRIM($AN74),2)="x ",1,0)</f>
        <v>0</v>
      </c>
      <c r="K74" s="59" t="n">
        <f aca="false">SUM(F74:J74)</f>
        <v>0</v>
      </c>
      <c r="L74" s="60" t="n">
        <f aca="false">YEAR(D74)</f>
        <v>1899</v>
      </c>
      <c r="M74" s="60" t="str">
        <f aca="false">VLOOKUP(MONTH(D74),Static!$AJ$3:$AK$16,2,0)</f>
        <v>Dec</v>
      </c>
      <c r="N74" s="60" t="n">
        <f aca="false">WEEKNUM(D74,1)</f>
        <v>52</v>
      </c>
      <c r="O74" s="60" t="str">
        <f aca="false">IFERROR(INDEX(Static!$I$5:$L$15,MATCH(AA74,Static!$I$5:$I$15,0),3),"Z")</f>
        <v>Z</v>
      </c>
      <c r="P74" s="60" t="str">
        <f aca="false">IFERROR(INDEX(Static!$I$5:$L$15,MATCH(AA74,Static!$I$5:$I$15,0),4),"Y")</f>
        <v>Y</v>
      </c>
      <c r="Q74" s="60" t="str">
        <f aca="false">IF(D74&gt;(($A$14-WEEKDAY($A$14,2))-7*$D$15),"Y","N")</f>
        <v>N</v>
      </c>
      <c r="R74" s="58" t="str">
        <f aca="false">IF(AB74&lt;&gt;"","Y","N")</f>
        <v>N</v>
      </c>
      <c r="S74" s="60" t="str">
        <f aca="false">IF(AND(Q74="Y",R74="N"),"Y","N")</f>
        <v>N</v>
      </c>
      <c r="T74" s="58" t="str">
        <f aca="false">IF(OR(Y74="Y",Y74="N"),Y74,IF(AND(P74="Y", OR(Q74="Y",S74="Y")),"Y","N"))</f>
        <v>N</v>
      </c>
      <c r="U74" s="60" t="str">
        <f aca="false">"Y"</f>
        <v>Y</v>
      </c>
      <c r="V74" s="61" t="str">
        <f aca="false">" -  "&amp;O74&amp;AJ74&amp;AK74&amp;AB74</f>
        <v> -  Z</v>
      </c>
      <c r="W74" s="60" t="str">
        <f aca="false">IFERROR(VLOOKUP(WEEKDAY(X74),Static!$AL$3:$AM$11,2,0),"")</f>
        <v>Sat</v>
      </c>
      <c r="X74" s="58" t="n">
        <f aca="false">IF(AD74&lt;&gt;"",AS74,0)</f>
        <v>0</v>
      </c>
      <c r="Y74" s="40"/>
      <c r="Z74" s="40"/>
      <c r="AA74" s="62"/>
      <c r="AB74" s="64"/>
      <c r="AC74" s="64"/>
      <c r="AD74" s="40"/>
      <c r="AE74" s="67"/>
      <c r="AF74" s="68"/>
      <c r="AG74" s="69" t="str">
        <f aca="false">IF(AB74="","",AE74*AF74/8)</f>
        <v/>
      </c>
      <c r="AH74" s="40"/>
      <c r="AI74" s="40"/>
      <c r="AJ74" s="40"/>
      <c r="AK74" s="63"/>
      <c r="AL74" s="64"/>
      <c r="AM74" s="64"/>
      <c r="AN74" s="65"/>
      <c r="AO74" s="60" t="n">
        <f aca="false">SUM(F74:I74)</f>
        <v>0</v>
      </c>
      <c r="AP74" s="66" t="n">
        <f aca="false">IF(AB74="",1,IF(K74&lt;&gt;0,(G74*0.5+J74)/K74,1))</f>
        <v>1</v>
      </c>
      <c r="AQ74" s="55" t="str">
        <f aca="false">IF(AM74="","",IF(ISERROR(FIND(CHAR(10),AM74,1)),AM74,LEFT(AM74,FIND(CHAR(10),AM74,1))))</f>
        <v/>
      </c>
      <c r="AR74" s="56" t="str">
        <f aca="false">IF(AM74="","",IFERROR(RIGHT(AM74,LEN(AM74)-FIND("@@@",SUBSTITUTE(AM74,CHAR(10),"@@@",LEN(AM74)-LEN(SUBSTITUTE(AM74,CHAR(10),""))),1)),AM74))</f>
        <v/>
      </c>
      <c r="AS74" s="57" t="str">
        <f aca="false">IFERROR(DATE(("20"&amp;MID(AQ74,7,2))*1,MID(AQ74,4,2)*1,MID(AQ74,1,2)*1),"")</f>
        <v/>
      </c>
      <c r="AT74" s="57" t="str">
        <f aca="false">IFERROR(DATE(("20"&amp;MID(AR74,7,2))*1,MID(AR74,4,2)*1,MID(AR74,1,2)*1),"")</f>
        <v/>
      </c>
      <c r="AU74" s="64" t="s">
        <v>364</v>
      </c>
    </row>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sheetData>
  <autoFilter ref="A17:AU74"/>
  <conditionalFormatting sqref="AP18:AP74">
    <cfRule type="colorScale" priority="2">
      <colorScale>
        <cfvo type="num" val="0"/>
        <cfvo type="num" val="1"/>
        <color rgb="FFFF0000"/>
        <color rgb="FF00A933"/>
      </colorScale>
    </cfRule>
  </conditionalFormatting>
  <dataValidations count="5">
    <dataValidation allowBlank="true" errorStyle="stop" operator="equal" showDropDown="false" showErrorMessage="true" showInputMessage="false" sqref="AA18:AA74" type="list">
      <formula1>Static!$D$5:$D$14</formula1>
      <formula2>0</formula2>
    </dataValidation>
    <dataValidation allowBlank="true" errorStyle="stop" operator="equal" showDropDown="false" showErrorMessage="true" showInputMessage="false" sqref="Y18:Y74" type="list">
      <formula1>Static!$AI$5:$AI$7</formula1>
      <formula2>0</formula2>
    </dataValidation>
    <dataValidation allowBlank="true" errorStyle="stop" operator="equal" showDropDown="false" showErrorMessage="true" showInputMessage="false" sqref="AD18:AD74" type="list">
      <formula1>Static!$G$5:$G$14</formula1>
      <formula2>0</formula2>
    </dataValidation>
    <dataValidation allowBlank="true" errorStyle="stop" operator="equal" showDropDown="false" showErrorMessage="true" showInputMessage="false" sqref="AJ18:AJ74" type="list">
      <formula1>Static!$M$5:$P$5</formula1>
      <formula2>0</formula2>
    </dataValidation>
    <dataValidation allowBlank="true" errorStyle="stop" operator="equal" showDropDown="false" showErrorMessage="true" showInputMessage="false" sqref="AK18:AK74" type="list">
      <formula1>INDIRECT(AJ18)</formula1>
      <formula2>0</formula2>
    </dataValidation>
  </dataValidation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AMB55"/>
  <sheetViews>
    <sheetView showFormulas="false" showGridLines="false" showRowColHeaders="true" showZeros="true" rightToLeft="false" tabSelected="false" showOutlineSymbols="true" defaultGridColor="true" view="normal" topLeftCell="AK1" colorId="64" zoomScale="100" zoomScaleNormal="100" zoomScalePageLayoutView="100" workbookViewId="0">
      <pane xSplit="0" ySplit="20" topLeftCell="AA21" activePane="bottomLeft" state="frozen"/>
      <selection pane="topLeft" activeCell="AK1" activeCellId="0" sqref="AK1"/>
      <selection pane="bottomLeft" activeCell="AL19" activeCellId="0" sqref="AL19"/>
    </sheetView>
  </sheetViews>
  <sheetFormatPr defaultColWidth="16.1484375" defaultRowHeight="12.8" zeroHeight="false" outlineLevelRow="1" outlineLevelCol="1"/>
  <cols>
    <col collapsed="false" customWidth="true" hidden="true" outlineLevel="1" max="1" min="1" style="3" width="2.16"/>
    <col collapsed="false" customWidth="true" hidden="true" outlineLevel="1" max="2" min="2" style="3" width="6.54"/>
    <col collapsed="false" customWidth="true" hidden="true" outlineLevel="1" max="3" min="3" style="29" width="10.28"/>
    <col collapsed="false" customWidth="true" hidden="true" outlineLevel="1" max="4" min="4" style="29" width="6.11"/>
    <col collapsed="false" customWidth="true" hidden="true" outlineLevel="1" max="5" min="5" style="3" width="6.54"/>
    <col collapsed="false" customWidth="true" hidden="true" outlineLevel="1" max="6" min="6" style="29" width="6.21"/>
    <col collapsed="false" customWidth="true" hidden="true" outlineLevel="1" max="7" min="7" style="29" width="9.33"/>
    <col collapsed="false" customWidth="true" hidden="true" outlineLevel="1" max="8" min="8" style="29" width="8.82"/>
    <col collapsed="false" customWidth="true" hidden="true" outlineLevel="1" max="9" min="9" style="29" width="8.34"/>
    <col collapsed="false" customWidth="true" hidden="true" outlineLevel="1" max="10" min="10" style="29" width="7.35"/>
    <col collapsed="false" customWidth="true" hidden="true" outlineLevel="1" max="11" min="11" style="29" width="8.82"/>
    <col collapsed="false" customWidth="true" hidden="true" outlineLevel="1" max="12" min="12" style="29" width="6.75"/>
    <col collapsed="false" customWidth="true" hidden="true" outlineLevel="1" max="13" min="13" style="29" width="9.47"/>
    <col collapsed="false" customWidth="true" hidden="true" outlineLevel="1" max="14" min="14" style="29" width="10.12"/>
    <col collapsed="false" customWidth="true" hidden="true" outlineLevel="1" max="22" min="15" style="29" width="8.89"/>
    <col collapsed="false" customWidth="true" hidden="true" outlineLevel="1" max="24" min="23" style="29" width="9.86"/>
    <col collapsed="false" customWidth="true" hidden="true" outlineLevel="1" max="26" min="25" style="29" width="7.64"/>
    <col collapsed="false" customWidth="true" hidden="true" outlineLevel="1" max="27" min="27" style="29" width="8.89"/>
    <col collapsed="false" customWidth="true" hidden="true" outlineLevel="1" max="28" min="28" style="29" width="8.61"/>
    <col collapsed="false" customWidth="true" hidden="false" outlineLevel="0" max="29" min="29" style="29" width="3.51"/>
    <col collapsed="false" customWidth="true" hidden="false" outlineLevel="0" max="30" min="30" style="3" width="7.95"/>
    <col collapsed="false" customWidth="true" hidden="false" outlineLevel="0" max="31" min="31" style="3" width="2.92"/>
    <col collapsed="false" customWidth="true" hidden="false" outlineLevel="0" max="32" min="32" style="29" width="2.92"/>
    <col collapsed="false" customWidth="true" hidden="false" outlineLevel="0" max="33" min="33" style="3" width="2.45"/>
    <col collapsed="false" customWidth="true" hidden="false" outlineLevel="0" max="34" min="34" style="3" width="6.58"/>
    <col collapsed="false" customWidth="true" hidden="false" outlineLevel="0" max="35" min="35" style="29" width="9.52"/>
    <col collapsed="false" customWidth="true" hidden="false" outlineLevel="0" max="36" min="36" style="1" width="25.46"/>
    <col collapsed="false" customWidth="true" hidden="false" outlineLevel="0" max="37" min="37" style="1" width="22.23"/>
    <col collapsed="false" customWidth="true" hidden="false" outlineLevel="1" max="39" min="38" style="29" width="12.43"/>
    <col collapsed="false" customWidth="true" hidden="false" outlineLevel="1" max="40" min="40" style="29" width="9.72"/>
    <col collapsed="false" customWidth="true" hidden="false" outlineLevel="1" max="41" min="41" style="29" width="9.33"/>
    <col collapsed="false" customWidth="true" hidden="false" outlineLevel="1" max="42" min="42" style="29" width="8.34"/>
    <col collapsed="false" customWidth="true" hidden="false" outlineLevel="1" max="43" min="43" style="29" width="7.64"/>
    <col collapsed="false" customWidth="true" hidden="false" outlineLevel="1" max="44" min="44" style="29" width="7.16"/>
    <col collapsed="false" customWidth="true" hidden="false" outlineLevel="1" max="45" min="45" style="29" width="7.61"/>
    <col collapsed="false" customWidth="true" hidden="false" outlineLevel="1" max="46" min="46" style="29" width="9.14"/>
    <col collapsed="false" customWidth="true" hidden="false" outlineLevel="1" max="47" min="47" style="29" width="7.31"/>
    <col collapsed="false" customWidth="true" hidden="false" outlineLevel="1" max="48" min="48" style="29" width="8.03"/>
    <col collapsed="false" customWidth="true" hidden="false" outlineLevel="1" max="49" min="49" style="29" width="10.65"/>
    <col collapsed="false" customWidth="true" hidden="false" outlineLevel="1" max="50" min="50" style="29" width="8.8"/>
    <col collapsed="false" customWidth="true" hidden="false" outlineLevel="1" max="52" min="51" style="29" width="9.79"/>
    <col collapsed="false" customWidth="true" hidden="false" outlineLevel="1" max="53" min="53" style="29" width="11.11"/>
    <col collapsed="false" customWidth="true" hidden="false" outlineLevel="1" max="54" min="54" style="29" width="9.93"/>
    <col collapsed="false" customWidth="true" hidden="false" outlineLevel="0" max="56" min="55" style="3" width="12.13"/>
    <col collapsed="false" customWidth="true" hidden="false" outlineLevel="0" max="57" min="57" style="29" width="6.72"/>
    <col collapsed="false" customWidth="true" hidden="false" outlineLevel="0" max="58" min="58" style="29" width="9.79"/>
    <col collapsed="false" customWidth="true" hidden="false" outlineLevel="0" max="60" min="59" style="29" width="6.43"/>
    <col collapsed="false" customWidth="true" hidden="false" outlineLevel="0" max="61" min="61" style="29" width="6.11"/>
    <col collapsed="false" customWidth="true" hidden="false" outlineLevel="0" max="62" min="62" style="3" width="2.92"/>
    <col collapsed="false" customWidth="true" hidden="false" outlineLevel="0" max="71" min="63" style="3" width="2.49"/>
    <col collapsed="false" customWidth="true" hidden="false" outlineLevel="0" max="72" min="72" style="3" width="2.22"/>
    <col collapsed="false" customWidth="true" hidden="false" outlineLevel="0" max="112" min="73" style="3" width="2.49"/>
    <col collapsed="false" customWidth="true" hidden="false" outlineLevel="0" max="113" min="113" style="3" width="2.62"/>
    <col collapsed="false" customWidth="true" hidden="true" outlineLevel="1" max="114" min="114" style="3" width="13.47"/>
    <col collapsed="false" customWidth="true" hidden="true" outlineLevel="1" max="115" min="115" style="3" width="16.67"/>
    <col collapsed="false" customWidth="true" hidden="true" outlineLevel="1" max="116" min="116" style="3" width="10.71"/>
    <col collapsed="false" customWidth="true" hidden="true" outlineLevel="1" max="119" min="117" style="80" width="13.89"/>
    <col collapsed="false" customWidth="true" hidden="true" outlineLevel="1" max="120" min="120" style="80" width="13.43"/>
    <col collapsed="false" customWidth="true" hidden="true" outlineLevel="1" max="121" min="121" style="80" width="10.28"/>
    <col collapsed="false" customWidth="true" hidden="true" outlineLevel="1" max="122" min="122" style="80" width="11.52"/>
    <col collapsed="false" customWidth="true" hidden="true" outlineLevel="1" max="123" min="123" style="29" width="10"/>
    <col collapsed="false" customWidth="true" hidden="true" outlineLevel="1" max="124" min="124" style="80" width="11.52"/>
    <col collapsed="false" customWidth="true" hidden="true" outlineLevel="1" max="125" min="125" style="80" width="7.64"/>
    <col collapsed="false" customWidth="true" hidden="true" outlineLevel="1" max="126" min="126" style="29" width="7.22"/>
    <col collapsed="false" customWidth="true" hidden="true" outlineLevel="1" max="127" min="127" style="29" width="15.28"/>
    <col collapsed="false" customWidth="true" hidden="true" outlineLevel="1" max="128" min="128" style="29" width="10.25"/>
    <col collapsed="false" customWidth="true" hidden="true" outlineLevel="1" max="129" min="129" style="29" width="11.53"/>
    <col collapsed="false" customWidth="true" hidden="false" outlineLevel="0" max="130" min="130" style="29" width="2.34"/>
    <col collapsed="false" customWidth="true" hidden="false" outlineLevel="0" max="1025" min="1017" style="1" width="11.52"/>
  </cols>
  <sheetData>
    <row r="1" customFormat="false" ht="12.8" hidden="true" customHeight="true" outlineLevel="1" collapsed="false">
      <c r="A1" s="30"/>
      <c r="B1" s="33"/>
      <c r="C1" s="77" t="s">
        <v>569</v>
      </c>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4"/>
      <c r="AH1" s="31"/>
      <c r="AI1" s="34"/>
      <c r="AJ1" s="33"/>
      <c r="AK1" s="33"/>
      <c r="AL1" s="33"/>
      <c r="AM1" s="33"/>
      <c r="AN1" s="33"/>
      <c r="AO1" s="33"/>
      <c r="AP1" s="31"/>
      <c r="AQ1" s="34"/>
      <c r="AR1" s="31"/>
      <c r="AS1" s="31"/>
      <c r="AT1" s="33"/>
      <c r="AU1" s="33"/>
      <c r="AV1" s="31"/>
      <c r="AW1" s="31"/>
      <c r="AX1" s="31"/>
      <c r="AY1" s="32"/>
      <c r="AZ1" s="32"/>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c r="CS1" s="31"/>
      <c r="CT1" s="31"/>
      <c r="CU1" s="31"/>
      <c r="CV1" s="31"/>
      <c r="CW1" s="31"/>
      <c r="CX1" s="31"/>
      <c r="CY1" s="31"/>
      <c r="CZ1" s="31"/>
      <c r="DA1" s="31"/>
      <c r="DB1" s="31"/>
      <c r="DC1" s="31"/>
      <c r="DD1" s="31"/>
      <c r="DE1" s="31"/>
      <c r="DF1" s="31"/>
      <c r="DG1" s="31"/>
      <c r="DH1" s="31"/>
      <c r="DI1" s="31"/>
      <c r="DJ1" s="31"/>
      <c r="DK1" s="31"/>
      <c r="DL1" s="31"/>
      <c r="DM1" s="31"/>
      <c r="DN1" s="31"/>
      <c r="DO1" s="31"/>
      <c r="DP1" s="31"/>
      <c r="DQ1" s="31"/>
      <c r="DR1" s="31"/>
      <c r="DS1" s="31"/>
      <c r="DT1" s="31"/>
      <c r="DU1" s="31"/>
      <c r="DV1" s="31"/>
      <c r="DW1" s="31"/>
      <c r="DX1" s="31"/>
      <c r="DY1" s="31"/>
      <c r="DZ1" s="31" t="s">
        <v>364</v>
      </c>
      <c r="EA1" s="35"/>
      <c r="EB1" s="81"/>
      <c r="EC1" s="35"/>
      <c r="ED1" s="35"/>
      <c r="EE1" s="35"/>
      <c r="EF1" s="35"/>
      <c r="EG1" s="35"/>
      <c r="EH1" s="35"/>
      <c r="EI1" s="35"/>
      <c r="EJ1" s="35"/>
      <c r="EK1" s="35"/>
      <c r="EL1" s="35"/>
      <c r="EM1" s="35"/>
      <c r="EN1" s="35"/>
      <c r="EO1" s="35"/>
      <c r="EP1" s="35"/>
      <c r="EQ1" s="35"/>
      <c r="ER1" s="35"/>
      <c r="ES1" s="35"/>
      <c r="ET1" s="35"/>
      <c r="EU1" s="35"/>
      <c r="EV1" s="35"/>
      <c r="EW1" s="35"/>
      <c r="EX1" s="35"/>
      <c r="EY1" s="35"/>
      <c r="EZ1" s="35"/>
      <c r="FA1" s="35"/>
      <c r="FB1" s="35"/>
      <c r="FC1" s="35"/>
      <c r="FD1" s="35"/>
      <c r="FE1" s="35"/>
      <c r="FF1" s="35"/>
      <c r="FG1" s="35"/>
      <c r="FH1" s="35"/>
      <c r="FI1" s="35"/>
      <c r="FJ1" s="35"/>
      <c r="FK1" s="35"/>
      <c r="FL1" s="35"/>
      <c r="FM1" s="35"/>
      <c r="FN1" s="35"/>
      <c r="FO1" s="35"/>
      <c r="FP1" s="35"/>
      <c r="FQ1" s="35"/>
      <c r="FR1" s="35"/>
      <c r="FS1" s="35"/>
      <c r="FT1" s="35"/>
      <c r="FU1" s="35"/>
      <c r="FV1" s="35"/>
      <c r="FW1" s="35"/>
      <c r="FX1" s="35"/>
      <c r="FY1" s="35"/>
      <c r="FZ1" s="35"/>
      <c r="GA1" s="35"/>
      <c r="GB1" s="35"/>
      <c r="GC1" s="35"/>
      <c r="GD1" s="35"/>
      <c r="GE1" s="35"/>
      <c r="GF1" s="35"/>
      <c r="GG1" s="35"/>
      <c r="GH1" s="35"/>
      <c r="GI1" s="35"/>
      <c r="GJ1" s="35"/>
      <c r="GK1" s="35"/>
      <c r="GL1" s="35"/>
      <c r="GM1" s="35"/>
      <c r="GN1" s="35"/>
      <c r="GO1" s="35"/>
      <c r="GP1" s="35"/>
      <c r="GQ1" s="35"/>
      <c r="GR1" s="35"/>
      <c r="GS1" s="35"/>
      <c r="GT1" s="35"/>
      <c r="GU1" s="35"/>
      <c r="GV1" s="35"/>
      <c r="GW1" s="35"/>
      <c r="GX1" s="35"/>
      <c r="GY1" s="35"/>
      <c r="GZ1" s="35"/>
      <c r="HA1" s="35"/>
      <c r="HB1" s="35"/>
      <c r="HC1" s="35"/>
      <c r="HD1" s="35"/>
      <c r="HE1" s="35"/>
      <c r="HF1" s="35"/>
      <c r="HG1" s="35"/>
      <c r="HH1" s="35"/>
      <c r="HI1" s="35"/>
      <c r="HJ1" s="35"/>
      <c r="HK1" s="35"/>
      <c r="HL1" s="35"/>
      <c r="HM1" s="35"/>
      <c r="HN1" s="35"/>
      <c r="HO1" s="35"/>
      <c r="HP1" s="35"/>
      <c r="HQ1" s="35"/>
      <c r="HR1" s="35"/>
      <c r="HS1" s="35"/>
      <c r="HT1" s="35"/>
      <c r="HU1" s="35"/>
      <c r="HV1" s="35"/>
      <c r="HW1" s="35"/>
      <c r="HX1" s="35"/>
      <c r="HY1" s="35"/>
      <c r="HZ1" s="35"/>
      <c r="IA1" s="35"/>
      <c r="IB1" s="35"/>
      <c r="IC1" s="35"/>
      <c r="ID1" s="35"/>
      <c r="IE1" s="35"/>
      <c r="IF1" s="35"/>
      <c r="IG1" s="35"/>
      <c r="IH1" s="35"/>
      <c r="II1" s="35"/>
      <c r="IJ1" s="35"/>
      <c r="IK1" s="35"/>
      <c r="IL1" s="35"/>
      <c r="IM1" s="35"/>
      <c r="IN1" s="35"/>
      <c r="IO1" s="35"/>
      <c r="IP1" s="35"/>
      <c r="IQ1" s="35"/>
      <c r="IR1" s="35"/>
      <c r="IS1" s="35"/>
      <c r="IT1" s="35"/>
      <c r="IU1" s="35"/>
      <c r="IV1" s="35"/>
      <c r="IW1" s="35"/>
      <c r="IX1" s="35"/>
      <c r="IY1" s="35"/>
      <c r="IZ1" s="35"/>
      <c r="JA1" s="35"/>
      <c r="JB1" s="35"/>
      <c r="JC1" s="35"/>
      <c r="JD1" s="35"/>
      <c r="JE1" s="35"/>
      <c r="JF1" s="35"/>
      <c r="JG1" s="35"/>
      <c r="JH1" s="35"/>
      <c r="JI1" s="35"/>
      <c r="JJ1" s="35"/>
      <c r="JK1" s="35"/>
      <c r="JL1" s="35"/>
      <c r="JM1" s="35"/>
      <c r="JN1" s="35"/>
      <c r="JO1" s="35"/>
      <c r="JP1" s="35"/>
      <c r="JQ1" s="35"/>
      <c r="JR1" s="35"/>
      <c r="JS1" s="35"/>
      <c r="JT1" s="35"/>
      <c r="JU1" s="35"/>
      <c r="JV1" s="35"/>
      <c r="JW1" s="35"/>
      <c r="JX1" s="35"/>
      <c r="JY1" s="35"/>
      <c r="JZ1" s="35"/>
      <c r="KA1" s="35"/>
      <c r="KB1" s="35"/>
      <c r="KC1" s="35"/>
      <c r="KD1" s="35"/>
      <c r="KE1" s="35"/>
      <c r="KF1" s="35"/>
      <c r="KG1" s="35"/>
      <c r="KH1" s="35"/>
      <c r="KI1" s="35"/>
      <c r="KJ1" s="35"/>
      <c r="KK1" s="35"/>
      <c r="KL1" s="35"/>
      <c r="KM1" s="35"/>
      <c r="KN1" s="35"/>
      <c r="KO1" s="35"/>
      <c r="KP1" s="35"/>
      <c r="KQ1" s="35"/>
      <c r="KR1" s="35"/>
      <c r="KS1" s="35"/>
      <c r="KT1" s="35"/>
      <c r="KU1" s="35"/>
      <c r="KV1" s="35"/>
      <c r="KW1" s="35"/>
      <c r="KX1" s="35"/>
      <c r="KY1" s="35"/>
      <c r="KZ1" s="35"/>
      <c r="LA1" s="35"/>
      <c r="LB1" s="35"/>
      <c r="LC1" s="35"/>
      <c r="LD1" s="35"/>
      <c r="LE1" s="35"/>
      <c r="LF1" s="35"/>
      <c r="LG1" s="35"/>
      <c r="LH1" s="35"/>
      <c r="LI1" s="35"/>
      <c r="LJ1" s="35"/>
      <c r="LK1" s="35"/>
      <c r="LL1" s="35"/>
      <c r="LM1" s="35"/>
      <c r="LN1" s="35"/>
      <c r="LO1" s="35"/>
      <c r="LP1" s="35"/>
      <c r="LQ1" s="35"/>
      <c r="LR1" s="35"/>
      <c r="LS1" s="35"/>
      <c r="LT1" s="35"/>
      <c r="LU1" s="35"/>
      <c r="LV1" s="35"/>
      <c r="LW1" s="35"/>
      <c r="LX1" s="35"/>
      <c r="LY1" s="35"/>
      <c r="LZ1" s="35"/>
      <c r="MA1" s="35"/>
      <c r="MB1" s="35"/>
      <c r="MC1" s="35"/>
      <c r="MD1" s="35"/>
      <c r="ME1" s="35"/>
      <c r="MF1" s="35"/>
      <c r="MG1" s="35"/>
      <c r="MH1" s="35"/>
      <c r="MI1" s="35"/>
      <c r="MJ1" s="35"/>
      <c r="MK1" s="35"/>
      <c r="ML1" s="35"/>
      <c r="MM1" s="35"/>
      <c r="MN1" s="35"/>
      <c r="MO1" s="35"/>
      <c r="MP1" s="35"/>
      <c r="MQ1" s="35"/>
      <c r="MR1" s="35"/>
      <c r="MS1" s="35"/>
      <c r="MT1" s="35"/>
      <c r="MU1" s="35"/>
      <c r="MV1" s="35"/>
      <c r="MW1" s="35"/>
      <c r="MX1" s="35"/>
      <c r="MY1" s="35"/>
      <c r="MZ1" s="35"/>
      <c r="NA1" s="35"/>
      <c r="NB1" s="35"/>
      <c r="NC1" s="35"/>
      <c r="ND1" s="35"/>
      <c r="NE1" s="35"/>
      <c r="NF1" s="35"/>
      <c r="NG1" s="35"/>
      <c r="NH1" s="35"/>
      <c r="NI1" s="35"/>
      <c r="NJ1" s="35"/>
      <c r="NK1" s="35"/>
      <c r="NL1" s="35"/>
      <c r="NM1" s="35"/>
      <c r="NN1" s="35"/>
      <c r="NO1" s="35"/>
      <c r="NP1" s="35"/>
      <c r="NQ1" s="35"/>
      <c r="NR1" s="35"/>
      <c r="NS1" s="35"/>
      <c r="NT1" s="35"/>
      <c r="NU1" s="35"/>
      <c r="NV1" s="35"/>
      <c r="NW1" s="35"/>
      <c r="NX1" s="35"/>
      <c r="NY1" s="35"/>
      <c r="NZ1" s="35"/>
      <c r="OA1" s="35"/>
      <c r="OB1" s="35"/>
      <c r="OC1" s="35"/>
      <c r="OD1" s="35"/>
      <c r="OE1" s="35"/>
      <c r="OF1" s="35"/>
      <c r="OG1" s="35"/>
      <c r="OH1" s="35"/>
      <c r="OI1" s="35"/>
      <c r="OJ1" s="35"/>
      <c r="OK1" s="35"/>
      <c r="OL1" s="35"/>
      <c r="OM1" s="35"/>
      <c r="ON1" s="35"/>
      <c r="OO1" s="35"/>
      <c r="OP1" s="35"/>
      <c r="OQ1" s="35"/>
      <c r="OR1" s="35"/>
      <c r="OS1" s="35"/>
      <c r="OT1" s="35"/>
      <c r="OU1" s="35"/>
      <c r="OV1" s="35"/>
      <c r="OW1" s="35"/>
      <c r="OX1" s="35"/>
      <c r="OY1" s="35"/>
      <c r="OZ1" s="35"/>
      <c r="PA1" s="35"/>
      <c r="PB1" s="35"/>
      <c r="PC1" s="35"/>
      <c r="PD1" s="35"/>
      <c r="PE1" s="35"/>
      <c r="PF1" s="35"/>
      <c r="PG1" s="35"/>
      <c r="PH1" s="35"/>
      <c r="PI1" s="35"/>
      <c r="PJ1" s="35"/>
      <c r="PK1" s="35"/>
      <c r="PL1" s="35"/>
      <c r="PM1" s="35"/>
      <c r="PN1" s="35"/>
      <c r="PO1" s="35"/>
      <c r="PP1" s="35"/>
      <c r="PQ1" s="35"/>
      <c r="PR1" s="35"/>
      <c r="PS1" s="35"/>
      <c r="PT1" s="35"/>
      <c r="PU1" s="35"/>
      <c r="PV1" s="35"/>
      <c r="PW1" s="35"/>
      <c r="PX1" s="35"/>
      <c r="PY1" s="35"/>
      <c r="PZ1" s="35"/>
      <c r="QA1" s="35"/>
      <c r="QB1" s="35"/>
      <c r="QC1" s="35"/>
      <c r="QD1" s="35"/>
      <c r="QE1" s="35"/>
      <c r="QF1" s="35"/>
      <c r="QG1" s="35"/>
      <c r="QH1" s="35"/>
      <c r="QI1" s="35"/>
      <c r="QJ1" s="35"/>
      <c r="QK1" s="35"/>
      <c r="QL1" s="35"/>
      <c r="QM1" s="35"/>
      <c r="QN1" s="35"/>
      <c r="QO1" s="35"/>
      <c r="QP1" s="35"/>
      <c r="QQ1" s="35"/>
      <c r="QR1" s="35"/>
      <c r="QS1" s="35"/>
      <c r="QT1" s="35"/>
      <c r="QU1" s="35"/>
      <c r="QV1" s="35"/>
      <c r="QW1" s="35"/>
      <c r="QX1" s="35"/>
      <c r="QY1" s="35"/>
      <c r="QZ1" s="35"/>
      <c r="RA1" s="35"/>
      <c r="RB1" s="35"/>
      <c r="RC1" s="35"/>
      <c r="RD1" s="35"/>
      <c r="RE1" s="35"/>
      <c r="RF1" s="35"/>
      <c r="RG1" s="35"/>
      <c r="RH1" s="35"/>
      <c r="RI1" s="35"/>
      <c r="RJ1" s="35"/>
      <c r="RK1" s="35"/>
      <c r="RL1" s="35"/>
      <c r="RM1" s="35"/>
      <c r="RN1" s="35"/>
      <c r="RO1" s="35"/>
      <c r="RP1" s="35"/>
      <c r="RQ1" s="35"/>
      <c r="RR1" s="35"/>
      <c r="RS1" s="35"/>
      <c r="RT1" s="35"/>
      <c r="RU1" s="35"/>
      <c r="RV1" s="35"/>
      <c r="RW1" s="35"/>
      <c r="RX1" s="35"/>
      <c r="RY1" s="35"/>
      <c r="RZ1" s="35"/>
      <c r="SA1" s="35"/>
      <c r="SB1" s="35"/>
      <c r="SC1" s="35"/>
      <c r="SD1" s="35"/>
      <c r="SE1" s="35"/>
      <c r="SF1" s="35"/>
      <c r="SG1" s="35"/>
      <c r="SH1" s="35"/>
      <c r="SI1" s="35"/>
      <c r="SJ1" s="35"/>
      <c r="SK1" s="35"/>
      <c r="SL1" s="35"/>
      <c r="SM1" s="35"/>
      <c r="SN1" s="35"/>
      <c r="SO1" s="35"/>
      <c r="SP1" s="35"/>
      <c r="SQ1" s="35"/>
      <c r="SR1" s="35"/>
      <c r="SS1" s="35"/>
      <c r="ST1" s="35"/>
      <c r="SU1" s="35"/>
      <c r="SV1" s="35"/>
      <c r="SW1" s="35"/>
      <c r="SX1" s="35"/>
      <c r="SY1" s="35"/>
      <c r="SZ1" s="35"/>
      <c r="TA1" s="35"/>
      <c r="TB1" s="35"/>
      <c r="TC1" s="35"/>
      <c r="TD1" s="35"/>
      <c r="TE1" s="35"/>
      <c r="TF1" s="35"/>
      <c r="TG1" s="35"/>
      <c r="TH1" s="35"/>
      <c r="TI1" s="35"/>
      <c r="TJ1" s="35"/>
      <c r="TK1" s="35"/>
      <c r="TL1" s="35"/>
      <c r="TM1" s="35"/>
      <c r="TN1" s="35"/>
      <c r="TO1" s="35"/>
      <c r="TP1" s="35"/>
      <c r="TQ1" s="35"/>
      <c r="TR1" s="35"/>
      <c r="TS1" s="35"/>
      <c r="TT1" s="35"/>
      <c r="TU1" s="35"/>
      <c r="TV1" s="35"/>
      <c r="TW1" s="35"/>
      <c r="TX1" s="35"/>
      <c r="TY1" s="35"/>
      <c r="TZ1" s="35"/>
      <c r="UA1" s="35"/>
      <c r="UB1" s="35"/>
      <c r="UC1" s="35"/>
      <c r="UD1" s="35"/>
      <c r="UE1" s="35"/>
      <c r="UF1" s="35"/>
      <c r="UG1" s="35"/>
      <c r="UH1" s="35"/>
      <c r="UI1" s="35"/>
      <c r="UJ1" s="35"/>
      <c r="UK1" s="35"/>
      <c r="UL1" s="35"/>
      <c r="UM1" s="35"/>
      <c r="UN1" s="35"/>
      <c r="UO1" s="35"/>
      <c r="UP1" s="35"/>
      <c r="UQ1" s="35"/>
      <c r="UR1" s="35"/>
      <c r="US1" s="35"/>
      <c r="UT1" s="35"/>
      <c r="UU1" s="35"/>
      <c r="UV1" s="35"/>
      <c r="UW1" s="35"/>
      <c r="UX1" s="35"/>
      <c r="UY1" s="35"/>
      <c r="UZ1" s="35"/>
      <c r="VA1" s="35"/>
      <c r="VB1" s="35"/>
      <c r="VC1" s="35"/>
      <c r="VD1" s="35"/>
      <c r="VE1" s="35"/>
      <c r="VF1" s="35"/>
      <c r="VG1" s="35"/>
      <c r="VH1" s="35"/>
      <c r="VI1" s="35"/>
      <c r="VJ1" s="35"/>
      <c r="VK1" s="35"/>
      <c r="VL1" s="35"/>
      <c r="VM1" s="35"/>
      <c r="VN1" s="35"/>
      <c r="VO1" s="35"/>
      <c r="VP1" s="35"/>
      <c r="VQ1" s="35"/>
      <c r="VR1" s="35"/>
      <c r="VS1" s="35"/>
      <c r="VT1" s="35"/>
      <c r="VU1" s="35"/>
      <c r="VV1" s="35"/>
      <c r="VW1" s="35"/>
      <c r="VX1" s="35"/>
      <c r="VY1" s="35"/>
      <c r="VZ1" s="35"/>
      <c r="WA1" s="35"/>
      <c r="WB1" s="35"/>
      <c r="WC1" s="35"/>
      <c r="WD1" s="35"/>
      <c r="WE1" s="35"/>
      <c r="WF1" s="35"/>
      <c r="WG1" s="35"/>
      <c r="WH1" s="35"/>
      <c r="WI1" s="35"/>
      <c r="WJ1" s="35"/>
      <c r="WK1" s="35"/>
      <c r="WL1" s="35"/>
      <c r="WM1" s="35"/>
      <c r="WN1" s="35"/>
      <c r="WO1" s="35"/>
      <c r="WP1" s="35"/>
      <c r="WQ1" s="35"/>
      <c r="WR1" s="35"/>
      <c r="WS1" s="35"/>
      <c r="WT1" s="35"/>
      <c r="WU1" s="35"/>
      <c r="WV1" s="35"/>
      <c r="WW1" s="35"/>
      <c r="WX1" s="35"/>
      <c r="WY1" s="35"/>
      <c r="WZ1" s="35"/>
      <c r="XA1" s="35"/>
      <c r="XB1" s="35"/>
      <c r="XC1" s="35"/>
      <c r="XD1" s="35"/>
      <c r="XE1" s="35"/>
      <c r="XF1" s="35"/>
      <c r="XG1" s="35"/>
      <c r="XH1" s="35"/>
      <c r="XI1" s="35"/>
      <c r="XJ1" s="35"/>
      <c r="XK1" s="35"/>
      <c r="XL1" s="35"/>
      <c r="XM1" s="35"/>
      <c r="XN1" s="35"/>
      <c r="XO1" s="35"/>
      <c r="XP1" s="35"/>
      <c r="XQ1" s="35"/>
      <c r="XR1" s="35"/>
      <c r="XS1" s="35"/>
      <c r="XT1" s="35"/>
      <c r="XU1" s="35"/>
      <c r="XV1" s="35"/>
      <c r="XW1" s="35"/>
      <c r="XX1" s="35"/>
      <c r="XY1" s="35"/>
      <c r="XZ1" s="35"/>
      <c r="YA1" s="35"/>
      <c r="YB1" s="35"/>
      <c r="YC1" s="35"/>
      <c r="YD1" s="35"/>
      <c r="YE1" s="35"/>
      <c r="YF1" s="35"/>
      <c r="YG1" s="35"/>
      <c r="YH1" s="35"/>
      <c r="YI1" s="35"/>
      <c r="YJ1" s="35"/>
      <c r="YK1" s="35"/>
      <c r="YL1" s="35"/>
      <c r="YM1" s="35"/>
      <c r="YN1" s="35"/>
      <c r="YO1" s="35"/>
      <c r="YP1" s="35"/>
      <c r="YQ1" s="35"/>
      <c r="YR1" s="35"/>
      <c r="YS1" s="35"/>
      <c r="YT1" s="35"/>
      <c r="YU1" s="35"/>
      <c r="YV1" s="35"/>
      <c r="YW1" s="35"/>
      <c r="YX1" s="35"/>
      <c r="YY1" s="35"/>
      <c r="YZ1" s="35"/>
      <c r="ZA1" s="35"/>
      <c r="ZB1" s="35"/>
      <c r="ZC1" s="35"/>
      <c r="ZD1" s="35"/>
      <c r="ZE1" s="35"/>
      <c r="ZF1" s="35"/>
      <c r="ZG1" s="35"/>
      <c r="ZH1" s="35"/>
      <c r="ZI1" s="35"/>
      <c r="ZJ1" s="35"/>
      <c r="ZK1" s="35"/>
      <c r="ZL1" s="35"/>
      <c r="ZM1" s="35"/>
      <c r="ZN1" s="35"/>
      <c r="ZO1" s="35"/>
      <c r="ZP1" s="35"/>
      <c r="ZQ1" s="35"/>
      <c r="ZR1" s="35"/>
      <c r="ZS1" s="35"/>
      <c r="ZT1" s="35"/>
      <c r="ZU1" s="35"/>
      <c r="ZV1" s="35"/>
      <c r="ZW1" s="35"/>
      <c r="ZX1" s="35"/>
      <c r="ZY1" s="35"/>
      <c r="ZZ1" s="35"/>
      <c r="AAA1" s="35"/>
      <c r="AAB1" s="35"/>
      <c r="AAC1" s="35"/>
      <c r="AAD1" s="35"/>
      <c r="AAE1" s="35"/>
      <c r="AAF1" s="35"/>
      <c r="AAG1" s="35"/>
      <c r="AAH1" s="35"/>
      <c r="AAI1" s="35"/>
      <c r="AAJ1" s="35"/>
      <c r="AAK1" s="35"/>
      <c r="AAL1" s="35"/>
      <c r="AAM1" s="35"/>
      <c r="AAN1" s="35"/>
      <c r="AAO1" s="35"/>
      <c r="AAP1" s="35"/>
      <c r="AAQ1" s="35"/>
      <c r="AAR1" s="35"/>
      <c r="AAS1" s="35"/>
      <c r="AAT1" s="35"/>
      <c r="AAU1" s="35"/>
      <c r="AAV1" s="35"/>
      <c r="AAW1" s="35"/>
      <c r="AAX1" s="35"/>
      <c r="AAY1" s="35"/>
      <c r="AAZ1" s="35"/>
      <c r="ABA1" s="35"/>
      <c r="ABB1" s="35"/>
      <c r="ABC1" s="35"/>
      <c r="ABD1" s="35"/>
      <c r="ABE1" s="35"/>
      <c r="ABF1" s="35"/>
      <c r="ABG1" s="35"/>
      <c r="ABH1" s="35"/>
      <c r="ABI1" s="35"/>
      <c r="ABJ1" s="35"/>
      <c r="ABK1" s="35"/>
      <c r="ABL1" s="35"/>
      <c r="ABM1" s="35"/>
      <c r="ABN1" s="35"/>
      <c r="ABO1" s="35"/>
      <c r="ABP1" s="35"/>
      <c r="ABQ1" s="35"/>
      <c r="ABR1" s="35"/>
      <c r="ABS1" s="35"/>
      <c r="ABT1" s="35"/>
      <c r="ABU1" s="35"/>
      <c r="ABV1" s="35"/>
      <c r="ABW1" s="35"/>
      <c r="ABX1" s="35"/>
      <c r="ABY1" s="35"/>
      <c r="ABZ1" s="35"/>
      <c r="ACA1" s="35"/>
      <c r="ACB1" s="35"/>
      <c r="ACC1" s="35"/>
      <c r="ACD1" s="35"/>
      <c r="ACE1" s="35"/>
      <c r="ACF1" s="35"/>
      <c r="ACG1" s="35"/>
      <c r="ACH1" s="35"/>
      <c r="ACI1" s="35"/>
      <c r="ACJ1" s="35"/>
      <c r="ACK1" s="35"/>
      <c r="ACL1" s="35"/>
      <c r="ACM1" s="35"/>
      <c r="ACN1" s="35"/>
      <c r="ACO1" s="35"/>
      <c r="ACP1" s="35"/>
      <c r="ACQ1" s="35"/>
      <c r="ACR1" s="35"/>
      <c r="ACS1" s="35"/>
      <c r="ACT1" s="35"/>
      <c r="ACU1" s="35"/>
      <c r="ACV1" s="35"/>
      <c r="ACW1" s="35"/>
      <c r="ACX1" s="35"/>
      <c r="ACY1" s="35"/>
      <c r="ACZ1" s="35"/>
      <c r="ADA1" s="35"/>
      <c r="ADB1" s="35"/>
      <c r="ADC1" s="35"/>
      <c r="ADD1" s="35"/>
      <c r="ADE1" s="35"/>
      <c r="ADF1" s="35"/>
      <c r="ADG1" s="35"/>
      <c r="ADH1" s="35"/>
      <c r="ADI1" s="35"/>
      <c r="ADJ1" s="35"/>
      <c r="ADK1" s="35"/>
      <c r="ADL1" s="35"/>
      <c r="ADM1" s="35"/>
      <c r="ADN1" s="35"/>
      <c r="ADO1" s="35"/>
      <c r="ADP1" s="35"/>
      <c r="ADQ1" s="35"/>
      <c r="ADR1" s="35"/>
      <c r="ADS1" s="35"/>
      <c r="ADT1" s="35"/>
      <c r="ADU1" s="35"/>
      <c r="ADV1" s="35"/>
      <c r="ADW1" s="35"/>
      <c r="ADX1" s="35"/>
      <c r="ADY1" s="35"/>
      <c r="ADZ1" s="35"/>
      <c r="AEA1" s="35"/>
      <c r="AEB1" s="35"/>
      <c r="AEC1" s="35"/>
      <c r="AED1" s="35"/>
      <c r="AEE1" s="35"/>
      <c r="AEF1" s="35"/>
      <c r="AEG1" s="35"/>
      <c r="AEH1" s="35"/>
      <c r="AEI1" s="35"/>
      <c r="AEJ1" s="35"/>
      <c r="AEK1" s="35"/>
      <c r="AEL1" s="35"/>
      <c r="AEM1" s="35"/>
      <c r="AEN1" s="35"/>
      <c r="AEO1" s="35"/>
      <c r="AEP1" s="35"/>
      <c r="AEQ1" s="35"/>
      <c r="AER1" s="35"/>
      <c r="AES1" s="35"/>
      <c r="AET1" s="35"/>
      <c r="AEU1" s="35"/>
      <c r="AEV1" s="35"/>
      <c r="AEW1" s="35"/>
      <c r="AEX1" s="35"/>
      <c r="AEY1" s="35"/>
      <c r="AEZ1" s="35"/>
      <c r="AFA1" s="35"/>
      <c r="AFB1" s="35"/>
      <c r="AFC1" s="35"/>
      <c r="AFD1" s="35"/>
      <c r="AFE1" s="35"/>
      <c r="AFF1" s="35"/>
      <c r="AFG1" s="35"/>
      <c r="AFH1" s="35"/>
      <c r="AFI1" s="35"/>
      <c r="AFJ1" s="35"/>
      <c r="AFK1" s="35"/>
      <c r="AFL1" s="35"/>
      <c r="AFM1" s="35"/>
      <c r="AFN1" s="35"/>
      <c r="AFO1" s="35"/>
      <c r="AFP1" s="35"/>
      <c r="AFQ1" s="35"/>
      <c r="AFR1" s="35"/>
      <c r="AFS1" s="35"/>
      <c r="AFT1" s="35"/>
      <c r="AFU1" s="35"/>
      <c r="AFV1" s="35"/>
      <c r="AFW1" s="35"/>
      <c r="AFX1" s="35"/>
      <c r="AFY1" s="35"/>
      <c r="AFZ1" s="35"/>
      <c r="AGA1" s="35"/>
      <c r="AGB1" s="35"/>
      <c r="AGC1" s="35"/>
      <c r="AGD1" s="35"/>
      <c r="AGE1" s="35"/>
      <c r="AGF1" s="35"/>
      <c r="AGG1" s="35"/>
      <c r="AGH1" s="35"/>
      <c r="AGI1" s="35"/>
      <c r="AGJ1" s="35"/>
      <c r="AGK1" s="35"/>
      <c r="AGL1" s="35"/>
      <c r="AGM1" s="35"/>
      <c r="AGN1" s="35"/>
      <c r="AGO1" s="35"/>
      <c r="AGP1" s="35"/>
      <c r="AGQ1" s="35"/>
      <c r="AGR1" s="35"/>
      <c r="AGS1" s="35"/>
      <c r="AGT1" s="35"/>
      <c r="AGU1" s="35"/>
      <c r="AGV1" s="35"/>
      <c r="AGW1" s="35"/>
      <c r="AGX1" s="35"/>
      <c r="AGY1" s="35"/>
      <c r="AGZ1" s="35"/>
      <c r="AHA1" s="35"/>
      <c r="AHB1" s="35"/>
      <c r="AHC1" s="35"/>
      <c r="AHD1" s="35"/>
      <c r="AHE1" s="35"/>
      <c r="AHF1" s="35"/>
      <c r="AHG1" s="35"/>
      <c r="AHH1" s="35"/>
      <c r="AHI1" s="35"/>
      <c r="AHJ1" s="35"/>
      <c r="AHK1" s="35"/>
      <c r="AHL1" s="35"/>
      <c r="AHM1" s="35"/>
      <c r="AHN1" s="35"/>
      <c r="AHO1" s="35"/>
      <c r="AHP1" s="35"/>
      <c r="AHQ1" s="35"/>
      <c r="AHR1" s="35"/>
      <c r="AHS1" s="35"/>
      <c r="AHT1" s="35"/>
      <c r="AHU1" s="35"/>
      <c r="AHV1" s="35"/>
      <c r="AHW1" s="35"/>
      <c r="AHX1" s="35"/>
      <c r="AHY1" s="35"/>
      <c r="AHZ1" s="35"/>
      <c r="AIA1" s="35"/>
      <c r="AIB1" s="35"/>
      <c r="AIC1" s="35"/>
      <c r="AID1" s="35"/>
      <c r="AIE1" s="35"/>
      <c r="AIF1" s="35"/>
      <c r="AIG1" s="35"/>
      <c r="AIH1" s="35"/>
      <c r="AII1" s="35"/>
      <c r="AIJ1" s="35"/>
      <c r="AIK1" s="35"/>
      <c r="AIL1" s="35"/>
      <c r="AIM1" s="35"/>
      <c r="AIN1" s="35"/>
      <c r="AIO1" s="35"/>
      <c r="AIP1" s="35"/>
      <c r="AIQ1" s="35"/>
      <c r="AIR1" s="35"/>
      <c r="AIS1" s="35"/>
      <c r="AIT1" s="35"/>
      <c r="AIU1" s="35"/>
      <c r="AIV1" s="35"/>
      <c r="AIW1" s="35"/>
      <c r="AIX1" s="35"/>
      <c r="AIY1" s="35"/>
      <c r="AIZ1" s="35"/>
      <c r="AJA1" s="35"/>
      <c r="AJB1" s="35"/>
      <c r="AJC1" s="35"/>
      <c r="AJD1" s="35"/>
      <c r="AJE1" s="35"/>
      <c r="AJF1" s="35"/>
      <c r="AJG1" s="35"/>
      <c r="AJH1" s="35"/>
      <c r="AJI1" s="35"/>
      <c r="AJJ1" s="35"/>
      <c r="AJK1" s="35"/>
      <c r="AJL1" s="35"/>
      <c r="AJM1" s="35"/>
      <c r="AJN1" s="35"/>
      <c r="AJO1" s="35"/>
      <c r="AJP1" s="35"/>
      <c r="AJQ1" s="35"/>
      <c r="AJR1" s="35"/>
      <c r="AJS1" s="35"/>
      <c r="AJT1" s="35"/>
      <c r="AJU1" s="35"/>
      <c r="AJV1" s="35"/>
      <c r="AJW1" s="35"/>
      <c r="AJX1" s="35"/>
      <c r="AJY1" s="35"/>
      <c r="AJZ1" s="35"/>
      <c r="AKA1" s="35"/>
      <c r="AKB1" s="35"/>
      <c r="AKC1" s="35"/>
      <c r="AKD1" s="35"/>
      <c r="AKE1" s="35"/>
      <c r="AKF1" s="35"/>
      <c r="AKG1" s="35"/>
      <c r="AKH1" s="35"/>
      <c r="AKI1" s="35"/>
      <c r="AKJ1" s="35"/>
      <c r="AKK1" s="35"/>
      <c r="AKL1" s="35"/>
      <c r="AKM1" s="35"/>
      <c r="AKN1" s="35"/>
      <c r="AKO1" s="35"/>
      <c r="AKP1" s="35"/>
      <c r="AKQ1" s="35"/>
      <c r="AKR1" s="35"/>
      <c r="AKS1" s="35"/>
      <c r="AKT1" s="35"/>
      <c r="AKU1" s="35"/>
      <c r="AKV1" s="35"/>
      <c r="AKW1" s="35"/>
      <c r="AKX1" s="35"/>
      <c r="AKY1" s="35"/>
      <c r="AKZ1" s="35"/>
      <c r="ALA1" s="35"/>
      <c r="ALB1" s="35"/>
      <c r="ALC1" s="35"/>
      <c r="ALD1" s="35"/>
      <c r="ALE1" s="35"/>
      <c r="ALF1" s="35"/>
      <c r="ALG1" s="35"/>
      <c r="ALH1" s="35"/>
      <c r="ALI1" s="35"/>
      <c r="ALJ1" s="35"/>
      <c r="ALK1" s="35"/>
      <c r="ALL1" s="35"/>
      <c r="ALM1" s="35"/>
      <c r="ALN1" s="35"/>
      <c r="ALO1" s="35"/>
      <c r="ALP1" s="35"/>
      <c r="ALQ1" s="35"/>
      <c r="ALR1" s="35"/>
      <c r="ALS1" s="35"/>
      <c r="ALT1" s="35"/>
      <c r="ALU1" s="35"/>
      <c r="ALV1" s="35"/>
      <c r="ALW1" s="35"/>
      <c r="ALX1" s="35"/>
      <c r="ALY1" s="35"/>
      <c r="ALZ1" s="35"/>
      <c r="AMA1" s="35"/>
      <c r="AMB1" s="1"/>
    </row>
    <row r="2" customFormat="false" ht="12.8" hidden="true" customHeight="true" outlineLevel="1" collapsed="false">
      <c r="A2" s="30"/>
      <c r="B2" s="33"/>
      <c r="C2" s="77" t="s">
        <v>570</v>
      </c>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4"/>
      <c r="AH2" s="31"/>
      <c r="AI2" s="34"/>
      <c r="AJ2" s="33"/>
      <c r="AK2" s="33"/>
      <c r="AL2" s="33"/>
      <c r="AM2" s="33"/>
      <c r="AN2" s="33"/>
      <c r="AO2" s="33"/>
      <c r="AP2" s="31"/>
      <c r="AQ2" s="34"/>
      <c r="AR2" s="31"/>
      <c r="AS2" s="31"/>
      <c r="AT2" s="33"/>
      <c r="AU2" s="33"/>
      <c r="AV2" s="31"/>
      <c r="AW2" s="31"/>
      <c r="AX2" s="31"/>
      <c r="AY2" s="32"/>
      <c r="AZ2" s="32"/>
      <c r="BA2" s="31"/>
      <c r="BB2" s="31"/>
      <c r="BC2" s="31"/>
      <c r="BD2" s="31"/>
      <c r="BE2" s="31"/>
      <c r="BF2" s="31"/>
      <c r="BG2" s="31"/>
      <c r="BH2" s="31"/>
      <c r="BI2" s="31"/>
      <c r="BJ2" s="31"/>
      <c r="BK2" s="31"/>
      <c r="BL2" s="31"/>
      <c r="BM2" s="31"/>
      <c r="BN2" s="31"/>
      <c r="BO2" s="31"/>
      <c r="BP2" s="31"/>
      <c r="BQ2" s="31"/>
      <c r="BR2" s="31"/>
      <c r="BS2" s="31"/>
      <c r="BT2" s="31"/>
      <c r="BU2" s="31"/>
      <c r="BV2" s="31"/>
      <c r="BW2" s="31"/>
      <c r="BX2" s="31"/>
      <c r="BY2" s="31"/>
      <c r="BZ2" s="31"/>
      <c r="CA2" s="31"/>
      <c r="CB2" s="31"/>
      <c r="CC2" s="31"/>
      <c r="CD2" s="31"/>
      <c r="CE2" s="31"/>
      <c r="CF2" s="31"/>
      <c r="CG2" s="31"/>
      <c r="CH2" s="31"/>
      <c r="CI2" s="31"/>
      <c r="CJ2" s="31"/>
      <c r="CK2" s="31"/>
      <c r="CL2" s="31"/>
      <c r="CM2" s="31"/>
      <c r="CN2" s="31"/>
      <c r="CO2" s="31"/>
      <c r="CP2" s="31"/>
      <c r="CQ2" s="31"/>
      <c r="CR2" s="31"/>
      <c r="CS2" s="31"/>
      <c r="CT2" s="31"/>
      <c r="CU2" s="31"/>
      <c r="CV2" s="31"/>
      <c r="CW2" s="31"/>
      <c r="CX2" s="31"/>
      <c r="CY2" s="31"/>
      <c r="CZ2" s="31"/>
      <c r="DA2" s="31"/>
      <c r="DB2" s="31"/>
      <c r="DC2" s="31"/>
      <c r="DD2" s="31"/>
      <c r="DE2" s="31"/>
      <c r="DF2" s="31"/>
      <c r="DG2" s="31"/>
      <c r="DH2" s="31"/>
      <c r="DI2" s="31"/>
      <c r="DJ2" s="31"/>
      <c r="DK2" s="31"/>
      <c r="DL2" s="31"/>
      <c r="DM2" s="31"/>
      <c r="DN2" s="31"/>
      <c r="DO2" s="31"/>
      <c r="DP2" s="31"/>
      <c r="DQ2" s="31"/>
      <c r="DR2" s="31"/>
      <c r="DS2" s="31"/>
      <c r="DT2" s="31"/>
      <c r="DU2" s="31"/>
      <c r="DV2" s="31"/>
      <c r="DW2" s="31"/>
      <c r="DX2" s="31"/>
      <c r="DY2" s="31"/>
      <c r="DZ2" s="31" t="s">
        <v>364</v>
      </c>
      <c r="EA2" s="35"/>
      <c r="EB2" s="81"/>
      <c r="EC2" s="35"/>
      <c r="ED2" s="35"/>
      <c r="EE2" s="35"/>
      <c r="EF2" s="35"/>
      <c r="EG2" s="35"/>
      <c r="EH2" s="35"/>
      <c r="EI2" s="35"/>
      <c r="EJ2" s="35"/>
      <c r="EK2" s="35"/>
      <c r="EL2" s="35"/>
      <c r="EM2" s="35"/>
      <c r="EN2" s="35"/>
      <c r="EO2" s="35"/>
      <c r="EP2" s="35"/>
      <c r="EQ2" s="35"/>
      <c r="ER2" s="35"/>
      <c r="ES2" s="35"/>
      <c r="ET2" s="35"/>
      <c r="EU2" s="35"/>
      <c r="EV2" s="35"/>
      <c r="EW2" s="35"/>
      <c r="EX2" s="35"/>
      <c r="EY2" s="35"/>
      <c r="EZ2" s="35"/>
      <c r="FA2" s="35"/>
      <c r="FB2" s="35"/>
      <c r="FC2" s="35"/>
      <c r="FD2" s="35"/>
      <c r="FE2" s="35"/>
      <c r="FF2" s="35"/>
      <c r="FG2" s="35"/>
      <c r="FH2" s="35"/>
      <c r="FI2" s="35"/>
      <c r="FJ2" s="35"/>
      <c r="FK2" s="35"/>
      <c r="FL2" s="35"/>
      <c r="FM2" s="35"/>
      <c r="FN2" s="35"/>
      <c r="FO2" s="35"/>
      <c r="FP2" s="35"/>
      <c r="FQ2" s="35"/>
      <c r="FR2" s="35"/>
      <c r="FS2" s="35"/>
      <c r="FT2" s="35"/>
      <c r="FU2" s="35"/>
      <c r="FV2" s="35"/>
      <c r="FW2" s="35"/>
      <c r="FX2" s="35"/>
      <c r="FY2" s="35"/>
      <c r="FZ2" s="35"/>
      <c r="GA2" s="35"/>
      <c r="GB2" s="35"/>
      <c r="GC2" s="35"/>
      <c r="GD2" s="35"/>
      <c r="GE2" s="35"/>
      <c r="GF2" s="35"/>
      <c r="GG2" s="35"/>
      <c r="GH2" s="35"/>
      <c r="GI2" s="35"/>
      <c r="GJ2" s="35"/>
      <c r="GK2" s="35"/>
      <c r="GL2" s="35"/>
      <c r="GM2" s="35"/>
      <c r="GN2" s="35"/>
      <c r="GO2" s="35"/>
      <c r="GP2" s="35"/>
      <c r="GQ2" s="35"/>
      <c r="GR2" s="35"/>
      <c r="GS2" s="35"/>
      <c r="GT2" s="35"/>
      <c r="GU2" s="35"/>
      <c r="GV2" s="35"/>
      <c r="GW2" s="35"/>
      <c r="GX2" s="35"/>
      <c r="GY2" s="35"/>
      <c r="GZ2" s="35"/>
      <c r="HA2" s="35"/>
      <c r="HB2" s="35"/>
      <c r="HC2" s="35"/>
      <c r="HD2" s="35"/>
      <c r="HE2" s="35"/>
      <c r="HF2" s="35"/>
      <c r="HG2" s="35"/>
      <c r="HH2" s="35"/>
      <c r="HI2" s="35"/>
      <c r="HJ2" s="35"/>
      <c r="HK2" s="35"/>
      <c r="HL2" s="35"/>
      <c r="HM2" s="35"/>
      <c r="HN2" s="35"/>
      <c r="HO2" s="35"/>
      <c r="HP2" s="35"/>
      <c r="HQ2" s="35"/>
      <c r="HR2" s="35"/>
      <c r="HS2" s="35"/>
      <c r="HT2" s="35"/>
      <c r="HU2" s="35"/>
      <c r="HV2" s="35"/>
      <c r="HW2" s="35"/>
      <c r="HX2" s="35"/>
      <c r="HY2" s="35"/>
      <c r="HZ2" s="35"/>
      <c r="IA2" s="35"/>
      <c r="IB2" s="35"/>
      <c r="IC2" s="35"/>
      <c r="ID2" s="35"/>
      <c r="IE2" s="35"/>
      <c r="IF2" s="35"/>
      <c r="IG2" s="35"/>
      <c r="IH2" s="35"/>
      <c r="II2" s="35"/>
      <c r="IJ2" s="35"/>
      <c r="IK2" s="35"/>
      <c r="IL2" s="35"/>
      <c r="IM2" s="35"/>
      <c r="IN2" s="35"/>
      <c r="IO2" s="35"/>
      <c r="IP2" s="35"/>
      <c r="IQ2" s="35"/>
      <c r="IR2" s="35"/>
      <c r="IS2" s="35"/>
      <c r="IT2" s="35"/>
      <c r="IU2" s="35"/>
      <c r="IV2" s="35"/>
      <c r="IW2" s="35"/>
      <c r="IX2" s="35"/>
      <c r="IY2" s="35"/>
      <c r="IZ2" s="35"/>
      <c r="JA2" s="35"/>
      <c r="JB2" s="35"/>
      <c r="JC2" s="35"/>
      <c r="JD2" s="35"/>
      <c r="JE2" s="35"/>
      <c r="JF2" s="35"/>
      <c r="JG2" s="35"/>
      <c r="JH2" s="35"/>
      <c r="JI2" s="35"/>
      <c r="JJ2" s="35"/>
      <c r="JK2" s="35"/>
      <c r="JL2" s="35"/>
      <c r="JM2" s="35"/>
      <c r="JN2" s="35"/>
      <c r="JO2" s="35"/>
      <c r="JP2" s="35"/>
      <c r="JQ2" s="35"/>
      <c r="JR2" s="35"/>
      <c r="JS2" s="35"/>
      <c r="JT2" s="35"/>
      <c r="JU2" s="35"/>
      <c r="JV2" s="35"/>
      <c r="JW2" s="35"/>
      <c r="JX2" s="35"/>
      <c r="JY2" s="35"/>
      <c r="JZ2" s="35"/>
      <c r="KA2" s="35"/>
      <c r="KB2" s="35"/>
      <c r="KC2" s="35"/>
      <c r="KD2" s="35"/>
      <c r="KE2" s="35"/>
      <c r="KF2" s="35"/>
      <c r="KG2" s="35"/>
      <c r="KH2" s="35"/>
      <c r="KI2" s="35"/>
      <c r="KJ2" s="35"/>
      <c r="KK2" s="35"/>
      <c r="KL2" s="35"/>
      <c r="KM2" s="35"/>
      <c r="KN2" s="35"/>
      <c r="KO2" s="35"/>
      <c r="KP2" s="35"/>
      <c r="KQ2" s="35"/>
      <c r="KR2" s="35"/>
      <c r="KS2" s="35"/>
      <c r="KT2" s="35"/>
      <c r="KU2" s="35"/>
      <c r="KV2" s="35"/>
      <c r="KW2" s="35"/>
      <c r="KX2" s="35"/>
      <c r="KY2" s="35"/>
      <c r="KZ2" s="35"/>
      <c r="LA2" s="35"/>
      <c r="LB2" s="35"/>
      <c r="LC2" s="35"/>
      <c r="LD2" s="35"/>
      <c r="LE2" s="35"/>
      <c r="LF2" s="35"/>
      <c r="LG2" s="35"/>
      <c r="LH2" s="35"/>
      <c r="LI2" s="35"/>
      <c r="LJ2" s="35"/>
      <c r="LK2" s="35"/>
      <c r="LL2" s="35"/>
      <c r="LM2" s="35"/>
      <c r="LN2" s="35"/>
      <c r="LO2" s="35"/>
      <c r="LP2" s="35"/>
      <c r="LQ2" s="35"/>
      <c r="LR2" s="35"/>
      <c r="LS2" s="35"/>
      <c r="LT2" s="35"/>
      <c r="LU2" s="35"/>
      <c r="LV2" s="35"/>
      <c r="LW2" s="35"/>
      <c r="LX2" s="35"/>
      <c r="LY2" s="35"/>
      <c r="LZ2" s="35"/>
      <c r="MA2" s="35"/>
      <c r="MB2" s="35"/>
      <c r="MC2" s="35"/>
      <c r="MD2" s="35"/>
      <c r="ME2" s="35"/>
      <c r="MF2" s="35"/>
      <c r="MG2" s="35"/>
      <c r="MH2" s="35"/>
      <c r="MI2" s="35"/>
      <c r="MJ2" s="35"/>
      <c r="MK2" s="35"/>
      <c r="ML2" s="35"/>
      <c r="MM2" s="35"/>
      <c r="MN2" s="35"/>
      <c r="MO2" s="35"/>
      <c r="MP2" s="35"/>
      <c r="MQ2" s="35"/>
      <c r="MR2" s="35"/>
      <c r="MS2" s="35"/>
      <c r="MT2" s="35"/>
      <c r="MU2" s="35"/>
      <c r="MV2" s="35"/>
      <c r="MW2" s="35"/>
      <c r="MX2" s="35"/>
      <c r="MY2" s="35"/>
      <c r="MZ2" s="35"/>
      <c r="NA2" s="35"/>
      <c r="NB2" s="35"/>
      <c r="NC2" s="35"/>
      <c r="ND2" s="35"/>
      <c r="NE2" s="35"/>
      <c r="NF2" s="35"/>
      <c r="NG2" s="35"/>
      <c r="NH2" s="35"/>
      <c r="NI2" s="35"/>
      <c r="NJ2" s="35"/>
      <c r="NK2" s="35"/>
      <c r="NL2" s="35"/>
      <c r="NM2" s="35"/>
      <c r="NN2" s="35"/>
      <c r="NO2" s="35"/>
      <c r="NP2" s="35"/>
      <c r="NQ2" s="35"/>
      <c r="NR2" s="35"/>
      <c r="NS2" s="35"/>
      <c r="NT2" s="35"/>
      <c r="NU2" s="35"/>
      <c r="NV2" s="35"/>
      <c r="NW2" s="35"/>
      <c r="NX2" s="35"/>
      <c r="NY2" s="35"/>
      <c r="NZ2" s="35"/>
      <c r="OA2" s="35"/>
      <c r="OB2" s="35"/>
      <c r="OC2" s="35"/>
      <c r="OD2" s="35"/>
      <c r="OE2" s="35"/>
      <c r="OF2" s="35"/>
      <c r="OG2" s="35"/>
      <c r="OH2" s="35"/>
      <c r="OI2" s="35"/>
      <c r="OJ2" s="35"/>
      <c r="OK2" s="35"/>
      <c r="OL2" s="35"/>
      <c r="OM2" s="35"/>
      <c r="ON2" s="35"/>
      <c r="OO2" s="35"/>
      <c r="OP2" s="35"/>
      <c r="OQ2" s="35"/>
      <c r="OR2" s="35"/>
      <c r="OS2" s="35"/>
      <c r="OT2" s="35"/>
      <c r="OU2" s="35"/>
      <c r="OV2" s="35"/>
      <c r="OW2" s="35"/>
      <c r="OX2" s="35"/>
      <c r="OY2" s="35"/>
      <c r="OZ2" s="35"/>
      <c r="PA2" s="35"/>
      <c r="PB2" s="35"/>
      <c r="PC2" s="35"/>
      <c r="PD2" s="35"/>
      <c r="PE2" s="35"/>
      <c r="PF2" s="35"/>
      <c r="PG2" s="35"/>
      <c r="PH2" s="35"/>
      <c r="PI2" s="35"/>
      <c r="PJ2" s="35"/>
      <c r="PK2" s="35"/>
      <c r="PL2" s="35"/>
      <c r="PM2" s="35"/>
      <c r="PN2" s="35"/>
      <c r="PO2" s="35"/>
      <c r="PP2" s="35"/>
      <c r="PQ2" s="35"/>
      <c r="PR2" s="35"/>
      <c r="PS2" s="35"/>
      <c r="PT2" s="35"/>
      <c r="PU2" s="35"/>
      <c r="PV2" s="35"/>
      <c r="PW2" s="35"/>
      <c r="PX2" s="35"/>
      <c r="PY2" s="35"/>
      <c r="PZ2" s="35"/>
      <c r="QA2" s="35"/>
      <c r="QB2" s="35"/>
      <c r="QC2" s="35"/>
      <c r="QD2" s="35"/>
      <c r="QE2" s="35"/>
      <c r="QF2" s="35"/>
      <c r="QG2" s="35"/>
      <c r="QH2" s="35"/>
      <c r="QI2" s="35"/>
      <c r="QJ2" s="35"/>
      <c r="QK2" s="35"/>
      <c r="QL2" s="35"/>
      <c r="QM2" s="35"/>
      <c r="QN2" s="35"/>
      <c r="QO2" s="35"/>
      <c r="QP2" s="35"/>
      <c r="QQ2" s="35"/>
      <c r="QR2" s="35"/>
      <c r="QS2" s="35"/>
      <c r="QT2" s="35"/>
      <c r="QU2" s="35"/>
      <c r="QV2" s="35"/>
      <c r="QW2" s="35"/>
      <c r="QX2" s="35"/>
      <c r="QY2" s="35"/>
      <c r="QZ2" s="35"/>
      <c r="RA2" s="35"/>
      <c r="RB2" s="35"/>
      <c r="RC2" s="35"/>
      <c r="RD2" s="35"/>
      <c r="RE2" s="35"/>
      <c r="RF2" s="35"/>
      <c r="RG2" s="35"/>
      <c r="RH2" s="35"/>
      <c r="RI2" s="35"/>
      <c r="RJ2" s="35"/>
      <c r="RK2" s="35"/>
      <c r="RL2" s="35"/>
      <c r="RM2" s="35"/>
      <c r="RN2" s="35"/>
      <c r="RO2" s="35"/>
      <c r="RP2" s="35"/>
      <c r="RQ2" s="35"/>
      <c r="RR2" s="35"/>
      <c r="RS2" s="35"/>
      <c r="RT2" s="35"/>
      <c r="RU2" s="35"/>
      <c r="RV2" s="35"/>
      <c r="RW2" s="35"/>
      <c r="RX2" s="35"/>
      <c r="RY2" s="35"/>
      <c r="RZ2" s="35"/>
      <c r="SA2" s="35"/>
      <c r="SB2" s="35"/>
      <c r="SC2" s="35"/>
      <c r="SD2" s="35"/>
      <c r="SE2" s="35"/>
      <c r="SF2" s="35"/>
      <c r="SG2" s="35"/>
      <c r="SH2" s="35"/>
      <c r="SI2" s="35"/>
      <c r="SJ2" s="35"/>
      <c r="SK2" s="35"/>
      <c r="SL2" s="35"/>
      <c r="SM2" s="35"/>
      <c r="SN2" s="35"/>
      <c r="SO2" s="35"/>
      <c r="SP2" s="35"/>
      <c r="SQ2" s="35"/>
      <c r="SR2" s="35"/>
      <c r="SS2" s="35"/>
      <c r="ST2" s="35"/>
      <c r="SU2" s="35"/>
      <c r="SV2" s="35"/>
      <c r="SW2" s="35"/>
      <c r="SX2" s="35"/>
      <c r="SY2" s="35"/>
      <c r="SZ2" s="35"/>
      <c r="TA2" s="35"/>
      <c r="TB2" s="35"/>
      <c r="TC2" s="35"/>
      <c r="TD2" s="35"/>
      <c r="TE2" s="35"/>
      <c r="TF2" s="35"/>
      <c r="TG2" s="35"/>
      <c r="TH2" s="35"/>
      <c r="TI2" s="35"/>
      <c r="TJ2" s="35"/>
      <c r="TK2" s="35"/>
      <c r="TL2" s="35"/>
      <c r="TM2" s="35"/>
      <c r="TN2" s="35"/>
      <c r="TO2" s="35"/>
      <c r="TP2" s="35"/>
      <c r="TQ2" s="35"/>
      <c r="TR2" s="35"/>
      <c r="TS2" s="35"/>
      <c r="TT2" s="35"/>
      <c r="TU2" s="35"/>
      <c r="TV2" s="35"/>
      <c r="TW2" s="35"/>
      <c r="TX2" s="35"/>
      <c r="TY2" s="35"/>
      <c r="TZ2" s="35"/>
      <c r="UA2" s="35"/>
      <c r="UB2" s="35"/>
      <c r="UC2" s="35"/>
      <c r="UD2" s="35"/>
      <c r="UE2" s="35"/>
      <c r="UF2" s="35"/>
      <c r="UG2" s="35"/>
      <c r="UH2" s="35"/>
      <c r="UI2" s="35"/>
      <c r="UJ2" s="35"/>
      <c r="UK2" s="35"/>
      <c r="UL2" s="35"/>
      <c r="UM2" s="35"/>
      <c r="UN2" s="35"/>
      <c r="UO2" s="35"/>
      <c r="UP2" s="35"/>
      <c r="UQ2" s="35"/>
      <c r="UR2" s="35"/>
      <c r="US2" s="35"/>
      <c r="UT2" s="35"/>
      <c r="UU2" s="35"/>
      <c r="UV2" s="35"/>
      <c r="UW2" s="35"/>
      <c r="UX2" s="35"/>
      <c r="UY2" s="35"/>
      <c r="UZ2" s="35"/>
      <c r="VA2" s="35"/>
      <c r="VB2" s="35"/>
      <c r="VC2" s="35"/>
      <c r="VD2" s="35"/>
      <c r="VE2" s="35"/>
      <c r="VF2" s="35"/>
      <c r="VG2" s="35"/>
      <c r="VH2" s="35"/>
      <c r="VI2" s="35"/>
      <c r="VJ2" s="35"/>
      <c r="VK2" s="35"/>
      <c r="VL2" s="35"/>
      <c r="VM2" s="35"/>
      <c r="VN2" s="35"/>
      <c r="VO2" s="35"/>
      <c r="VP2" s="35"/>
      <c r="VQ2" s="35"/>
      <c r="VR2" s="35"/>
      <c r="VS2" s="35"/>
      <c r="VT2" s="35"/>
      <c r="VU2" s="35"/>
      <c r="VV2" s="35"/>
      <c r="VW2" s="35"/>
      <c r="VX2" s="35"/>
      <c r="VY2" s="35"/>
      <c r="VZ2" s="35"/>
      <c r="WA2" s="35"/>
      <c r="WB2" s="35"/>
      <c r="WC2" s="35"/>
      <c r="WD2" s="35"/>
      <c r="WE2" s="35"/>
      <c r="WF2" s="35"/>
      <c r="WG2" s="35"/>
      <c r="WH2" s="35"/>
      <c r="WI2" s="35"/>
      <c r="WJ2" s="35"/>
      <c r="WK2" s="35"/>
      <c r="WL2" s="35"/>
      <c r="WM2" s="35"/>
      <c r="WN2" s="35"/>
      <c r="WO2" s="35"/>
      <c r="WP2" s="35"/>
      <c r="WQ2" s="35"/>
      <c r="WR2" s="35"/>
      <c r="WS2" s="35"/>
      <c r="WT2" s="35"/>
      <c r="WU2" s="35"/>
      <c r="WV2" s="35"/>
      <c r="WW2" s="35"/>
      <c r="WX2" s="35"/>
      <c r="WY2" s="35"/>
      <c r="WZ2" s="35"/>
      <c r="XA2" s="35"/>
      <c r="XB2" s="35"/>
      <c r="XC2" s="35"/>
      <c r="XD2" s="35"/>
      <c r="XE2" s="35"/>
      <c r="XF2" s="35"/>
      <c r="XG2" s="35"/>
      <c r="XH2" s="35"/>
      <c r="XI2" s="35"/>
      <c r="XJ2" s="35"/>
      <c r="XK2" s="35"/>
      <c r="XL2" s="35"/>
      <c r="XM2" s="35"/>
      <c r="XN2" s="35"/>
      <c r="XO2" s="35"/>
      <c r="XP2" s="35"/>
      <c r="XQ2" s="35"/>
      <c r="XR2" s="35"/>
      <c r="XS2" s="35"/>
      <c r="XT2" s="35"/>
      <c r="XU2" s="35"/>
      <c r="XV2" s="35"/>
      <c r="XW2" s="35"/>
      <c r="XX2" s="35"/>
      <c r="XY2" s="35"/>
      <c r="XZ2" s="35"/>
      <c r="YA2" s="35"/>
      <c r="YB2" s="35"/>
      <c r="YC2" s="35"/>
      <c r="YD2" s="35"/>
      <c r="YE2" s="35"/>
      <c r="YF2" s="35"/>
      <c r="YG2" s="35"/>
      <c r="YH2" s="35"/>
      <c r="YI2" s="35"/>
      <c r="YJ2" s="35"/>
      <c r="YK2" s="35"/>
      <c r="YL2" s="35"/>
      <c r="YM2" s="35"/>
      <c r="YN2" s="35"/>
      <c r="YO2" s="35"/>
      <c r="YP2" s="35"/>
      <c r="YQ2" s="35"/>
      <c r="YR2" s="35"/>
      <c r="YS2" s="35"/>
      <c r="YT2" s="35"/>
      <c r="YU2" s="35"/>
      <c r="YV2" s="35"/>
      <c r="YW2" s="35"/>
      <c r="YX2" s="35"/>
      <c r="YY2" s="35"/>
      <c r="YZ2" s="35"/>
      <c r="ZA2" s="35"/>
      <c r="ZB2" s="35"/>
      <c r="ZC2" s="35"/>
      <c r="ZD2" s="35"/>
      <c r="ZE2" s="35"/>
      <c r="ZF2" s="35"/>
      <c r="ZG2" s="35"/>
      <c r="ZH2" s="35"/>
      <c r="ZI2" s="35"/>
      <c r="ZJ2" s="35"/>
      <c r="ZK2" s="35"/>
      <c r="ZL2" s="35"/>
      <c r="ZM2" s="35"/>
      <c r="ZN2" s="35"/>
      <c r="ZO2" s="35"/>
      <c r="ZP2" s="35"/>
      <c r="ZQ2" s="35"/>
      <c r="ZR2" s="35"/>
      <c r="ZS2" s="35"/>
      <c r="ZT2" s="35"/>
      <c r="ZU2" s="35"/>
      <c r="ZV2" s="35"/>
      <c r="ZW2" s="35"/>
      <c r="ZX2" s="35"/>
      <c r="ZY2" s="35"/>
      <c r="ZZ2" s="35"/>
      <c r="AAA2" s="35"/>
      <c r="AAB2" s="35"/>
      <c r="AAC2" s="35"/>
      <c r="AAD2" s="35"/>
      <c r="AAE2" s="35"/>
      <c r="AAF2" s="35"/>
      <c r="AAG2" s="35"/>
      <c r="AAH2" s="35"/>
      <c r="AAI2" s="35"/>
      <c r="AAJ2" s="35"/>
      <c r="AAK2" s="35"/>
      <c r="AAL2" s="35"/>
      <c r="AAM2" s="35"/>
      <c r="AAN2" s="35"/>
      <c r="AAO2" s="35"/>
      <c r="AAP2" s="35"/>
      <c r="AAQ2" s="35"/>
      <c r="AAR2" s="35"/>
      <c r="AAS2" s="35"/>
      <c r="AAT2" s="35"/>
      <c r="AAU2" s="35"/>
      <c r="AAV2" s="35"/>
      <c r="AAW2" s="35"/>
      <c r="AAX2" s="35"/>
      <c r="AAY2" s="35"/>
      <c r="AAZ2" s="35"/>
      <c r="ABA2" s="35"/>
      <c r="ABB2" s="35"/>
      <c r="ABC2" s="35"/>
      <c r="ABD2" s="35"/>
      <c r="ABE2" s="35"/>
      <c r="ABF2" s="35"/>
      <c r="ABG2" s="35"/>
      <c r="ABH2" s="35"/>
      <c r="ABI2" s="35"/>
      <c r="ABJ2" s="35"/>
      <c r="ABK2" s="35"/>
      <c r="ABL2" s="35"/>
      <c r="ABM2" s="35"/>
      <c r="ABN2" s="35"/>
      <c r="ABO2" s="35"/>
      <c r="ABP2" s="35"/>
      <c r="ABQ2" s="35"/>
      <c r="ABR2" s="35"/>
      <c r="ABS2" s="35"/>
      <c r="ABT2" s="35"/>
      <c r="ABU2" s="35"/>
      <c r="ABV2" s="35"/>
      <c r="ABW2" s="35"/>
      <c r="ABX2" s="35"/>
      <c r="ABY2" s="35"/>
      <c r="ABZ2" s="35"/>
      <c r="ACA2" s="35"/>
      <c r="ACB2" s="35"/>
      <c r="ACC2" s="35"/>
      <c r="ACD2" s="35"/>
      <c r="ACE2" s="35"/>
      <c r="ACF2" s="35"/>
      <c r="ACG2" s="35"/>
      <c r="ACH2" s="35"/>
      <c r="ACI2" s="35"/>
      <c r="ACJ2" s="35"/>
      <c r="ACK2" s="35"/>
      <c r="ACL2" s="35"/>
      <c r="ACM2" s="35"/>
      <c r="ACN2" s="35"/>
      <c r="ACO2" s="35"/>
      <c r="ACP2" s="35"/>
      <c r="ACQ2" s="35"/>
      <c r="ACR2" s="35"/>
      <c r="ACS2" s="35"/>
      <c r="ACT2" s="35"/>
      <c r="ACU2" s="35"/>
      <c r="ACV2" s="35"/>
      <c r="ACW2" s="35"/>
      <c r="ACX2" s="35"/>
      <c r="ACY2" s="35"/>
      <c r="ACZ2" s="35"/>
      <c r="ADA2" s="35"/>
      <c r="ADB2" s="35"/>
      <c r="ADC2" s="35"/>
      <c r="ADD2" s="35"/>
      <c r="ADE2" s="35"/>
      <c r="ADF2" s="35"/>
      <c r="ADG2" s="35"/>
      <c r="ADH2" s="35"/>
      <c r="ADI2" s="35"/>
      <c r="ADJ2" s="35"/>
      <c r="ADK2" s="35"/>
      <c r="ADL2" s="35"/>
      <c r="ADM2" s="35"/>
      <c r="ADN2" s="35"/>
      <c r="ADO2" s="35"/>
      <c r="ADP2" s="35"/>
      <c r="ADQ2" s="35"/>
      <c r="ADR2" s="35"/>
      <c r="ADS2" s="35"/>
      <c r="ADT2" s="35"/>
      <c r="ADU2" s="35"/>
      <c r="ADV2" s="35"/>
      <c r="ADW2" s="35"/>
      <c r="ADX2" s="35"/>
      <c r="ADY2" s="35"/>
      <c r="ADZ2" s="35"/>
      <c r="AEA2" s="35"/>
      <c r="AEB2" s="35"/>
      <c r="AEC2" s="35"/>
      <c r="AED2" s="35"/>
      <c r="AEE2" s="35"/>
      <c r="AEF2" s="35"/>
      <c r="AEG2" s="35"/>
      <c r="AEH2" s="35"/>
      <c r="AEI2" s="35"/>
      <c r="AEJ2" s="35"/>
      <c r="AEK2" s="35"/>
      <c r="AEL2" s="35"/>
      <c r="AEM2" s="35"/>
      <c r="AEN2" s="35"/>
      <c r="AEO2" s="35"/>
      <c r="AEP2" s="35"/>
      <c r="AEQ2" s="35"/>
      <c r="AER2" s="35"/>
      <c r="AES2" s="35"/>
      <c r="AET2" s="35"/>
      <c r="AEU2" s="35"/>
      <c r="AEV2" s="35"/>
      <c r="AEW2" s="35"/>
      <c r="AEX2" s="35"/>
      <c r="AEY2" s="35"/>
      <c r="AEZ2" s="35"/>
      <c r="AFA2" s="35"/>
      <c r="AFB2" s="35"/>
      <c r="AFC2" s="35"/>
      <c r="AFD2" s="35"/>
      <c r="AFE2" s="35"/>
      <c r="AFF2" s="35"/>
      <c r="AFG2" s="35"/>
      <c r="AFH2" s="35"/>
      <c r="AFI2" s="35"/>
      <c r="AFJ2" s="35"/>
      <c r="AFK2" s="35"/>
      <c r="AFL2" s="35"/>
      <c r="AFM2" s="35"/>
      <c r="AFN2" s="35"/>
      <c r="AFO2" s="35"/>
      <c r="AFP2" s="35"/>
      <c r="AFQ2" s="35"/>
      <c r="AFR2" s="35"/>
      <c r="AFS2" s="35"/>
      <c r="AFT2" s="35"/>
      <c r="AFU2" s="35"/>
      <c r="AFV2" s="35"/>
      <c r="AFW2" s="35"/>
      <c r="AFX2" s="35"/>
      <c r="AFY2" s="35"/>
      <c r="AFZ2" s="35"/>
      <c r="AGA2" s="35"/>
      <c r="AGB2" s="35"/>
      <c r="AGC2" s="35"/>
      <c r="AGD2" s="35"/>
      <c r="AGE2" s="35"/>
      <c r="AGF2" s="35"/>
      <c r="AGG2" s="35"/>
      <c r="AGH2" s="35"/>
      <c r="AGI2" s="35"/>
      <c r="AGJ2" s="35"/>
      <c r="AGK2" s="35"/>
      <c r="AGL2" s="35"/>
      <c r="AGM2" s="35"/>
      <c r="AGN2" s="35"/>
      <c r="AGO2" s="35"/>
      <c r="AGP2" s="35"/>
      <c r="AGQ2" s="35"/>
      <c r="AGR2" s="35"/>
      <c r="AGS2" s="35"/>
      <c r="AGT2" s="35"/>
      <c r="AGU2" s="35"/>
      <c r="AGV2" s="35"/>
      <c r="AGW2" s="35"/>
      <c r="AGX2" s="35"/>
      <c r="AGY2" s="35"/>
      <c r="AGZ2" s="35"/>
      <c r="AHA2" s="35"/>
      <c r="AHB2" s="35"/>
      <c r="AHC2" s="35"/>
      <c r="AHD2" s="35"/>
      <c r="AHE2" s="35"/>
      <c r="AHF2" s="35"/>
      <c r="AHG2" s="35"/>
      <c r="AHH2" s="35"/>
      <c r="AHI2" s="35"/>
      <c r="AHJ2" s="35"/>
      <c r="AHK2" s="35"/>
      <c r="AHL2" s="35"/>
      <c r="AHM2" s="35"/>
      <c r="AHN2" s="35"/>
      <c r="AHO2" s="35"/>
      <c r="AHP2" s="35"/>
      <c r="AHQ2" s="35"/>
      <c r="AHR2" s="35"/>
      <c r="AHS2" s="35"/>
      <c r="AHT2" s="35"/>
      <c r="AHU2" s="35"/>
      <c r="AHV2" s="35"/>
      <c r="AHW2" s="35"/>
      <c r="AHX2" s="35"/>
      <c r="AHY2" s="35"/>
      <c r="AHZ2" s="35"/>
      <c r="AIA2" s="35"/>
      <c r="AIB2" s="35"/>
      <c r="AIC2" s="35"/>
      <c r="AID2" s="35"/>
      <c r="AIE2" s="35"/>
      <c r="AIF2" s="35"/>
      <c r="AIG2" s="35"/>
      <c r="AIH2" s="35"/>
      <c r="AII2" s="35"/>
      <c r="AIJ2" s="35"/>
      <c r="AIK2" s="35"/>
      <c r="AIL2" s="35"/>
      <c r="AIM2" s="35"/>
      <c r="AIN2" s="35"/>
      <c r="AIO2" s="35"/>
      <c r="AIP2" s="35"/>
      <c r="AIQ2" s="35"/>
      <c r="AIR2" s="35"/>
      <c r="AIS2" s="35"/>
      <c r="AIT2" s="35"/>
      <c r="AIU2" s="35"/>
      <c r="AIV2" s="35"/>
      <c r="AIW2" s="35"/>
      <c r="AIX2" s="35"/>
      <c r="AIY2" s="35"/>
      <c r="AIZ2" s="35"/>
      <c r="AJA2" s="35"/>
      <c r="AJB2" s="35"/>
      <c r="AJC2" s="35"/>
      <c r="AJD2" s="35"/>
      <c r="AJE2" s="35"/>
      <c r="AJF2" s="35"/>
      <c r="AJG2" s="35"/>
      <c r="AJH2" s="35"/>
      <c r="AJI2" s="35"/>
      <c r="AJJ2" s="35"/>
      <c r="AJK2" s="35"/>
      <c r="AJL2" s="35"/>
      <c r="AJM2" s="35"/>
      <c r="AJN2" s="35"/>
      <c r="AJO2" s="35"/>
      <c r="AJP2" s="35"/>
      <c r="AJQ2" s="35"/>
      <c r="AJR2" s="35"/>
      <c r="AJS2" s="35"/>
      <c r="AJT2" s="35"/>
      <c r="AJU2" s="35"/>
      <c r="AJV2" s="35"/>
      <c r="AJW2" s="35"/>
      <c r="AJX2" s="35"/>
      <c r="AJY2" s="35"/>
      <c r="AJZ2" s="35"/>
      <c r="AKA2" s="35"/>
      <c r="AKB2" s="35"/>
      <c r="AKC2" s="35"/>
      <c r="AKD2" s="35"/>
      <c r="AKE2" s="35"/>
      <c r="AKF2" s="35"/>
      <c r="AKG2" s="35"/>
      <c r="AKH2" s="35"/>
      <c r="AKI2" s="35"/>
      <c r="AKJ2" s="35"/>
      <c r="AKK2" s="35"/>
      <c r="AKL2" s="35"/>
      <c r="AKM2" s="35"/>
      <c r="AKN2" s="35"/>
      <c r="AKO2" s="35"/>
      <c r="AKP2" s="35"/>
      <c r="AKQ2" s="35"/>
      <c r="AKR2" s="35"/>
      <c r="AKS2" s="35"/>
      <c r="AKT2" s="35"/>
      <c r="AKU2" s="35"/>
      <c r="AKV2" s="35"/>
      <c r="AKW2" s="35"/>
      <c r="AKX2" s="35"/>
      <c r="AKY2" s="35"/>
      <c r="AKZ2" s="35"/>
      <c r="ALA2" s="35"/>
      <c r="ALB2" s="35"/>
      <c r="ALC2" s="35"/>
      <c r="ALD2" s="35"/>
      <c r="ALE2" s="35"/>
      <c r="ALF2" s="35"/>
      <c r="ALG2" s="35"/>
      <c r="ALH2" s="35"/>
      <c r="ALI2" s="35"/>
      <c r="ALJ2" s="35"/>
      <c r="ALK2" s="35"/>
      <c r="ALL2" s="35"/>
      <c r="ALM2" s="35"/>
      <c r="ALN2" s="35"/>
      <c r="ALO2" s="35"/>
      <c r="ALP2" s="35"/>
      <c r="ALQ2" s="35"/>
      <c r="ALR2" s="35"/>
      <c r="ALS2" s="35"/>
      <c r="ALT2" s="35"/>
      <c r="ALU2" s="35"/>
      <c r="ALV2" s="35"/>
      <c r="ALW2" s="35"/>
      <c r="ALX2" s="35"/>
      <c r="ALY2" s="35"/>
      <c r="ALZ2" s="35"/>
      <c r="AMA2" s="35"/>
      <c r="AMB2" s="1"/>
    </row>
    <row r="3" customFormat="false" ht="12.8" hidden="true" customHeight="true" outlineLevel="1" collapsed="false">
      <c r="A3" s="30"/>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4"/>
      <c r="AH3" s="31"/>
      <c r="AI3" s="34"/>
      <c r="AJ3" s="33"/>
      <c r="AK3" s="33"/>
      <c r="AL3" s="33"/>
      <c r="AM3" s="33"/>
      <c r="AN3" s="33"/>
      <c r="AO3" s="33"/>
      <c r="AP3" s="31"/>
      <c r="AQ3" s="34"/>
      <c r="AR3" s="31"/>
      <c r="AS3" s="31"/>
      <c r="AT3" s="33"/>
      <c r="AU3" s="33"/>
      <c r="AV3" s="31"/>
      <c r="AW3" s="31"/>
      <c r="AX3" s="31"/>
      <c r="AY3" s="32"/>
      <c r="AZ3" s="32"/>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1"/>
      <c r="CR3" s="31"/>
      <c r="CS3" s="31"/>
      <c r="CT3" s="31"/>
      <c r="CU3" s="31"/>
      <c r="CV3" s="31"/>
      <c r="CW3" s="31"/>
      <c r="CX3" s="31"/>
      <c r="CY3" s="31"/>
      <c r="CZ3" s="31"/>
      <c r="DA3" s="31"/>
      <c r="DB3" s="31"/>
      <c r="DC3" s="31"/>
      <c r="DD3" s="31"/>
      <c r="DE3" s="31"/>
      <c r="DF3" s="31"/>
      <c r="DG3" s="31"/>
      <c r="DH3" s="31"/>
      <c r="DI3" s="31"/>
      <c r="DJ3" s="31"/>
      <c r="DK3" s="31"/>
      <c r="DL3" s="31"/>
      <c r="DM3" s="31"/>
      <c r="DN3" s="31"/>
      <c r="DO3" s="31"/>
      <c r="DP3" s="31"/>
      <c r="DQ3" s="31"/>
      <c r="DR3" s="31"/>
      <c r="DS3" s="31"/>
      <c r="DT3" s="31"/>
      <c r="DU3" s="31"/>
      <c r="DV3" s="31"/>
      <c r="DW3" s="31"/>
      <c r="DX3" s="31"/>
      <c r="DY3" s="31"/>
      <c r="DZ3" s="31" t="s">
        <v>364</v>
      </c>
      <c r="EA3" s="35"/>
      <c r="EB3" s="81"/>
      <c r="EC3" s="35"/>
      <c r="ED3" s="35"/>
      <c r="EE3" s="35"/>
      <c r="EF3" s="35"/>
      <c r="EG3" s="35"/>
      <c r="EH3" s="35"/>
      <c r="EI3" s="35"/>
      <c r="EJ3" s="35"/>
      <c r="EK3" s="35"/>
      <c r="EL3" s="35"/>
      <c r="EM3" s="35"/>
      <c r="EN3" s="35"/>
      <c r="EO3" s="35"/>
      <c r="EP3" s="35"/>
      <c r="EQ3" s="35"/>
      <c r="ER3" s="35"/>
      <c r="ES3" s="35"/>
      <c r="ET3" s="35"/>
      <c r="EU3" s="35"/>
      <c r="EV3" s="35"/>
      <c r="EW3" s="35"/>
      <c r="EX3" s="35"/>
      <c r="EY3" s="35"/>
      <c r="EZ3" s="35"/>
      <c r="FA3" s="35"/>
      <c r="FB3" s="35"/>
      <c r="FC3" s="35"/>
      <c r="FD3" s="35"/>
      <c r="FE3" s="35"/>
      <c r="FF3" s="35"/>
      <c r="FG3" s="35"/>
      <c r="FH3" s="35"/>
      <c r="FI3" s="35"/>
      <c r="FJ3" s="35"/>
      <c r="FK3" s="35"/>
      <c r="FL3" s="35"/>
      <c r="FM3" s="35"/>
      <c r="FN3" s="35"/>
      <c r="FO3" s="35"/>
      <c r="FP3" s="35"/>
      <c r="FQ3" s="35"/>
      <c r="FR3" s="35"/>
      <c r="FS3" s="35"/>
      <c r="FT3" s="35"/>
      <c r="FU3" s="35"/>
      <c r="FV3" s="35"/>
      <c r="FW3" s="35"/>
      <c r="FX3" s="35"/>
      <c r="FY3" s="35"/>
      <c r="FZ3" s="35"/>
      <c r="GA3" s="35"/>
      <c r="GB3" s="35"/>
      <c r="GC3" s="35"/>
      <c r="GD3" s="35"/>
      <c r="GE3" s="35"/>
      <c r="GF3" s="35"/>
      <c r="GG3" s="35"/>
      <c r="GH3" s="35"/>
      <c r="GI3" s="35"/>
      <c r="GJ3" s="35"/>
      <c r="GK3" s="35"/>
      <c r="GL3" s="35"/>
      <c r="GM3" s="35"/>
      <c r="GN3" s="35"/>
      <c r="GO3" s="35"/>
      <c r="GP3" s="35"/>
      <c r="GQ3" s="35"/>
      <c r="GR3" s="35"/>
      <c r="GS3" s="35"/>
      <c r="GT3" s="35"/>
      <c r="GU3" s="35"/>
      <c r="GV3" s="35"/>
      <c r="GW3" s="35"/>
      <c r="GX3" s="35"/>
      <c r="GY3" s="35"/>
      <c r="GZ3" s="35"/>
      <c r="HA3" s="35"/>
      <c r="HB3" s="35"/>
      <c r="HC3" s="35"/>
      <c r="HD3" s="35"/>
      <c r="HE3" s="35"/>
      <c r="HF3" s="35"/>
      <c r="HG3" s="35"/>
      <c r="HH3" s="35"/>
      <c r="HI3" s="35"/>
      <c r="HJ3" s="35"/>
      <c r="HK3" s="35"/>
      <c r="HL3" s="35"/>
      <c r="HM3" s="35"/>
      <c r="HN3" s="35"/>
      <c r="HO3" s="35"/>
      <c r="HP3" s="35"/>
      <c r="HQ3" s="35"/>
      <c r="HR3" s="35"/>
      <c r="HS3" s="35"/>
      <c r="HT3" s="35"/>
      <c r="HU3" s="35"/>
      <c r="HV3" s="35"/>
      <c r="HW3" s="35"/>
      <c r="HX3" s="35"/>
      <c r="HY3" s="35"/>
      <c r="HZ3" s="35"/>
      <c r="IA3" s="35"/>
      <c r="IB3" s="35"/>
      <c r="IC3" s="35"/>
      <c r="ID3" s="35"/>
      <c r="IE3" s="35"/>
      <c r="IF3" s="35"/>
      <c r="IG3" s="35"/>
      <c r="IH3" s="35"/>
      <c r="II3" s="35"/>
      <c r="IJ3" s="35"/>
      <c r="IK3" s="35"/>
      <c r="IL3" s="35"/>
      <c r="IM3" s="35"/>
      <c r="IN3" s="35"/>
      <c r="IO3" s="35"/>
      <c r="IP3" s="35"/>
      <c r="IQ3" s="35"/>
      <c r="IR3" s="35"/>
      <c r="IS3" s="35"/>
      <c r="IT3" s="35"/>
      <c r="IU3" s="35"/>
      <c r="IV3" s="35"/>
      <c r="IW3" s="35"/>
      <c r="IX3" s="35"/>
      <c r="IY3" s="35"/>
      <c r="IZ3" s="35"/>
      <c r="JA3" s="35"/>
      <c r="JB3" s="35"/>
      <c r="JC3" s="35"/>
      <c r="JD3" s="35"/>
      <c r="JE3" s="35"/>
      <c r="JF3" s="35"/>
      <c r="JG3" s="35"/>
      <c r="JH3" s="35"/>
      <c r="JI3" s="35"/>
      <c r="JJ3" s="35"/>
      <c r="JK3" s="35"/>
      <c r="JL3" s="35"/>
      <c r="JM3" s="35"/>
      <c r="JN3" s="35"/>
      <c r="JO3" s="35"/>
      <c r="JP3" s="35"/>
      <c r="JQ3" s="35"/>
      <c r="JR3" s="35"/>
      <c r="JS3" s="35"/>
      <c r="JT3" s="35"/>
      <c r="JU3" s="35"/>
      <c r="JV3" s="35"/>
      <c r="JW3" s="35"/>
      <c r="JX3" s="35"/>
      <c r="JY3" s="35"/>
      <c r="JZ3" s="35"/>
      <c r="KA3" s="35"/>
      <c r="KB3" s="35"/>
      <c r="KC3" s="35"/>
      <c r="KD3" s="35"/>
      <c r="KE3" s="35"/>
      <c r="KF3" s="35"/>
      <c r="KG3" s="35"/>
      <c r="KH3" s="35"/>
      <c r="KI3" s="35"/>
      <c r="KJ3" s="35"/>
      <c r="KK3" s="35"/>
      <c r="KL3" s="35"/>
      <c r="KM3" s="35"/>
      <c r="KN3" s="35"/>
      <c r="KO3" s="35"/>
      <c r="KP3" s="35"/>
      <c r="KQ3" s="35"/>
      <c r="KR3" s="35"/>
      <c r="KS3" s="35"/>
      <c r="KT3" s="35"/>
      <c r="KU3" s="35"/>
      <c r="KV3" s="35"/>
      <c r="KW3" s="35"/>
      <c r="KX3" s="35"/>
      <c r="KY3" s="35"/>
      <c r="KZ3" s="35"/>
      <c r="LA3" s="35"/>
      <c r="LB3" s="35"/>
      <c r="LC3" s="35"/>
      <c r="LD3" s="35"/>
      <c r="LE3" s="35"/>
      <c r="LF3" s="35"/>
      <c r="LG3" s="35"/>
      <c r="LH3" s="35"/>
      <c r="LI3" s="35"/>
      <c r="LJ3" s="35"/>
      <c r="LK3" s="35"/>
      <c r="LL3" s="35"/>
      <c r="LM3" s="35"/>
      <c r="LN3" s="35"/>
      <c r="LO3" s="35"/>
      <c r="LP3" s="35"/>
      <c r="LQ3" s="35"/>
      <c r="LR3" s="35"/>
      <c r="LS3" s="35"/>
      <c r="LT3" s="35"/>
      <c r="LU3" s="35"/>
      <c r="LV3" s="35"/>
      <c r="LW3" s="35"/>
      <c r="LX3" s="35"/>
      <c r="LY3" s="35"/>
      <c r="LZ3" s="35"/>
      <c r="MA3" s="35"/>
      <c r="MB3" s="35"/>
      <c r="MC3" s="35"/>
      <c r="MD3" s="35"/>
      <c r="ME3" s="35"/>
      <c r="MF3" s="35"/>
      <c r="MG3" s="35"/>
      <c r="MH3" s="35"/>
      <c r="MI3" s="35"/>
      <c r="MJ3" s="35"/>
      <c r="MK3" s="35"/>
      <c r="ML3" s="35"/>
      <c r="MM3" s="35"/>
      <c r="MN3" s="35"/>
      <c r="MO3" s="35"/>
      <c r="MP3" s="35"/>
      <c r="MQ3" s="35"/>
      <c r="MR3" s="35"/>
      <c r="MS3" s="35"/>
      <c r="MT3" s="35"/>
      <c r="MU3" s="35"/>
      <c r="MV3" s="35"/>
      <c r="MW3" s="35"/>
      <c r="MX3" s="35"/>
      <c r="MY3" s="35"/>
      <c r="MZ3" s="35"/>
      <c r="NA3" s="35"/>
      <c r="NB3" s="35"/>
      <c r="NC3" s="35"/>
      <c r="ND3" s="35"/>
      <c r="NE3" s="35"/>
      <c r="NF3" s="35"/>
      <c r="NG3" s="35"/>
      <c r="NH3" s="35"/>
      <c r="NI3" s="35"/>
      <c r="NJ3" s="35"/>
      <c r="NK3" s="35"/>
      <c r="NL3" s="35"/>
      <c r="NM3" s="35"/>
      <c r="NN3" s="35"/>
      <c r="NO3" s="35"/>
      <c r="NP3" s="35"/>
      <c r="NQ3" s="35"/>
      <c r="NR3" s="35"/>
      <c r="NS3" s="35"/>
      <c r="NT3" s="35"/>
      <c r="NU3" s="35"/>
      <c r="NV3" s="35"/>
      <c r="NW3" s="35"/>
      <c r="NX3" s="35"/>
      <c r="NY3" s="35"/>
      <c r="NZ3" s="35"/>
      <c r="OA3" s="35"/>
      <c r="OB3" s="35"/>
      <c r="OC3" s="35"/>
      <c r="OD3" s="35"/>
      <c r="OE3" s="35"/>
      <c r="OF3" s="35"/>
      <c r="OG3" s="35"/>
      <c r="OH3" s="35"/>
      <c r="OI3" s="35"/>
      <c r="OJ3" s="35"/>
      <c r="OK3" s="35"/>
      <c r="OL3" s="35"/>
      <c r="OM3" s="35"/>
      <c r="ON3" s="35"/>
      <c r="OO3" s="35"/>
      <c r="OP3" s="35"/>
      <c r="OQ3" s="35"/>
      <c r="OR3" s="35"/>
      <c r="OS3" s="35"/>
      <c r="OT3" s="35"/>
      <c r="OU3" s="35"/>
      <c r="OV3" s="35"/>
      <c r="OW3" s="35"/>
      <c r="OX3" s="35"/>
      <c r="OY3" s="35"/>
      <c r="OZ3" s="35"/>
      <c r="PA3" s="35"/>
      <c r="PB3" s="35"/>
      <c r="PC3" s="35"/>
      <c r="PD3" s="35"/>
      <c r="PE3" s="35"/>
      <c r="PF3" s="35"/>
      <c r="PG3" s="35"/>
      <c r="PH3" s="35"/>
      <c r="PI3" s="35"/>
      <c r="PJ3" s="35"/>
      <c r="PK3" s="35"/>
      <c r="PL3" s="35"/>
      <c r="PM3" s="35"/>
      <c r="PN3" s="35"/>
      <c r="PO3" s="35"/>
      <c r="PP3" s="35"/>
      <c r="PQ3" s="35"/>
      <c r="PR3" s="35"/>
      <c r="PS3" s="35"/>
      <c r="PT3" s="35"/>
      <c r="PU3" s="35"/>
      <c r="PV3" s="35"/>
      <c r="PW3" s="35"/>
      <c r="PX3" s="35"/>
      <c r="PY3" s="35"/>
      <c r="PZ3" s="35"/>
      <c r="QA3" s="35"/>
      <c r="QB3" s="35"/>
      <c r="QC3" s="35"/>
      <c r="QD3" s="35"/>
      <c r="QE3" s="35"/>
      <c r="QF3" s="35"/>
      <c r="QG3" s="35"/>
      <c r="QH3" s="35"/>
      <c r="QI3" s="35"/>
      <c r="QJ3" s="35"/>
      <c r="QK3" s="35"/>
      <c r="QL3" s="35"/>
      <c r="QM3" s="35"/>
      <c r="QN3" s="35"/>
      <c r="QO3" s="35"/>
      <c r="QP3" s="35"/>
      <c r="QQ3" s="35"/>
      <c r="QR3" s="35"/>
      <c r="QS3" s="35"/>
      <c r="QT3" s="35"/>
      <c r="QU3" s="35"/>
      <c r="QV3" s="35"/>
      <c r="QW3" s="35"/>
      <c r="QX3" s="35"/>
      <c r="QY3" s="35"/>
      <c r="QZ3" s="35"/>
      <c r="RA3" s="35"/>
      <c r="RB3" s="35"/>
      <c r="RC3" s="35"/>
      <c r="RD3" s="35"/>
      <c r="RE3" s="35"/>
      <c r="RF3" s="35"/>
      <c r="RG3" s="35"/>
      <c r="RH3" s="35"/>
      <c r="RI3" s="35"/>
      <c r="RJ3" s="35"/>
      <c r="RK3" s="35"/>
      <c r="RL3" s="35"/>
      <c r="RM3" s="35"/>
      <c r="RN3" s="35"/>
      <c r="RO3" s="35"/>
      <c r="RP3" s="35"/>
      <c r="RQ3" s="35"/>
      <c r="RR3" s="35"/>
      <c r="RS3" s="35"/>
      <c r="RT3" s="35"/>
      <c r="RU3" s="35"/>
      <c r="RV3" s="35"/>
      <c r="RW3" s="35"/>
      <c r="RX3" s="35"/>
      <c r="RY3" s="35"/>
      <c r="RZ3" s="35"/>
      <c r="SA3" s="35"/>
      <c r="SB3" s="35"/>
      <c r="SC3" s="35"/>
      <c r="SD3" s="35"/>
      <c r="SE3" s="35"/>
      <c r="SF3" s="35"/>
      <c r="SG3" s="35"/>
      <c r="SH3" s="35"/>
      <c r="SI3" s="35"/>
      <c r="SJ3" s="35"/>
      <c r="SK3" s="35"/>
      <c r="SL3" s="35"/>
      <c r="SM3" s="35"/>
      <c r="SN3" s="35"/>
      <c r="SO3" s="35"/>
      <c r="SP3" s="35"/>
      <c r="SQ3" s="35"/>
      <c r="SR3" s="35"/>
      <c r="SS3" s="35"/>
      <c r="ST3" s="35"/>
      <c r="SU3" s="35"/>
      <c r="SV3" s="35"/>
      <c r="SW3" s="35"/>
      <c r="SX3" s="35"/>
      <c r="SY3" s="35"/>
      <c r="SZ3" s="35"/>
      <c r="TA3" s="35"/>
      <c r="TB3" s="35"/>
      <c r="TC3" s="35"/>
      <c r="TD3" s="35"/>
      <c r="TE3" s="35"/>
      <c r="TF3" s="35"/>
      <c r="TG3" s="35"/>
      <c r="TH3" s="35"/>
      <c r="TI3" s="35"/>
      <c r="TJ3" s="35"/>
      <c r="TK3" s="35"/>
      <c r="TL3" s="35"/>
      <c r="TM3" s="35"/>
      <c r="TN3" s="35"/>
      <c r="TO3" s="35"/>
      <c r="TP3" s="35"/>
      <c r="TQ3" s="35"/>
      <c r="TR3" s="35"/>
      <c r="TS3" s="35"/>
      <c r="TT3" s="35"/>
      <c r="TU3" s="35"/>
      <c r="TV3" s="35"/>
      <c r="TW3" s="35"/>
      <c r="TX3" s="35"/>
      <c r="TY3" s="35"/>
      <c r="TZ3" s="35"/>
      <c r="UA3" s="35"/>
      <c r="UB3" s="35"/>
      <c r="UC3" s="35"/>
      <c r="UD3" s="35"/>
      <c r="UE3" s="35"/>
      <c r="UF3" s="35"/>
      <c r="UG3" s="35"/>
      <c r="UH3" s="35"/>
      <c r="UI3" s="35"/>
      <c r="UJ3" s="35"/>
      <c r="UK3" s="35"/>
      <c r="UL3" s="35"/>
      <c r="UM3" s="35"/>
      <c r="UN3" s="35"/>
      <c r="UO3" s="35"/>
      <c r="UP3" s="35"/>
      <c r="UQ3" s="35"/>
      <c r="UR3" s="35"/>
      <c r="US3" s="35"/>
      <c r="UT3" s="35"/>
      <c r="UU3" s="35"/>
      <c r="UV3" s="35"/>
      <c r="UW3" s="35"/>
      <c r="UX3" s="35"/>
      <c r="UY3" s="35"/>
      <c r="UZ3" s="35"/>
      <c r="VA3" s="35"/>
      <c r="VB3" s="35"/>
      <c r="VC3" s="35"/>
      <c r="VD3" s="35"/>
      <c r="VE3" s="35"/>
      <c r="VF3" s="35"/>
      <c r="VG3" s="35"/>
      <c r="VH3" s="35"/>
      <c r="VI3" s="35"/>
      <c r="VJ3" s="35"/>
      <c r="VK3" s="35"/>
      <c r="VL3" s="35"/>
      <c r="VM3" s="35"/>
      <c r="VN3" s="35"/>
      <c r="VO3" s="35"/>
      <c r="VP3" s="35"/>
      <c r="VQ3" s="35"/>
      <c r="VR3" s="35"/>
      <c r="VS3" s="35"/>
      <c r="VT3" s="35"/>
      <c r="VU3" s="35"/>
      <c r="VV3" s="35"/>
      <c r="VW3" s="35"/>
      <c r="VX3" s="35"/>
      <c r="VY3" s="35"/>
      <c r="VZ3" s="35"/>
      <c r="WA3" s="35"/>
      <c r="WB3" s="35"/>
      <c r="WC3" s="35"/>
      <c r="WD3" s="35"/>
      <c r="WE3" s="35"/>
      <c r="WF3" s="35"/>
      <c r="WG3" s="35"/>
      <c r="WH3" s="35"/>
      <c r="WI3" s="35"/>
      <c r="WJ3" s="35"/>
      <c r="WK3" s="35"/>
      <c r="WL3" s="35"/>
      <c r="WM3" s="35"/>
      <c r="WN3" s="35"/>
      <c r="WO3" s="35"/>
      <c r="WP3" s="35"/>
      <c r="WQ3" s="35"/>
      <c r="WR3" s="35"/>
      <c r="WS3" s="35"/>
      <c r="WT3" s="35"/>
      <c r="WU3" s="35"/>
      <c r="WV3" s="35"/>
      <c r="WW3" s="35"/>
      <c r="WX3" s="35"/>
      <c r="WY3" s="35"/>
      <c r="WZ3" s="35"/>
      <c r="XA3" s="35"/>
      <c r="XB3" s="35"/>
      <c r="XC3" s="35"/>
      <c r="XD3" s="35"/>
      <c r="XE3" s="35"/>
      <c r="XF3" s="35"/>
      <c r="XG3" s="35"/>
      <c r="XH3" s="35"/>
      <c r="XI3" s="35"/>
      <c r="XJ3" s="35"/>
      <c r="XK3" s="35"/>
      <c r="XL3" s="35"/>
      <c r="XM3" s="35"/>
      <c r="XN3" s="35"/>
      <c r="XO3" s="35"/>
      <c r="XP3" s="35"/>
      <c r="XQ3" s="35"/>
      <c r="XR3" s="35"/>
      <c r="XS3" s="35"/>
      <c r="XT3" s="35"/>
      <c r="XU3" s="35"/>
      <c r="XV3" s="35"/>
      <c r="XW3" s="35"/>
      <c r="XX3" s="35"/>
      <c r="XY3" s="35"/>
      <c r="XZ3" s="35"/>
      <c r="YA3" s="35"/>
      <c r="YB3" s="35"/>
      <c r="YC3" s="35"/>
      <c r="YD3" s="35"/>
      <c r="YE3" s="35"/>
      <c r="YF3" s="35"/>
      <c r="YG3" s="35"/>
      <c r="YH3" s="35"/>
      <c r="YI3" s="35"/>
      <c r="YJ3" s="35"/>
      <c r="YK3" s="35"/>
      <c r="YL3" s="35"/>
      <c r="YM3" s="35"/>
      <c r="YN3" s="35"/>
      <c r="YO3" s="35"/>
      <c r="YP3" s="35"/>
      <c r="YQ3" s="35"/>
      <c r="YR3" s="35"/>
      <c r="YS3" s="35"/>
      <c r="YT3" s="35"/>
      <c r="YU3" s="35"/>
      <c r="YV3" s="35"/>
      <c r="YW3" s="35"/>
      <c r="YX3" s="35"/>
      <c r="YY3" s="35"/>
      <c r="YZ3" s="35"/>
      <c r="ZA3" s="35"/>
      <c r="ZB3" s="35"/>
      <c r="ZC3" s="35"/>
      <c r="ZD3" s="35"/>
      <c r="ZE3" s="35"/>
      <c r="ZF3" s="35"/>
      <c r="ZG3" s="35"/>
      <c r="ZH3" s="35"/>
      <c r="ZI3" s="35"/>
      <c r="ZJ3" s="35"/>
      <c r="ZK3" s="35"/>
      <c r="ZL3" s="35"/>
      <c r="ZM3" s="35"/>
      <c r="ZN3" s="35"/>
      <c r="ZO3" s="35"/>
      <c r="ZP3" s="35"/>
      <c r="ZQ3" s="35"/>
      <c r="ZR3" s="35"/>
      <c r="ZS3" s="35"/>
      <c r="ZT3" s="35"/>
      <c r="ZU3" s="35"/>
      <c r="ZV3" s="35"/>
      <c r="ZW3" s="35"/>
      <c r="ZX3" s="35"/>
      <c r="ZY3" s="35"/>
      <c r="ZZ3" s="35"/>
      <c r="AAA3" s="35"/>
      <c r="AAB3" s="35"/>
      <c r="AAC3" s="35"/>
      <c r="AAD3" s="35"/>
      <c r="AAE3" s="35"/>
      <c r="AAF3" s="35"/>
      <c r="AAG3" s="35"/>
      <c r="AAH3" s="35"/>
      <c r="AAI3" s="35"/>
      <c r="AAJ3" s="35"/>
      <c r="AAK3" s="35"/>
      <c r="AAL3" s="35"/>
      <c r="AAM3" s="35"/>
      <c r="AAN3" s="35"/>
      <c r="AAO3" s="35"/>
      <c r="AAP3" s="35"/>
      <c r="AAQ3" s="35"/>
      <c r="AAR3" s="35"/>
      <c r="AAS3" s="35"/>
      <c r="AAT3" s="35"/>
      <c r="AAU3" s="35"/>
      <c r="AAV3" s="35"/>
      <c r="AAW3" s="35"/>
      <c r="AAX3" s="35"/>
      <c r="AAY3" s="35"/>
      <c r="AAZ3" s="35"/>
      <c r="ABA3" s="35"/>
      <c r="ABB3" s="35"/>
      <c r="ABC3" s="35"/>
      <c r="ABD3" s="35"/>
      <c r="ABE3" s="35"/>
      <c r="ABF3" s="35"/>
      <c r="ABG3" s="35"/>
      <c r="ABH3" s="35"/>
      <c r="ABI3" s="35"/>
      <c r="ABJ3" s="35"/>
      <c r="ABK3" s="35"/>
      <c r="ABL3" s="35"/>
      <c r="ABM3" s="35"/>
      <c r="ABN3" s="35"/>
      <c r="ABO3" s="35"/>
      <c r="ABP3" s="35"/>
      <c r="ABQ3" s="35"/>
      <c r="ABR3" s="35"/>
      <c r="ABS3" s="35"/>
      <c r="ABT3" s="35"/>
      <c r="ABU3" s="35"/>
      <c r="ABV3" s="35"/>
      <c r="ABW3" s="35"/>
      <c r="ABX3" s="35"/>
      <c r="ABY3" s="35"/>
      <c r="ABZ3" s="35"/>
      <c r="ACA3" s="35"/>
      <c r="ACB3" s="35"/>
      <c r="ACC3" s="35"/>
      <c r="ACD3" s="35"/>
      <c r="ACE3" s="35"/>
      <c r="ACF3" s="35"/>
      <c r="ACG3" s="35"/>
      <c r="ACH3" s="35"/>
      <c r="ACI3" s="35"/>
      <c r="ACJ3" s="35"/>
      <c r="ACK3" s="35"/>
      <c r="ACL3" s="35"/>
      <c r="ACM3" s="35"/>
      <c r="ACN3" s="35"/>
      <c r="ACO3" s="35"/>
      <c r="ACP3" s="35"/>
      <c r="ACQ3" s="35"/>
      <c r="ACR3" s="35"/>
      <c r="ACS3" s="35"/>
      <c r="ACT3" s="35"/>
      <c r="ACU3" s="35"/>
      <c r="ACV3" s="35"/>
      <c r="ACW3" s="35"/>
      <c r="ACX3" s="35"/>
      <c r="ACY3" s="35"/>
      <c r="ACZ3" s="35"/>
      <c r="ADA3" s="35"/>
      <c r="ADB3" s="35"/>
      <c r="ADC3" s="35"/>
      <c r="ADD3" s="35"/>
      <c r="ADE3" s="35"/>
      <c r="ADF3" s="35"/>
      <c r="ADG3" s="35"/>
      <c r="ADH3" s="35"/>
      <c r="ADI3" s="35"/>
      <c r="ADJ3" s="35"/>
      <c r="ADK3" s="35"/>
      <c r="ADL3" s="35"/>
      <c r="ADM3" s="35"/>
      <c r="ADN3" s="35"/>
      <c r="ADO3" s="35"/>
      <c r="ADP3" s="35"/>
      <c r="ADQ3" s="35"/>
      <c r="ADR3" s="35"/>
      <c r="ADS3" s="35"/>
      <c r="ADT3" s="35"/>
      <c r="ADU3" s="35"/>
      <c r="ADV3" s="35"/>
      <c r="ADW3" s="35"/>
      <c r="ADX3" s="35"/>
      <c r="ADY3" s="35"/>
      <c r="ADZ3" s="35"/>
      <c r="AEA3" s="35"/>
      <c r="AEB3" s="35"/>
      <c r="AEC3" s="35"/>
      <c r="AED3" s="35"/>
      <c r="AEE3" s="35"/>
      <c r="AEF3" s="35"/>
      <c r="AEG3" s="35"/>
      <c r="AEH3" s="35"/>
      <c r="AEI3" s="35"/>
      <c r="AEJ3" s="35"/>
      <c r="AEK3" s="35"/>
      <c r="AEL3" s="35"/>
      <c r="AEM3" s="35"/>
      <c r="AEN3" s="35"/>
      <c r="AEO3" s="35"/>
      <c r="AEP3" s="35"/>
      <c r="AEQ3" s="35"/>
      <c r="AER3" s="35"/>
      <c r="AES3" s="35"/>
      <c r="AET3" s="35"/>
      <c r="AEU3" s="35"/>
      <c r="AEV3" s="35"/>
      <c r="AEW3" s="35"/>
      <c r="AEX3" s="35"/>
      <c r="AEY3" s="35"/>
      <c r="AEZ3" s="35"/>
      <c r="AFA3" s="35"/>
      <c r="AFB3" s="35"/>
      <c r="AFC3" s="35"/>
      <c r="AFD3" s="35"/>
      <c r="AFE3" s="35"/>
      <c r="AFF3" s="35"/>
      <c r="AFG3" s="35"/>
      <c r="AFH3" s="35"/>
      <c r="AFI3" s="35"/>
      <c r="AFJ3" s="35"/>
      <c r="AFK3" s="35"/>
      <c r="AFL3" s="35"/>
      <c r="AFM3" s="35"/>
      <c r="AFN3" s="35"/>
      <c r="AFO3" s="35"/>
      <c r="AFP3" s="35"/>
      <c r="AFQ3" s="35"/>
      <c r="AFR3" s="35"/>
      <c r="AFS3" s="35"/>
      <c r="AFT3" s="35"/>
      <c r="AFU3" s="35"/>
      <c r="AFV3" s="35"/>
      <c r="AFW3" s="35"/>
      <c r="AFX3" s="35"/>
      <c r="AFY3" s="35"/>
      <c r="AFZ3" s="35"/>
      <c r="AGA3" s="35"/>
      <c r="AGB3" s="35"/>
      <c r="AGC3" s="35"/>
      <c r="AGD3" s="35"/>
      <c r="AGE3" s="35"/>
      <c r="AGF3" s="35"/>
      <c r="AGG3" s="35"/>
      <c r="AGH3" s="35"/>
      <c r="AGI3" s="35"/>
      <c r="AGJ3" s="35"/>
      <c r="AGK3" s="35"/>
      <c r="AGL3" s="35"/>
      <c r="AGM3" s="35"/>
      <c r="AGN3" s="35"/>
      <c r="AGO3" s="35"/>
      <c r="AGP3" s="35"/>
      <c r="AGQ3" s="35"/>
      <c r="AGR3" s="35"/>
      <c r="AGS3" s="35"/>
      <c r="AGT3" s="35"/>
      <c r="AGU3" s="35"/>
      <c r="AGV3" s="35"/>
      <c r="AGW3" s="35"/>
      <c r="AGX3" s="35"/>
      <c r="AGY3" s="35"/>
      <c r="AGZ3" s="35"/>
      <c r="AHA3" s="35"/>
      <c r="AHB3" s="35"/>
      <c r="AHC3" s="35"/>
      <c r="AHD3" s="35"/>
      <c r="AHE3" s="35"/>
      <c r="AHF3" s="35"/>
      <c r="AHG3" s="35"/>
      <c r="AHH3" s="35"/>
      <c r="AHI3" s="35"/>
      <c r="AHJ3" s="35"/>
      <c r="AHK3" s="35"/>
      <c r="AHL3" s="35"/>
      <c r="AHM3" s="35"/>
      <c r="AHN3" s="35"/>
      <c r="AHO3" s="35"/>
      <c r="AHP3" s="35"/>
      <c r="AHQ3" s="35"/>
      <c r="AHR3" s="35"/>
      <c r="AHS3" s="35"/>
      <c r="AHT3" s="35"/>
      <c r="AHU3" s="35"/>
      <c r="AHV3" s="35"/>
      <c r="AHW3" s="35"/>
      <c r="AHX3" s="35"/>
      <c r="AHY3" s="35"/>
      <c r="AHZ3" s="35"/>
      <c r="AIA3" s="35"/>
      <c r="AIB3" s="35"/>
      <c r="AIC3" s="35"/>
      <c r="AID3" s="35"/>
      <c r="AIE3" s="35"/>
      <c r="AIF3" s="35"/>
      <c r="AIG3" s="35"/>
      <c r="AIH3" s="35"/>
      <c r="AII3" s="35"/>
      <c r="AIJ3" s="35"/>
      <c r="AIK3" s="35"/>
      <c r="AIL3" s="35"/>
      <c r="AIM3" s="35"/>
      <c r="AIN3" s="35"/>
      <c r="AIO3" s="35"/>
      <c r="AIP3" s="35"/>
      <c r="AIQ3" s="35"/>
      <c r="AIR3" s="35"/>
      <c r="AIS3" s="35"/>
      <c r="AIT3" s="35"/>
      <c r="AIU3" s="35"/>
      <c r="AIV3" s="35"/>
      <c r="AIW3" s="35"/>
      <c r="AIX3" s="35"/>
      <c r="AIY3" s="35"/>
      <c r="AIZ3" s="35"/>
      <c r="AJA3" s="35"/>
      <c r="AJB3" s="35"/>
      <c r="AJC3" s="35"/>
      <c r="AJD3" s="35"/>
      <c r="AJE3" s="35"/>
      <c r="AJF3" s="35"/>
      <c r="AJG3" s="35"/>
      <c r="AJH3" s="35"/>
      <c r="AJI3" s="35"/>
      <c r="AJJ3" s="35"/>
      <c r="AJK3" s="35"/>
      <c r="AJL3" s="35"/>
      <c r="AJM3" s="35"/>
      <c r="AJN3" s="35"/>
      <c r="AJO3" s="35"/>
      <c r="AJP3" s="35"/>
      <c r="AJQ3" s="35"/>
      <c r="AJR3" s="35"/>
      <c r="AJS3" s="35"/>
      <c r="AJT3" s="35"/>
      <c r="AJU3" s="35"/>
      <c r="AJV3" s="35"/>
      <c r="AJW3" s="35"/>
      <c r="AJX3" s="35"/>
      <c r="AJY3" s="35"/>
      <c r="AJZ3" s="35"/>
      <c r="AKA3" s="35"/>
      <c r="AKB3" s="35"/>
      <c r="AKC3" s="35"/>
      <c r="AKD3" s="35"/>
      <c r="AKE3" s="35"/>
      <c r="AKF3" s="35"/>
      <c r="AKG3" s="35"/>
      <c r="AKH3" s="35"/>
      <c r="AKI3" s="35"/>
      <c r="AKJ3" s="35"/>
      <c r="AKK3" s="35"/>
      <c r="AKL3" s="35"/>
      <c r="AKM3" s="35"/>
      <c r="AKN3" s="35"/>
      <c r="AKO3" s="35"/>
      <c r="AKP3" s="35"/>
      <c r="AKQ3" s="35"/>
      <c r="AKR3" s="35"/>
      <c r="AKS3" s="35"/>
      <c r="AKT3" s="35"/>
      <c r="AKU3" s="35"/>
      <c r="AKV3" s="35"/>
      <c r="AKW3" s="35"/>
      <c r="AKX3" s="35"/>
      <c r="AKY3" s="35"/>
      <c r="AKZ3" s="35"/>
      <c r="ALA3" s="35"/>
      <c r="ALB3" s="35"/>
      <c r="ALC3" s="35"/>
      <c r="ALD3" s="35"/>
      <c r="ALE3" s="35"/>
      <c r="ALF3" s="35"/>
      <c r="ALG3" s="35"/>
      <c r="ALH3" s="35"/>
      <c r="ALI3" s="35"/>
      <c r="ALJ3" s="35"/>
      <c r="ALK3" s="35"/>
      <c r="ALL3" s="35"/>
      <c r="ALM3" s="35"/>
      <c r="ALN3" s="35"/>
      <c r="ALO3" s="35"/>
      <c r="ALP3" s="35"/>
      <c r="ALQ3" s="35"/>
      <c r="ALR3" s="35"/>
      <c r="ALS3" s="35"/>
      <c r="ALT3" s="35"/>
      <c r="ALU3" s="35"/>
      <c r="ALV3" s="35"/>
      <c r="ALW3" s="35"/>
      <c r="ALX3" s="35"/>
      <c r="ALY3" s="35"/>
      <c r="ALZ3" s="35"/>
      <c r="AMA3" s="35"/>
      <c r="AMB3" s="1"/>
    </row>
    <row r="4" customFormat="false" ht="12.8" hidden="true" customHeight="true" outlineLevel="1" collapsed="false">
      <c r="A4" s="36" t="n">
        <f aca="false">A3</f>
        <v>0</v>
      </c>
      <c r="B4" s="37" t="n">
        <f aca="false">B3</f>
        <v>0</v>
      </c>
      <c r="C4" s="37" t="n">
        <f aca="false">C3</f>
        <v>0</v>
      </c>
      <c r="D4" s="37" t="n">
        <f aca="false">D3</f>
        <v>0</v>
      </c>
      <c r="E4" s="37" t="n">
        <f aca="false">E3</f>
        <v>0</v>
      </c>
      <c r="F4" s="37" t="n">
        <f aca="false">F3</f>
        <v>0</v>
      </c>
      <c r="G4" s="37" t="n">
        <f aca="false">G3</f>
        <v>0</v>
      </c>
      <c r="H4" s="37" t="n">
        <f aca="false">H3</f>
        <v>0</v>
      </c>
      <c r="I4" s="37" t="n">
        <f aca="false">I3</f>
        <v>0</v>
      </c>
      <c r="J4" s="37" t="n">
        <f aca="false">J3</f>
        <v>0</v>
      </c>
      <c r="K4" s="37" t="n">
        <f aca="false">K3</f>
        <v>0</v>
      </c>
      <c r="L4" s="37"/>
      <c r="M4" s="37" t="n">
        <f aca="false">M3</f>
        <v>0</v>
      </c>
      <c r="N4" s="37" t="n">
        <f aca="false">N3</f>
        <v>0</v>
      </c>
      <c r="O4" s="37"/>
      <c r="P4" s="37"/>
      <c r="Q4" s="37"/>
      <c r="R4" s="37"/>
      <c r="S4" s="37"/>
      <c r="T4" s="37"/>
      <c r="U4" s="37" t="n">
        <f aca="false">U3</f>
        <v>0</v>
      </c>
      <c r="V4" s="37" t="n">
        <f aca="false">V3</f>
        <v>0</v>
      </c>
      <c r="W4" s="37" t="n">
        <f aca="false">W3</f>
        <v>0</v>
      </c>
      <c r="X4" s="37" t="n">
        <f aca="false">X3</f>
        <v>0</v>
      </c>
      <c r="Y4" s="37" t="n">
        <f aca="false">Y3</f>
        <v>0</v>
      </c>
      <c r="Z4" s="37" t="n">
        <f aca="false">Z3</f>
        <v>0</v>
      </c>
      <c r="AA4" s="37" t="n">
        <f aca="false">AA3</f>
        <v>0</v>
      </c>
      <c r="AB4" s="37" t="n">
        <f aca="false">AB3</f>
        <v>0</v>
      </c>
      <c r="AC4" s="37" t="n">
        <f aca="false">AC3</f>
        <v>0</v>
      </c>
      <c r="AD4" s="37" t="n">
        <f aca="false">AD3</f>
        <v>0</v>
      </c>
      <c r="AE4" s="37"/>
      <c r="AF4" s="37" t="n">
        <f aca="false">AF3</f>
        <v>0</v>
      </c>
      <c r="AG4" s="37" t="n">
        <f aca="false">AG3</f>
        <v>0</v>
      </c>
      <c r="AH4" s="39" t="n">
        <f aca="false">AH3</f>
        <v>0</v>
      </c>
      <c r="AI4" s="37" t="n">
        <f aca="false">AI3</f>
        <v>0</v>
      </c>
      <c r="AJ4" s="37" t="n">
        <f aca="false">AJ3</f>
        <v>0</v>
      </c>
      <c r="AK4" s="37" t="n">
        <f aca="false">AK3</f>
        <v>0</v>
      </c>
      <c r="AL4" s="37" t="n">
        <f aca="false">AL3</f>
        <v>0</v>
      </c>
      <c r="AM4" s="37" t="n">
        <f aca="false">AM3</f>
        <v>0</v>
      </c>
      <c r="AN4" s="37" t="n">
        <f aca="false">AN3</f>
        <v>0</v>
      </c>
      <c r="AO4" s="37" t="n">
        <f aca="false">AO3</f>
        <v>0</v>
      </c>
      <c r="AP4" s="39" t="n">
        <f aca="false">AP3</f>
        <v>0</v>
      </c>
      <c r="AQ4" s="37" t="n">
        <f aca="false">AQ3</f>
        <v>0</v>
      </c>
      <c r="AR4" s="37" t="n">
        <f aca="false">AR3</f>
        <v>0</v>
      </c>
      <c r="AS4" s="37" t="n">
        <f aca="false">AS3</f>
        <v>0</v>
      </c>
      <c r="AT4" s="37" t="n">
        <f aca="false">AT3</f>
        <v>0</v>
      </c>
      <c r="AU4" s="37" t="n">
        <f aca="false">AU3</f>
        <v>0</v>
      </c>
      <c r="AV4" s="37" t="n">
        <f aca="false">AV3</f>
        <v>0</v>
      </c>
      <c r="AW4" s="37" t="n">
        <f aca="false">AW3</f>
        <v>0</v>
      </c>
      <c r="AX4" s="37" t="n">
        <f aca="false">AX3</f>
        <v>0</v>
      </c>
      <c r="AY4" s="38" t="n">
        <f aca="false">AY3</f>
        <v>0</v>
      </c>
      <c r="AZ4" s="38" t="n">
        <f aca="false">AZ3</f>
        <v>0</v>
      </c>
      <c r="BA4" s="37" t="n">
        <f aca="false">BA3</f>
        <v>0</v>
      </c>
      <c r="BB4" s="37" t="n">
        <f aca="false">BB3</f>
        <v>0</v>
      </c>
      <c r="BC4" s="37" t="n">
        <f aca="false">BC3</f>
        <v>0</v>
      </c>
      <c r="BD4" s="37" t="n">
        <f aca="false">BD3</f>
        <v>0</v>
      </c>
      <c r="BE4" s="37"/>
      <c r="BF4" s="37"/>
      <c r="BG4" s="37" t="n">
        <f aca="false">BG3</f>
        <v>0</v>
      </c>
      <c r="BH4" s="37" t="n">
        <f aca="false">BH3</f>
        <v>0</v>
      </c>
      <c r="BI4" s="37" t="n">
        <f aca="false">BI3</f>
        <v>0</v>
      </c>
      <c r="BJ4" s="37" t="n">
        <f aca="false">BJ3</f>
        <v>0</v>
      </c>
      <c r="BK4" s="37" t="n">
        <f aca="false">BK3</f>
        <v>0</v>
      </c>
      <c r="BL4" s="37" t="n">
        <f aca="false">BL3</f>
        <v>0</v>
      </c>
      <c r="BM4" s="37" t="n">
        <f aca="false">BM3</f>
        <v>0</v>
      </c>
      <c r="BN4" s="37" t="n">
        <f aca="false">BN3</f>
        <v>0</v>
      </c>
      <c r="BO4" s="37" t="n">
        <f aca="false">BO3</f>
        <v>0</v>
      </c>
      <c r="BP4" s="37" t="n">
        <f aca="false">BP3</f>
        <v>0</v>
      </c>
      <c r="BQ4" s="37" t="n">
        <f aca="false">BQ3</f>
        <v>0</v>
      </c>
      <c r="BR4" s="37" t="n">
        <f aca="false">BR3</f>
        <v>0</v>
      </c>
      <c r="BS4" s="37" t="n">
        <f aca="false">BS3</f>
        <v>0</v>
      </c>
      <c r="BT4" s="37" t="n">
        <f aca="false">BT3</f>
        <v>0</v>
      </c>
      <c r="BU4" s="37" t="n">
        <f aca="false">BU3</f>
        <v>0</v>
      </c>
      <c r="BV4" s="37" t="n">
        <f aca="false">BV3</f>
        <v>0</v>
      </c>
      <c r="BW4" s="37" t="n">
        <f aca="false">BW3</f>
        <v>0</v>
      </c>
      <c r="BX4" s="37" t="n">
        <f aca="false">BX3</f>
        <v>0</v>
      </c>
      <c r="BY4" s="37" t="n">
        <f aca="false">BY3</f>
        <v>0</v>
      </c>
      <c r="BZ4" s="37" t="n">
        <f aca="false">BZ3</f>
        <v>0</v>
      </c>
      <c r="CA4" s="37" t="n">
        <f aca="false">CA3</f>
        <v>0</v>
      </c>
      <c r="CB4" s="37" t="n">
        <f aca="false">CB3</f>
        <v>0</v>
      </c>
      <c r="CC4" s="37" t="n">
        <f aca="false">CC3</f>
        <v>0</v>
      </c>
      <c r="CD4" s="37" t="n">
        <f aca="false">CD3</f>
        <v>0</v>
      </c>
      <c r="CE4" s="37" t="n">
        <f aca="false">CE3</f>
        <v>0</v>
      </c>
      <c r="CF4" s="37" t="n">
        <f aca="false">CF3</f>
        <v>0</v>
      </c>
      <c r="CG4" s="37" t="n">
        <f aca="false">CG3</f>
        <v>0</v>
      </c>
      <c r="CH4" s="37" t="n">
        <f aca="false">CH3</f>
        <v>0</v>
      </c>
      <c r="CI4" s="37" t="n">
        <f aca="false">CI3</f>
        <v>0</v>
      </c>
      <c r="CJ4" s="37" t="n">
        <f aca="false">CJ3</f>
        <v>0</v>
      </c>
      <c r="CK4" s="37" t="n">
        <f aca="false">CK3</f>
        <v>0</v>
      </c>
      <c r="CL4" s="37" t="n">
        <f aca="false">CL3</f>
        <v>0</v>
      </c>
      <c r="CM4" s="37" t="n">
        <f aca="false">CM3</f>
        <v>0</v>
      </c>
      <c r="CN4" s="37" t="n">
        <f aca="false">CN3</f>
        <v>0</v>
      </c>
      <c r="CO4" s="37" t="n">
        <f aca="false">CO3</f>
        <v>0</v>
      </c>
      <c r="CP4" s="37" t="n">
        <f aca="false">CP3</f>
        <v>0</v>
      </c>
      <c r="CQ4" s="37" t="n">
        <f aca="false">CQ3</f>
        <v>0</v>
      </c>
      <c r="CR4" s="37" t="n">
        <f aca="false">CR3</f>
        <v>0</v>
      </c>
      <c r="CS4" s="37" t="n">
        <f aca="false">CS3</f>
        <v>0</v>
      </c>
      <c r="CT4" s="37" t="n">
        <f aca="false">CT3</f>
        <v>0</v>
      </c>
      <c r="CU4" s="37" t="n">
        <f aca="false">CU3</f>
        <v>0</v>
      </c>
      <c r="CV4" s="37" t="n">
        <f aca="false">CV3</f>
        <v>0</v>
      </c>
      <c r="CW4" s="37" t="n">
        <f aca="false">CW3</f>
        <v>0</v>
      </c>
      <c r="CX4" s="37" t="n">
        <f aca="false">CX3</f>
        <v>0</v>
      </c>
      <c r="CY4" s="37" t="n">
        <f aca="false">CY3</f>
        <v>0</v>
      </c>
      <c r="CZ4" s="37" t="n">
        <f aca="false">CZ3</f>
        <v>0</v>
      </c>
      <c r="DA4" s="37" t="n">
        <f aca="false">DA3</f>
        <v>0</v>
      </c>
      <c r="DB4" s="37" t="n">
        <f aca="false">DB3</f>
        <v>0</v>
      </c>
      <c r="DC4" s="37" t="n">
        <f aca="false">DC3</f>
        <v>0</v>
      </c>
      <c r="DD4" s="37" t="n">
        <f aca="false">DD3</f>
        <v>0</v>
      </c>
      <c r="DE4" s="37" t="n">
        <f aca="false">DE3</f>
        <v>0</v>
      </c>
      <c r="DF4" s="37" t="n">
        <f aca="false">DF3</f>
        <v>0</v>
      </c>
      <c r="DG4" s="37" t="n">
        <f aca="false">DG3</f>
        <v>0</v>
      </c>
      <c r="DH4" s="37" t="n">
        <f aca="false">DH3</f>
        <v>0</v>
      </c>
      <c r="DI4" s="37" t="n">
        <f aca="false">DI3</f>
        <v>0</v>
      </c>
      <c r="DJ4" s="37" t="n">
        <f aca="false">DJ3</f>
        <v>0</v>
      </c>
      <c r="DK4" s="37" t="n">
        <f aca="false">DK3</f>
        <v>0</v>
      </c>
      <c r="DL4" s="37" t="n">
        <f aca="false">DL3</f>
        <v>0</v>
      </c>
      <c r="DM4" s="37" t="n">
        <f aca="false">DM3</f>
        <v>0</v>
      </c>
      <c r="DN4" s="37" t="n">
        <f aca="false">DN3</f>
        <v>0</v>
      </c>
      <c r="DO4" s="37" t="n">
        <f aca="false">DO3</f>
        <v>0</v>
      </c>
      <c r="DP4" s="37" t="n">
        <f aca="false">DP3</f>
        <v>0</v>
      </c>
      <c r="DQ4" s="37" t="n">
        <f aca="false">DQ3</f>
        <v>0</v>
      </c>
      <c r="DR4" s="37" t="n">
        <f aca="false">DR3</f>
        <v>0</v>
      </c>
      <c r="DS4" s="37" t="n">
        <f aca="false">DS3</f>
        <v>0</v>
      </c>
      <c r="DT4" s="37" t="n">
        <f aca="false">DT3</f>
        <v>0</v>
      </c>
      <c r="DU4" s="37" t="n">
        <f aca="false">DU3</f>
        <v>0</v>
      </c>
      <c r="DV4" s="37" t="n">
        <f aca="false">DV3</f>
        <v>0</v>
      </c>
      <c r="DW4" s="37" t="n">
        <f aca="false">DW3</f>
        <v>0</v>
      </c>
      <c r="DX4" s="37" t="n">
        <f aca="false">DX3</f>
        <v>0</v>
      </c>
      <c r="DY4" s="37" t="n">
        <f aca="false">DY3</f>
        <v>0</v>
      </c>
      <c r="DZ4" s="37" t="str">
        <f aca="false">DZ3</f>
        <v>x</v>
      </c>
      <c r="EA4" s="35"/>
      <c r="EB4" s="81"/>
      <c r="EC4" s="35"/>
      <c r="ED4" s="35"/>
      <c r="EE4" s="35"/>
      <c r="EF4" s="35"/>
      <c r="EG4" s="35"/>
      <c r="EH4" s="35"/>
      <c r="EI4" s="35"/>
      <c r="EJ4" s="35"/>
      <c r="EK4" s="35"/>
      <c r="EL4" s="35"/>
      <c r="EM4" s="35"/>
      <c r="EN4" s="35"/>
      <c r="EO4" s="35"/>
      <c r="EP4" s="35"/>
      <c r="EQ4" s="35"/>
      <c r="ER4" s="35"/>
      <c r="ES4" s="35"/>
      <c r="ET4" s="35"/>
      <c r="EU4" s="35"/>
      <c r="EV4" s="35"/>
      <c r="EW4" s="35"/>
      <c r="EX4" s="35"/>
      <c r="EY4" s="35"/>
      <c r="EZ4" s="35"/>
      <c r="FA4" s="35"/>
      <c r="FB4" s="35"/>
      <c r="FC4" s="35"/>
      <c r="FD4" s="35"/>
      <c r="FE4" s="35"/>
      <c r="FF4" s="35"/>
      <c r="FG4" s="35"/>
      <c r="FH4" s="35"/>
      <c r="FI4" s="35"/>
      <c r="FJ4" s="35"/>
      <c r="FK4" s="35"/>
      <c r="FL4" s="35"/>
      <c r="FM4" s="35"/>
      <c r="FN4" s="35"/>
      <c r="FO4" s="35"/>
      <c r="FP4" s="35"/>
      <c r="FQ4" s="35"/>
      <c r="FR4" s="35"/>
      <c r="FS4" s="35"/>
      <c r="FT4" s="35"/>
      <c r="FU4" s="35"/>
      <c r="FV4" s="35"/>
      <c r="FW4" s="35"/>
      <c r="FX4" s="35"/>
      <c r="FY4" s="35"/>
      <c r="FZ4" s="35"/>
      <c r="GA4" s="35"/>
      <c r="GB4" s="35"/>
      <c r="GC4" s="35"/>
      <c r="GD4" s="35"/>
      <c r="GE4" s="35"/>
      <c r="GF4" s="35"/>
      <c r="GG4" s="35"/>
      <c r="GH4" s="35"/>
      <c r="GI4" s="35"/>
      <c r="GJ4" s="35"/>
      <c r="GK4" s="35"/>
      <c r="GL4" s="35"/>
      <c r="GM4" s="35"/>
      <c r="GN4" s="35"/>
      <c r="GO4" s="35"/>
      <c r="GP4" s="35"/>
      <c r="GQ4" s="35"/>
      <c r="GR4" s="35"/>
      <c r="GS4" s="35"/>
      <c r="GT4" s="35"/>
      <c r="GU4" s="35"/>
      <c r="GV4" s="35"/>
      <c r="GW4" s="35"/>
      <c r="GX4" s="35"/>
      <c r="GY4" s="35"/>
      <c r="GZ4" s="35"/>
      <c r="HA4" s="35"/>
      <c r="HB4" s="35"/>
      <c r="HC4" s="35"/>
      <c r="HD4" s="35"/>
      <c r="HE4" s="35"/>
      <c r="HF4" s="35"/>
      <c r="HG4" s="35"/>
      <c r="HH4" s="35"/>
      <c r="HI4" s="35"/>
      <c r="HJ4" s="35"/>
      <c r="HK4" s="35"/>
      <c r="HL4" s="35"/>
      <c r="HM4" s="35"/>
      <c r="HN4" s="35"/>
      <c r="HO4" s="35"/>
      <c r="HP4" s="35"/>
      <c r="HQ4" s="35"/>
      <c r="HR4" s="35"/>
      <c r="HS4" s="35"/>
      <c r="HT4" s="35"/>
      <c r="HU4" s="35"/>
      <c r="HV4" s="35"/>
      <c r="HW4" s="35"/>
      <c r="HX4" s="35"/>
      <c r="HY4" s="35"/>
      <c r="HZ4" s="35"/>
      <c r="IA4" s="35"/>
      <c r="IB4" s="35"/>
      <c r="IC4" s="35"/>
      <c r="ID4" s="35"/>
      <c r="IE4" s="35"/>
      <c r="IF4" s="35"/>
      <c r="IG4" s="35"/>
      <c r="IH4" s="35"/>
      <c r="II4" s="35"/>
      <c r="IJ4" s="35"/>
      <c r="IK4" s="35"/>
      <c r="IL4" s="35"/>
      <c r="IM4" s="35"/>
      <c r="IN4" s="35"/>
      <c r="IO4" s="35"/>
      <c r="IP4" s="35"/>
      <c r="IQ4" s="35"/>
      <c r="IR4" s="35"/>
      <c r="IS4" s="35"/>
      <c r="IT4" s="35"/>
      <c r="IU4" s="35"/>
      <c r="IV4" s="35"/>
      <c r="IW4" s="35"/>
      <c r="IX4" s="35"/>
      <c r="IY4" s="35"/>
      <c r="IZ4" s="35"/>
      <c r="JA4" s="35"/>
      <c r="JB4" s="35"/>
      <c r="JC4" s="35"/>
      <c r="JD4" s="35"/>
      <c r="JE4" s="35"/>
      <c r="JF4" s="35"/>
      <c r="JG4" s="35"/>
      <c r="JH4" s="35"/>
      <c r="JI4" s="35"/>
      <c r="JJ4" s="35"/>
      <c r="JK4" s="35"/>
      <c r="JL4" s="35"/>
      <c r="JM4" s="35"/>
      <c r="JN4" s="35"/>
      <c r="JO4" s="35"/>
      <c r="JP4" s="35"/>
      <c r="JQ4" s="35"/>
      <c r="JR4" s="35"/>
      <c r="JS4" s="35"/>
      <c r="JT4" s="35"/>
      <c r="JU4" s="35"/>
      <c r="JV4" s="35"/>
      <c r="JW4" s="35"/>
      <c r="JX4" s="35"/>
      <c r="JY4" s="35"/>
      <c r="JZ4" s="35"/>
      <c r="KA4" s="35"/>
      <c r="KB4" s="35"/>
      <c r="KC4" s="35"/>
      <c r="KD4" s="35"/>
      <c r="KE4" s="35"/>
      <c r="KF4" s="35"/>
      <c r="KG4" s="35"/>
      <c r="KH4" s="35"/>
      <c r="KI4" s="35"/>
      <c r="KJ4" s="35"/>
      <c r="KK4" s="35"/>
      <c r="KL4" s="35"/>
      <c r="KM4" s="35"/>
      <c r="KN4" s="35"/>
      <c r="KO4" s="35"/>
      <c r="KP4" s="35"/>
      <c r="KQ4" s="35"/>
      <c r="KR4" s="35"/>
      <c r="KS4" s="35"/>
      <c r="KT4" s="35"/>
      <c r="KU4" s="35"/>
      <c r="KV4" s="35"/>
      <c r="KW4" s="35"/>
      <c r="KX4" s="35"/>
      <c r="KY4" s="35"/>
      <c r="KZ4" s="35"/>
      <c r="LA4" s="35"/>
      <c r="LB4" s="35"/>
      <c r="LC4" s="35"/>
      <c r="LD4" s="35"/>
      <c r="LE4" s="35"/>
      <c r="LF4" s="35"/>
      <c r="LG4" s="35"/>
      <c r="LH4" s="35"/>
      <c r="LI4" s="35"/>
      <c r="LJ4" s="35"/>
      <c r="LK4" s="35"/>
      <c r="LL4" s="35"/>
      <c r="LM4" s="35"/>
      <c r="LN4" s="35"/>
      <c r="LO4" s="35"/>
      <c r="LP4" s="35"/>
      <c r="LQ4" s="35"/>
      <c r="LR4" s="35"/>
      <c r="LS4" s="35"/>
      <c r="LT4" s="35"/>
      <c r="LU4" s="35"/>
      <c r="LV4" s="35"/>
      <c r="LW4" s="35"/>
      <c r="LX4" s="35"/>
      <c r="LY4" s="35"/>
      <c r="LZ4" s="35"/>
      <c r="MA4" s="35"/>
      <c r="MB4" s="35"/>
      <c r="MC4" s="35"/>
      <c r="MD4" s="35"/>
      <c r="ME4" s="35"/>
      <c r="MF4" s="35"/>
      <c r="MG4" s="35"/>
      <c r="MH4" s="35"/>
      <c r="MI4" s="35"/>
      <c r="MJ4" s="35"/>
      <c r="MK4" s="35"/>
      <c r="ML4" s="35"/>
      <c r="MM4" s="35"/>
      <c r="MN4" s="35"/>
      <c r="MO4" s="35"/>
      <c r="MP4" s="35"/>
      <c r="MQ4" s="35"/>
      <c r="MR4" s="35"/>
      <c r="MS4" s="35"/>
      <c r="MT4" s="35"/>
      <c r="MU4" s="35"/>
      <c r="MV4" s="35"/>
      <c r="MW4" s="35"/>
      <c r="MX4" s="35"/>
      <c r="MY4" s="35"/>
      <c r="MZ4" s="35"/>
      <c r="NA4" s="35"/>
      <c r="NB4" s="35"/>
      <c r="NC4" s="35"/>
      <c r="ND4" s="35"/>
      <c r="NE4" s="35"/>
      <c r="NF4" s="35"/>
      <c r="NG4" s="35"/>
      <c r="NH4" s="35"/>
      <c r="NI4" s="35"/>
      <c r="NJ4" s="35"/>
      <c r="NK4" s="35"/>
      <c r="NL4" s="35"/>
      <c r="NM4" s="35"/>
      <c r="NN4" s="35"/>
      <c r="NO4" s="35"/>
      <c r="NP4" s="35"/>
      <c r="NQ4" s="35"/>
      <c r="NR4" s="35"/>
      <c r="NS4" s="35"/>
      <c r="NT4" s="35"/>
      <c r="NU4" s="35"/>
      <c r="NV4" s="35"/>
      <c r="NW4" s="35"/>
      <c r="NX4" s="35"/>
      <c r="NY4" s="35"/>
      <c r="NZ4" s="35"/>
      <c r="OA4" s="35"/>
      <c r="OB4" s="35"/>
      <c r="OC4" s="35"/>
      <c r="OD4" s="35"/>
      <c r="OE4" s="35"/>
      <c r="OF4" s="35"/>
      <c r="OG4" s="35"/>
      <c r="OH4" s="35"/>
      <c r="OI4" s="35"/>
      <c r="OJ4" s="35"/>
      <c r="OK4" s="35"/>
      <c r="OL4" s="35"/>
      <c r="OM4" s="35"/>
      <c r="ON4" s="35"/>
      <c r="OO4" s="35"/>
      <c r="OP4" s="35"/>
      <c r="OQ4" s="35"/>
      <c r="OR4" s="35"/>
      <c r="OS4" s="35"/>
      <c r="OT4" s="35"/>
      <c r="OU4" s="35"/>
      <c r="OV4" s="35"/>
      <c r="OW4" s="35"/>
      <c r="OX4" s="35"/>
      <c r="OY4" s="35"/>
      <c r="OZ4" s="35"/>
      <c r="PA4" s="35"/>
      <c r="PB4" s="35"/>
      <c r="PC4" s="35"/>
      <c r="PD4" s="35"/>
      <c r="PE4" s="35"/>
      <c r="PF4" s="35"/>
      <c r="PG4" s="35"/>
      <c r="PH4" s="35"/>
      <c r="PI4" s="35"/>
      <c r="PJ4" s="35"/>
      <c r="PK4" s="35"/>
      <c r="PL4" s="35"/>
      <c r="PM4" s="35"/>
      <c r="PN4" s="35"/>
      <c r="PO4" s="35"/>
      <c r="PP4" s="35"/>
      <c r="PQ4" s="35"/>
      <c r="PR4" s="35"/>
      <c r="PS4" s="35"/>
      <c r="PT4" s="35"/>
      <c r="PU4" s="35"/>
      <c r="PV4" s="35"/>
      <c r="PW4" s="35"/>
      <c r="PX4" s="35"/>
      <c r="PY4" s="35"/>
      <c r="PZ4" s="35"/>
      <c r="QA4" s="35"/>
      <c r="QB4" s="35"/>
      <c r="QC4" s="35"/>
      <c r="QD4" s="35"/>
      <c r="QE4" s="35"/>
      <c r="QF4" s="35"/>
      <c r="QG4" s="35"/>
      <c r="QH4" s="35"/>
      <c r="QI4" s="35"/>
      <c r="QJ4" s="35"/>
      <c r="QK4" s="35"/>
      <c r="QL4" s="35"/>
      <c r="QM4" s="35"/>
      <c r="QN4" s="35"/>
      <c r="QO4" s="35"/>
      <c r="QP4" s="35"/>
      <c r="QQ4" s="35"/>
      <c r="QR4" s="35"/>
      <c r="QS4" s="35"/>
      <c r="QT4" s="35"/>
      <c r="QU4" s="35"/>
      <c r="QV4" s="35"/>
      <c r="QW4" s="35"/>
      <c r="QX4" s="35"/>
      <c r="QY4" s="35"/>
      <c r="QZ4" s="35"/>
      <c r="RA4" s="35"/>
      <c r="RB4" s="35"/>
      <c r="RC4" s="35"/>
      <c r="RD4" s="35"/>
      <c r="RE4" s="35"/>
      <c r="RF4" s="35"/>
      <c r="RG4" s="35"/>
      <c r="RH4" s="35"/>
      <c r="RI4" s="35"/>
      <c r="RJ4" s="35"/>
      <c r="RK4" s="35"/>
      <c r="RL4" s="35"/>
      <c r="RM4" s="35"/>
      <c r="RN4" s="35"/>
      <c r="RO4" s="35"/>
      <c r="RP4" s="35"/>
      <c r="RQ4" s="35"/>
      <c r="RR4" s="35"/>
      <c r="RS4" s="35"/>
      <c r="RT4" s="35"/>
      <c r="RU4" s="35"/>
      <c r="RV4" s="35"/>
      <c r="RW4" s="35"/>
      <c r="RX4" s="35"/>
      <c r="RY4" s="35"/>
      <c r="RZ4" s="35"/>
      <c r="SA4" s="35"/>
      <c r="SB4" s="35"/>
      <c r="SC4" s="35"/>
      <c r="SD4" s="35"/>
      <c r="SE4" s="35"/>
      <c r="SF4" s="35"/>
      <c r="SG4" s="35"/>
      <c r="SH4" s="35"/>
      <c r="SI4" s="35"/>
      <c r="SJ4" s="35"/>
      <c r="SK4" s="35"/>
      <c r="SL4" s="35"/>
      <c r="SM4" s="35"/>
      <c r="SN4" s="35"/>
      <c r="SO4" s="35"/>
      <c r="SP4" s="35"/>
      <c r="SQ4" s="35"/>
      <c r="SR4" s="35"/>
      <c r="SS4" s="35"/>
      <c r="ST4" s="35"/>
      <c r="SU4" s="35"/>
      <c r="SV4" s="35"/>
      <c r="SW4" s="35"/>
      <c r="SX4" s="35"/>
      <c r="SY4" s="35"/>
      <c r="SZ4" s="35"/>
      <c r="TA4" s="35"/>
      <c r="TB4" s="35"/>
      <c r="TC4" s="35"/>
      <c r="TD4" s="35"/>
      <c r="TE4" s="35"/>
      <c r="TF4" s="35"/>
      <c r="TG4" s="35"/>
      <c r="TH4" s="35"/>
      <c r="TI4" s="35"/>
      <c r="TJ4" s="35"/>
      <c r="TK4" s="35"/>
      <c r="TL4" s="35"/>
      <c r="TM4" s="35"/>
      <c r="TN4" s="35"/>
      <c r="TO4" s="35"/>
      <c r="TP4" s="35"/>
      <c r="TQ4" s="35"/>
      <c r="TR4" s="35"/>
      <c r="TS4" s="35"/>
      <c r="TT4" s="35"/>
      <c r="TU4" s="35"/>
      <c r="TV4" s="35"/>
      <c r="TW4" s="35"/>
      <c r="TX4" s="35"/>
      <c r="TY4" s="35"/>
      <c r="TZ4" s="35"/>
      <c r="UA4" s="35"/>
      <c r="UB4" s="35"/>
      <c r="UC4" s="35"/>
      <c r="UD4" s="35"/>
      <c r="UE4" s="35"/>
      <c r="UF4" s="35"/>
      <c r="UG4" s="35"/>
      <c r="UH4" s="35"/>
      <c r="UI4" s="35"/>
      <c r="UJ4" s="35"/>
      <c r="UK4" s="35"/>
      <c r="UL4" s="35"/>
      <c r="UM4" s="35"/>
      <c r="UN4" s="35"/>
      <c r="UO4" s="35"/>
      <c r="UP4" s="35"/>
      <c r="UQ4" s="35"/>
      <c r="UR4" s="35"/>
      <c r="US4" s="35"/>
      <c r="UT4" s="35"/>
      <c r="UU4" s="35"/>
      <c r="UV4" s="35"/>
      <c r="UW4" s="35"/>
      <c r="UX4" s="35"/>
      <c r="UY4" s="35"/>
      <c r="UZ4" s="35"/>
      <c r="VA4" s="35"/>
      <c r="VB4" s="35"/>
      <c r="VC4" s="35"/>
      <c r="VD4" s="35"/>
      <c r="VE4" s="35"/>
      <c r="VF4" s="35"/>
      <c r="VG4" s="35"/>
      <c r="VH4" s="35"/>
      <c r="VI4" s="35"/>
      <c r="VJ4" s="35"/>
      <c r="VK4" s="35"/>
      <c r="VL4" s="35"/>
      <c r="VM4" s="35"/>
      <c r="VN4" s="35"/>
      <c r="VO4" s="35"/>
      <c r="VP4" s="35"/>
      <c r="VQ4" s="35"/>
      <c r="VR4" s="35"/>
      <c r="VS4" s="35"/>
      <c r="VT4" s="35"/>
      <c r="VU4" s="35"/>
      <c r="VV4" s="35"/>
      <c r="VW4" s="35"/>
      <c r="VX4" s="35"/>
      <c r="VY4" s="35"/>
      <c r="VZ4" s="35"/>
      <c r="WA4" s="35"/>
      <c r="WB4" s="35"/>
      <c r="WC4" s="35"/>
      <c r="WD4" s="35"/>
      <c r="WE4" s="35"/>
      <c r="WF4" s="35"/>
      <c r="WG4" s="35"/>
      <c r="WH4" s="35"/>
      <c r="WI4" s="35"/>
      <c r="WJ4" s="35"/>
      <c r="WK4" s="35"/>
      <c r="WL4" s="35"/>
      <c r="WM4" s="35"/>
      <c r="WN4" s="35"/>
      <c r="WO4" s="35"/>
      <c r="WP4" s="35"/>
      <c r="WQ4" s="35"/>
      <c r="WR4" s="35"/>
      <c r="WS4" s="35"/>
      <c r="WT4" s="35"/>
      <c r="WU4" s="35"/>
      <c r="WV4" s="35"/>
      <c r="WW4" s="35"/>
      <c r="WX4" s="35"/>
      <c r="WY4" s="35"/>
      <c r="WZ4" s="35"/>
      <c r="XA4" s="35"/>
      <c r="XB4" s="35"/>
      <c r="XC4" s="35"/>
      <c r="XD4" s="35"/>
      <c r="XE4" s="35"/>
      <c r="XF4" s="35"/>
      <c r="XG4" s="35"/>
      <c r="XH4" s="35"/>
      <c r="XI4" s="35"/>
      <c r="XJ4" s="35"/>
      <c r="XK4" s="35"/>
      <c r="XL4" s="35"/>
      <c r="XM4" s="35"/>
      <c r="XN4" s="35"/>
      <c r="XO4" s="35"/>
      <c r="XP4" s="35"/>
      <c r="XQ4" s="35"/>
      <c r="XR4" s="35"/>
      <c r="XS4" s="35"/>
      <c r="XT4" s="35"/>
      <c r="XU4" s="35"/>
      <c r="XV4" s="35"/>
      <c r="XW4" s="35"/>
      <c r="XX4" s="35"/>
      <c r="XY4" s="35"/>
      <c r="XZ4" s="35"/>
      <c r="YA4" s="35"/>
      <c r="YB4" s="35"/>
      <c r="YC4" s="35"/>
      <c r="YD4" s="35"/>
      <c r="YE4" s="35"/>
      <c r="YF4" s="35"/>
      <c r="YG4" s="35"/>
      <c r="YH4" s="35"/>
      <c r="YI4" s="35"/>
      <c r="YJ4" s="35"/>
      <c r="YK4" s="35"/>
      <c r="YL4" s="35"/>
      <c r="YM4" s="35"/>
      <c r="YN4" s="35"/>
      <c r="YO4" s="35"/>
      <c r="YP4" s="35"/>
      <c r="YQ4" s="35"/>
      <c r="YR4" s="35"/>
      <c r="YS4" s="35"/>
      <c r="YT4" s="35"/>
      <c r="YU4" s="35"/>
      <c r="YV4" s="35"/>
      <c r="YW4" s="35"/>
      <c r="YX4" s="35"/>
      <c r="YY4" s="35"/>
      <c r="YZ4" s="35"/>
      <c r="ZA4" s="35"/>
      <c r="ZB4" s="35"/>
      <c r="ZC4" s="35"/>
      <c r="ZD4" s="35"/>
      <c r="ZE4" s="35"/>
      <c r="ZF4" s="35"/>
      <c r="ZG4" s="35"/>
      <c r="ZH4" s="35"/>
      <c r="ZI4" s="35"/>
      <c r="ZJ4" s="35"/>
      <c r="ZK4" s="35"/>
      <c r="ZL4" s="35"/>
      <c r="ZM4" s="35"/>
      <c r="ZN4" s="35"/>
      <c r="ZO4" s="35"/>
      <c r="ZP4" s="35"/>
      <c r="ZQ4" s="35"/>
      <c r="ZR4" s="35"/>
      <c r="ZS4" s="35"/>
      <c r="ZT4" s="35"/>
      <c r="ZU4" s="35"/>
      <c r="ZV4" s="35"/>
      <c r="ZW4" s="35"/>
      <c r="ZX4" s="35"/>
      <c r="ZY4" s="35"/>
      <c r="ZZ4" s="35"/>
      <c r="AAA4" s="35"/>
      <c r="AAB4" s="35"/>
      <c r="AAC4" s="35"/>
      <c r="AAD4" s="35"/>
      <c r="AAE4" s="35"/>
      <c r="AAF4" s="35"/>
      <c r="AAG4" s="35"/>
      <c r="AAH4" s="35"/>
      <c r="AAI4" s="35"/>
      <c r="AAJ4" s="35"/>
      <c r="AAK4" s="35"/>
      <c r="AAL4" s="35"/>
      <c r="AAM4" s="35"/>
      <c r="AAN4" s="35"/>
      <c r="AAO4" s="35"/>
      <c r="AAP4" s="35"/>
      <c r="AAQ4" s="35"/>
      <c r="AAR4" s="35"/>
      <c r="AAS4" s="35"/>
      <c r="AAT4" s="35"/>
      <c r="AAU4" s="35"/>
      <c r="AAV4" s="35"/>
      <c r="AAW4" s="35"/>
      <c r="AAX4" s="35"/>
      <c r="AAY4" s="35"/>
      <c r="AAZ4" s="35"/>
      <c r="ABA4" s="35"/>
      <c r="ABB4" s="35"/>
      <c r="ABC4" s="35"/>
      <c r="ABD4" s="35"/>
      <c r="ABE4" s="35"/>
      <c r="ABF4" s="35"/>
      <c r="ABG4" s="35"/>
      <c r="ABH4" s="35"/>
      <c r="ABI4" s="35"/>
      <c r="ABJ4" s="35"/>
      <c r="ABK4" s="35"/>
      <c r="ABL4" s="35"/>
      <c r="ABM4" s="35"/>
      <c r="ABN4" s="35"/>
      <c r="ABO4" s="35"/>
      <c r="ABP4" s="35"/>
      <c r="ABQ4" s="35"/>
      <c r="ABR4" s="35"/>
      <c r="ABS4" s="35"/>
      <c r="ABT4" s="35"/>
      <c r="ABU4" s="35"/>
      <c r="ABV4" s="35"/>
      <c r="ABW4" s="35"/>
      <c r="ABX4" s="35"/>
      <c r="ABY4" s="35"/>
      <c r="ABZ4" s="35"/>
      <c r="ACA4" s="35"/>
      <c r="ACB4" s="35"/>
      <c r="ACC4" s="35"/>
      <c r="ACD4" s="35"/>
      <c r="ACE4" s="35"/>
      <c r="ACF4" s="35"/>
      <c r="ACG4" s="35"/>
      <c r="ACH4" s="35"/>
      <c r="ACI4" s="35"/>
      <c r="ACJ4" s="35"/>
      <c r="ACK4" s="35"/>
      <c r="ACL4" s="35"/>
      <c r="ACM4" s="35"/>
      <c r="ACN4" s="35"/>
      <c r="ACO4" s="35"/>
      <c r="ACP4" s="35"/>
      <c r="ACQ4" s="35"/>
      <c r="ACR4" s="35"/>
      <c r="ACS4" s="35"/>
      <c r="ACT4" s="35"/>
      <c r="ACU4" s="35"/>
      <c r="ACV4" s="35"/>
      <c r="ACW4" s="35"/>
      <c r="ACX4" s="35"/>
      <c r="ACY4" s="35"/>
      <c r="ACZ4" s="35"/>
      <c r="ADA4" s="35"/>
      <c r="ADB4" s="35"/>
      <c r="ADC4" s="35"/>
      <c r="ADD4" s="35"/>
      <c r="ADE4" s="35"/>
      <c r="ADF4" s="35"/>
      <c r="ADG4" s="35"/>
      <c r="ADH4" s="35"/>
      <c r="ADI4" s="35"/>
      <c r="ADJ4" s="35"/>
      <c r="ADK4" s="35"/>
      <c r="ADL4" s="35"/>
      <c r="ADM4" s="35"/>
      <c r="ADN4" s="35"/>
      <c r="ADO4" s="35"/>
      <c r="ADP4" s="35"/>
      <c r="ADQ4" s="35"/>
      <c r="ADR4" s="35"/>
      <c r="ADS4" s="35"/>
      <c r="ADT4" s="35"/>
      <c r="ADU4" s="35"/>
      <c r="ADV4" s="35"/>
      <c r="ADW4" s="35"/>
      <c r="ADX4" s="35"/>
      <c r="ADY4" s="35"/>
      <c r="ADZ4" s="35"/>
      <c r="AEA4" s="35"/>
      <c r="AEB4" s="35"/>
      <c r="AEC4" s="35"/>
      <c r="AED4" s="35"/>
      <c r="AEE4" s="35"/>
      <c r="AEF4" s="35"/>
      <c r="AEG4" s="35"/>
      <c r="AEH4" s="35"/>
      <c r="AEI4" s="35"/>
      <c r="AEJ4" s="35"/>
      <c r="AEK4" s="35"/>
      <c r="AEL4" s="35"/>
      <c r="AEM4" s="35"/>
      <c r="AEN4" s="35"/>
      <c r="AEO4" s="35"/>
      <c r="AEP4" s="35"/>
      <c r="AEQ4" s="35"/>
      <c r="AER4" s="35"/>
      <c r="AES4" s="35"/>
      <c r="AET4" s="35"/>
      <c r="AEU4" s="35"/>
      <c r="AEV4" s="35"/>
      <c r="AEW4" s="35"/>
      <c r="AEX4" s="35"/>
      <c r="AEY4" s="35"/>
      <c r="AEZ4" s="35"/>
      <c r="AFA4" s="35"/>
      <c r="AFB4" s="35"/>
      <c r="AFC4" s="35"/>
      <c r="AFD4" s="35"/>
      <c r="AFE4" s="35"/>
      <c r="AFF4" s="35"/>
      <c r="AFG4" s="35"/>
      <c r="AFH4" s="35"/>
      <c r="AFI4" s="35"/>
      <c r="AFJ4" s="35"/>
      <c r="AFK4" s="35"/>
      <c r="AFL4" s="35"/>
      <c r="AFM4" s="35"/>
      <c r="AFN4" s="35"/>
      <c r="AFO4" s="35"/>
      <c r="AFP4" s="35"/>
      <c r="AFQ4" s="35"/>
      <c r="AFR4" s="35"/>
      <c r="AFS4" s="35"/>
      <c r="AFT4" s="35"/>
      <c r="AFU4" s="35"/>
      <c r="AFV4" s="35"/>
      <c r="AFW4" s="35"/>
      <c r="AFX4" s="35"/>
      <c r="AFY4" s="35"/>
      <c r="AFZ4" s="35"/>
      <c r="AGA4" s="35"/>
      <c r="AGB4" s="35"/>
      <c r="AGC4" s="35"/>
      <c r="AGD4" s="35"/>
      <c r="AGE4" s="35"/>
      <c r="AGF4" s="35"/>
      <c r="AGG4" s="35"/>
      <c r="AGH4" s="35"/>
      <c r="AGI4" s="35"/>
      <c r="AGJ4" s="35"/>
      <c r="AGK4" s="35"/>
      <c r="AGL4" s="35"/>
      <c r="AGM4" s="35"/>
      <c r="AGN4" s="35"/>
      <c r="AGO4" s="35"/>
      <c r="AGP4" s="35"/>
      <c r="AGQ4" s="35"/>
      <c r="AGR4" s="35"/>
      <c r="AGS4" s="35"/>
      <c r="AGT4" s="35"/>
      <c r="AGU4" s="35"/>
      <c r="AGV4" s="35"/>
      <c r="AGW4" s="35"/>
      <c r="AGX4" s="35"/>
      <c r="AGY4" s="35"/>
      <c r="AGZ4" s="35"/>
      <c r="AHA4" s="35"/>
      <c r="AHB4" s="35"/>
      <c r="AHC4" s="35"/>
      <c r="AHD4" s="35"/>
      <c r="AHE4" s="35"/>
      <c r="AHF4" s="35"/>
      <c r="AHG4" s="35"/>
      <c r="AHH4" s="35"/>
      <c r="AHI4" s="35"/>
      <c r="AHJ4" s="35"/>
      <c r="AHK4" s="35"/>
      <c r="AHL4" s="35"/>
      <c r="AHM4" s="35"/>
      <c r="AHN4" s="35"/>
      <c r="AHO4" s="35"/>
      <c r="AHP4" s="35"/>
      <c r="AHQ4" s="35"/>
      <c r="AHR4" s="35"/>
      <c r="AHS4" s="35"/>
      <c r="AHT4" s="35"/>
      <c r="AHU4" s="35"/>
      <c r="AHV4" s="35"/>
      <c r="AHW4" s="35"/>
      <c r="AHX4" s="35"/>
      <c r="AHY4" s="35"/>
      <c r="AHZ4" s="35"/>
      <c r="AIA4" s="35"/>
      <c r="AIB4" s="35"/>
      <c r="AIC4" s="35"/>
      <c r="AID4" s="35"/>
      <c r="AIE4" s="35"/>
      <c r="AIF4" s="35"/>
      <c r="AIG4" s="35"/>
      <c r="AIH4" s="35"/>
      <c r="AII4" s="35"/>
      <c r="AIJ4" s="35"/>
      <c r="AIK4" s="35"/>
      <c r="AIL4" s="35"/>
      <c r="AIM4" s="35"/>
      <c r="AIN4" s="35"/>
      <c r="AIO4" s="35"/>
      <c r="AIP4" s="35"/>
      <c r="AIQ4" s="35"/>
      <c r="AIR4" s="35"/>
      <c r="AIS4" s="35"/>
      <c r="AIT4" s="35"/>
      <c r="AIU4" s="35"/>
      <c r="AIV4" s="35"/>
      <c r="AIW4" s="35"/>
      <c r="AIX4" s="35"/>
      <c r="AIY4" s="35"/>
      <c r="AIZ4" s="35"/>
      <c r="AJA4" s="35"/>
      <c r="AJB4" s="35"/>
      <c r="AJC4" s="35"/>
      <c r="AJD4" s="35"/>
      <c r="AJE4" s="35"/>
      <c r="AJF4" s="35"/>
      <c r="AJG4" s="35"/>
      <c r="AJH4" s="35"/>
      <c r="AJI4" s="35"/>
      <c r="AJJ4" s="35"/>
      <c r="AJK4" s="35"/>
      <c r="AJL4" s="35"/>
      <c r="AJM4" s="35"/>
      <c r="AJN4" s="35"/>
      <c r="AJO4" s="35"/>
      <c r="AJP4" s="35"/>
      <c r="AJQ4" s="35"/>
      <c r="AJR4" s="35"/>
      <c r="AJS4" s="35"/>
      <c r="AJT4" s="35"/>
      <c r="AJU4" s="35"/>
      <c r="AJV4" s="35"/>
      <c r="AJW4" s="35"/>
      <c r="AJX4" s="35"/>
      <c r="AJY4" s="35"/>
      <c r="AJZ4" s="35"/>
      <c r="AKA4" s="35"/>
      <c r="AKB4" s="35"/>
      <c r="AKC4" s="35"/>
      <c r="AKD4" s="35"/>
      <c r="AKE4" s="35"/>
      <c r="AKF4" s="35"/>
      <c r="AKG4" s="35"/>
      <c r="AKH4" s="35"/>
      <c r="AKI4" s="35"/>
      <c r="AKJ4" s="35"/>
      <c r="AKK4" s="35"/>
      <c r="AKL4" s="35"/>
      <c r="AKM4" s="35"/>
      <c r="AKN4" s="35"/>
      <c r="AKO4" s="35"/>
      <c r="AKP4" s="35"/>
      <c r="AKQ4" s="35"/>
      <c r="AKR4" s="35"/>
      <c r="AKS4" s="35"/>
      <c r="AKT4" s="35"/>
      <c r="AKU4" s="35"/>
      <c r="AKV4" s="35"/>
      <c r="AKW4" s="35"/>
      <c r="AKX4" s="35"/>
      <c r="AKY4" s="35"/>
      <c r="AKZ4" s="35"/>
      <c r="ALA4" s="35"/>
      <c r="ALB4" s="35"/>
      <c r="ALC4" s="35"/>
      <c r="ALD4" s="35"/>
      <c r="ALE4" s="35"/>
      <c r="ALF4" s="35"/>
      <c r="ALG4" s="35"/>
      <c r="ALH4" s="35"/>
      <c r="ALI4" s="35"/>
      <c r="ALJ4" s="35"/>
      <c r="ALK4" s="35"/>
      <c r="ALL4" s="35"/>
      <c r="ALM4" s="35"/>
      <c r="ALN4" s="35"/>
      <c r="ALO4" s="35"/>
      <c r="ALP4" s="35"/>
      <c r="ALQ4" s="35"/>
      <c r="ALR4" s="35"/>
      <c r="ALS4" s="35"/>
      <c r="ALT4" s="35"/>
      <c r="ALU4" s="35"/>
      <c r="ALV4" s="35"/>
      <c r="ALW4" s="35"/>
      <c r="ALX4" s="35"/>
      <c r="ALY4" s="35"/>
      <c r="ALZ4" s="35"/>
      <c r="AMA4" s="35"/>
      <c r="AMB4" s="1"/>
    </row>
    <row r="5" customFormat="false" ht="12.8" hidden="true" customHeight="true" outlineLevel="1" collapsed="false">
      <c r="A5" s="40"/>
      <c r="B5" s="40"/>
      <c r="C5" s="40"/>
      <c r="D5" s="40"/>
      <c r="E5" s="40"/>
      <c r="F5" s="40"/>
      <c r="G5" s="40"/>
      <c r="H5" s="40"/>
      <c r="I5" s="40"/>
      <c r="J5" s="40"/>
      <c r="K5" s="40"/>
      <c r="L5" s="40"/>
      <c r="M5" s="40"/>
      <c r="N5" s="40"/>
      <c r="O5" s="40"/>
      <c r="P5" s="40"/>
      <c r="Q5" s="40"/>
      <c r="R5" s="40"/>
      <c r="S5" s="40"/>
      <c r="T5" s="40"/>
      <c r="U5" s="40"/>
      <c r="V5" s="40"/>
      <c r="W5" s="40"/>
      <c r="X5" s="40"/>
      <c r="Y5" s="40"/>
      <c r="Z5" s="40"/>
      <c r="AA5" s="40"/>
      <c r="AB5" s="40"/>
      <c r="AC5" s="40"/>
      <c r="AD5" s="40"/>
      <c r="AE5" s="40"/>
      <c r="AF5" s="40"/>
      <c r="AG5" s="40"/>
      <c r="AH5" s="63"/>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0"/>
      <c r="BK5" s="40"/>
      <c r="BL5" s="40"/>
      <c r="BM5" s="40"/>
      <c r="BN5" s="40"/>
      <c r="BO5" s="40"/>
      <c r="BP5" s="40"/>
      <c r="BQ5" s="40"/>
      <c r="BR5" s="40"/>
      <c r="BS5" s="40"/>
      <c r="BT5" s="40"/>
      <c r="BU5" s="40"/>
      <c r="BV5" s="40"/>
      <c r="BW5" s="40"/>
      <c r="BX5" s="40"/>
      <c r="BY5" s="40"/>
      <c r="BZ5" s="40"/>
      <c r="CA5" s="40"/>
      <c r="CB5" s="40"/>
      <c r="CC5" s="40"/>
      <c r="CD5" s="40"/>
      <c r="CE5" s="40"/>
      <c r="CF5" s="40"/>
      <c r="CG5" s="40"/>
      <c r="CH5" s="40"/>
      <c r="CI5" s="40"/>
      <c r="CJ5" s="40"/>
      <c r="CK5" s="40"/>
      <c r="CL5" s="40"/>
      <c r="CM5" s="40"/>
      <c r="CN5" s="40"/>
      <c r="CO5" s="40"/>
      <c r="CP5" s="40"/>
      <c r="CQ5" s="40"/>
      <c r="CR5" s="40"/>
      <c r="CS5" s="40"/>
      <c r="CT5" s="40"/>
      <c r="CU5" s="40"/>
      <c r="CV5" s="40"/>
      <c r="CW5" s="40"/>
      <c r="CX5" s="40"/>
      <c r="CY5" s="40"/>
      <c r="CZ5" s="40"/>
      <c r="DA5" s="40"/>
      <c r="DB5" s="40"/>
      <c r="DC5" s="40"/>
      <c r="DD5" s="40"/>
      <c r="DE5" s="40"/>
      <c r="DF5" s="40"/>
      <c r="DG5" s="40"/>
      <c r="DH5" s="40"/>
      <c r="DI5" s="40"/>
      <c r="DJ5" s="40"/>
      <c r="DK5" s="40"/>
      <c r="DL5" s="40"/>
      <c r="DM5" s="40"/>
      <c r="DN5" s="40"/>
      <c r="DO5" s="40"/>
      <c r="DP5" s="40"/>
      <c r="DQ5" s="40"/>
      <c r="DR5" s="40"/>
      <c r="DS5" s="40"/>
      <c r="DT5" s="40"/>
      <c r="DU5" s="40"/>
      <c r="DV5" s="40"/>
      <c r="DW5" s="40"/>
      <c r="DX5" s="40"/>
      <c r="DY5" s="40"/>
      <c r="DZ5" s="40" t="s">
        <v>364</v>
      </c>
      <c r="EA5" s="35"/>
      <c r="EB5" s="81"/>
      <c r="EC5" s="35"/>
      <c r="ED5" s="35"/>
      <c r="EE5" s="35"/>
      <c r="EF5" s="35"/>
      <c r="EG5" s="35"/>
      <c r="EH5" s="35"/>
      <c r="EI5" s="35"/>
      <c r="EJ5" s="35"/>
      <c r="EK5" s="35"/>
      <c r="EL5" s="35"/>
      <c r="EM5" s="35"/>
      <c r="EN5" s="35"/>
      <c r="EO5" s="35"/>
      <c r="EP5" s="35"/>
      <c r="EQ5" s="35"/>
      <c r="ER5" s="35"/>
      <c r="ES5" s="35"/>
      <c r="ET5" s="35"/>
      <c r="EU5" s="35"/>
      <c r="EV5" s="35"/>
      <c r="EW5" s="35"/>
      <c r="EX5" s="35"/>
      <c r="EY5" s="35"/>
      <c r="EZ5" s="35"/>
      <c r="FA5" s="35"/>
      <c r="FB5" s="35"/>
      <c r="FC5" s="35"/>
      <c r="FD5" s="35"/>
      <c r="FE5" s="35"/>
      <c r="FF5" s="35"/>
      <c r="FG5" s="35"/>
      <c r="FH5" s="35"/>
      <c r="FI5" s="35"/>
      <c r="FJ5" s="35"/>
      <c r="FK5" s="35"/>
      <c r="FL5" s="35"/>
      <c r="FM5" s="35"/>
      <c r="FN5" s="35"/>
      <c r="FO5" s="35"/>
      <c r="FP5" s="35"/>
      <c r="FQ5" s="35"/>
      <c r="FR5" s="35"/>
      <c r="FS5" s="35"/>
      <c r="FT5" s="35"/>
      <c r="FU5" s="35"/>
      <c r="FV5" s="35"/>
      <c r="FW5" s="35"/>
      <c r="FX5" s="35"/>
      <c r="FY5" s="35"/>
      <c r="FZ5" s="35"/>
      <c r="GA5" s="35"/>
      <c r="GB5" s="35"/>
      <c r="GC5" s="35"/>
      <c r="GD5" s="35"/>
      <c r="GE5" s="35"/>
      <c r="GF5" s="35"/>
      <c r="GG5" s="35"/>
      <c r="GH5" s="35"/>
      <c r="GI5" s="35"/>
      <c r="GJ5" s="35"/>
      <c r="GK5" s="35"/>
      <c r="GL5" s="35"/>
      <c r="GM5" s="35"/>
      <c r="GN5" s="35"/>
      <c r="GO5" s="35"/>
      <c r="GP5" s="35"/>
      <c r="GQ5" s="35"/>
      <c r="GR5" s="35"/>
      <c r="GS5" s="35"/>
      <c r="GT5" s="35"/>
      <c r="GU5" s="35"/>
      <c r="GV5" s="35"/>
      <c r="GW5" s="35"/>
      <c r="GX5" s="35"/>
      <c r="GY5" s="35"/>
      <c r="GZ5" s="35"/>
      <c r="HA5" s="35"/>
      <c r="HB5" s="35"/>
      <c r="HC5" s="35"/>
      <c r="HD5" s="35"/>
      <c r="HE5" s="35"/>
      <c r="HF5" s="35"/>
      <c r="HG5" s="35"/>
      <c r="HH5" s="35"/>
      <c r="HI5" s="35"/>
      <c r="HJ5" s="35"/>
      <c r="HK5" s="35"/>
      <c r="HL5" s="35"/>
      <c r="HM5" s="35"/>
      <c r="HN5" s="35"/>
      <c r="HO5" s="35"/>
      <c r="HP5" s="35"/>
      <c r="HQ5" s="35"/>
      <c r="HR5" s="35"/>
      <c r="HS5" s="35"/>
      <c r="HT5" s="35"/>
      <c r="HU5" s="35"/>
      <c r="HV5" s="35"/>
      <c r="HW5" s="35"/>
      <c r="HX5" s="35"/>
      <c r="HY5" s="35"/>
      <c r="HZ5" s="35"/>
      <c r="IA5" s="35"/>
      <c r="IB5" s="35"/>
      <c r="IC5" s="35"/>
      <c r="ID5" s="35"/>
      <c r="IE5" s="35"/>
      <c r="IF5" s="35"/>
      <c r="IG5" s="35"/>
      <c r="IH5" s="35"/>
      <c r="II5" s="35"/>
      <c r="IJ5" s="35"/>
      <c r="IK5" s="35"/>
      <c r="IL5" s="35"/>
      <c r="IM5" s="35"/>
      <c r="IN5" s="35"/>
      <c r="IO5" s="35"/>
      <c r="IP5" s="35"/>
      <c r="IQ5" s="35"/>
      <c r="IR5" s="35"/>
      <c r="IS5" s="35"/>
      <c r="IT5" s="35"/>
      <c r="IU5" s="35"/>
      <c r="IV5" s="35"/>
      <c r="IW5" s="35"/>
      <c r="IX5" s="35"/>
      <c r="IY5" s="35"/>
      <c r="IZ5" s="35"/>
      <c r="JA5" s="35"/>
      <c r="JB5" s="35"/>
      <c r="JC5" s="35"/>
      <c r="JD5" s="35"/>
      <c r="JE5" s="35"/>
      <c r="JF5" s="35"/>
      <c r="JG5" s="35"/>
      <c r="JH5" s="35"/>
      <c r="JI5" s="35"/>
      <c r="JJ5" s="35"/>
      <c r="JK5" s="35"/>
      <c r="JL5" s="35"/>
      <c r="JM5" s="35"/>
      <c r="JN5" s="35"/>
      <c r="JO5" s="35"/>
      <c r="JP5" s="35"/>
      <c r="JQ5" s="35"/>
      <c r="JR5" s="35"/>
      <c r="JS5" s="35"/>
      <c r="JT5" s="35"/>
      <c r="JU5" s="35"/>
      <c r="JV5" s="35"/>
      <c r="JW5" s="35"/>
      <c r="JX5" s="35"/>
      <c r="JY5" s="35"/>
      <c r="JZ5" s="35"/>
      <c r="KA5" s="35"/>
      <c r="KB5" s="35"/>
      <c r="KC5" s="35"/>
      <c r="KD5" s="35"/>
      <c r="KE5" s="35"/>
      <c r="KF5" s="35"/>
      <c r="KG5" s="35"/>
      <c r="KH5" s="35"/>
      <c r="KI5" s="35"/>
      <c r="KJ5" s="35"/>
      <c r="KK5" s="35"/>
      <c r="KL5" s="35"/>
      <c r="KM5" s="35"/>
      <c r="KN5" s="35"/>
      <c r="KO5" s="35"/>
      <c r="KP5" s="35"/>
      <c r="KQ5" s="35"/>
      <c r="KR5" s="35"/>
      <c r="KS5" s="35"/>
      <c r="KT5" s="35"/>
      <c r="KU5" s="35"/>
      <c r="KV5" s="35"/>
      <c r="KW5" s="35"/>
      <c r="KX5" s="35"/>
      <c r="KY5" s="35"/>
      <c r="KZ5" s="35"/>
      <c r="LA5" s="35"/>
      <c r="LB5" s="35"/>
      <c r="LC5" s="35"/>
      <c r="LD5" s="35"/>
      <c r="LE5" s="35"/>
      <c r="LF5" s="35"/>
      <c r="LG5" s="35"/>
      <c r="LH5" s="35"/>
      <c r="LI5" s="35"/>
      <c r="LJ5" s="35"/>
      <c r="LK5" s="35"/>
      <c r="LL5" s="35"/>
      <c r="LM5" s="35"/>
      <c r="LN5" s="35"/>
      <c r="LO5" s="35"/>
      <c r="LP5" s="35"/>
      <c r="LQ5" s="35"/>
      <c r="LR5" s="35"/>
      <c r="LS5" s="35"/>
      <c r="LT5" s="35"/>
      <c r="LU5" s="35"/>
      <c r="LV5" s="35"/>
      <c r="LW5" s="35"/>
      <c r="LX5" s="35"/>
      <c r="LY5" s="35"/>
      <c r="LZ5" s="35"/>
      <c r="MA5" s="35"/>
      <c r="MB5" s="35"/>
      <c r="MC5" s="35"/>
      <c r="MD5" s="35"/>
      <c r="ME5" s="35"/>
      <c r="MF5" s="35"/>
      <c r="MG5" s="35"/>
      <c r="MH5" s="35"/>
      <c r="MI5" s="35"/>
      <c r="MJ5" s="35"/>
      <c r="MK5" s="35"/>
      <c r="ML5" s="35"/>
      <c r="MM5" s="35"/>
      <c r="MN5" s="35"/>
      <c r="MO5" s="35"/>
      <c r="MP5" s="35"/>
      <c r="MQ5" s="35"/>
      <c r="MR5" s="35"/>
      <c r="MS5" s="35"/>
      <c r="MT5" s="35"/>
      <c r="MU5" s="35"/>
      <c r="MV5" s="35"/>
      <c r="MW5" s="35"/>
      <c r="MX5" s="35"/>
      <c r="MY5" s="35"/>
      <c r="MZ5" s="35"/>
      <c r="NA5" s="35"/>
      <c r="NB5" s="35"/>
      <c r="NC5" s="35"/>
      <c r="ND5" s="35"/>
      <c r="NE5" s="35"/>
      <c r="NF5" s="35"/>
      <c r="NG5" s="35"/>
      <c r="NH5" s="35"/>
      <c r="NI5" s="35"/>
      <c r="NJ5" s="35"/>
      <c r="NK5" s="35"/>
      <c r="NL5" s="35"/>
      <c r="NM5" s="35"/>
      <c r="NN5" s="35"/>
      <c r="NO5" s="35"/>
      <c r="NP5" s="35"/>
      <c r="NQ5" s="35"/>
      <c r="NR5" s="35"/>
      <c r="NS5" s="35"/>
      <c r="NT5" s="35"/>
      <c r="NU5" s="35"/>
      <c r="NV5" s="35"/>
      <c r="NW5" s="35"/>
      <c r="NX5" s="35"/>
      <c r="NY5" s="35"/>
      <c r="NZ5" s="35"/>
      <c r="OA5" s="35"/>
      <c r="OB5" s="35"/>
      <c r="OC5" s="35"/>
      <c r="OD5" s="35"/>
      <c r="OE5" s="35"/>
      <c r="OF5" s="35"/>
      <c r="OG5" s="35"/>
      <c r="OH5" s="35"/>
      <c r="OI5" s="35"/>
      <c r="OJ5" s="35"/>
      <c r="OK5" s="35"/>
      <c r="OL5" s="35"/>
      <c r="OM5" s="35"/>
      <c r="ON5" s="35"/>
      <c r="OO5" s="35"/>
      <c r="OP5" s="35"/>
      <c r="OQ5" s="35"/>
      <c r="OR5" s="35"/>
      <c r="OS5" s="35"/>
      <c r="OT5" s="35"/>
      <c r="OU5" s="35"/>
      <c r="OV5" s="35"/>
      <c r="OW5" s="35"/>
      <c r="OX5" s="35"/>
      <c r="OY5" s="35"/>
      <c r="OZ5" s="35"/>
      <c r="PA5" s="35"/>
      <c r="PB5" s="35"/>
      <c r="PC5" s="35"/>
      <c r="PD5" s="35"/>
      <c r="PE5" s="35"/>
      <c r="PF5" s="35"/>
      <c r="PG5" s="35"/>
      <c r="PH5" s="35"/>
      <c r="PI5" s="35"/>
      <c r="PJ5" s="35"/>
      <c r="PK5" s="35"/>
      <c r="PL5" s="35"/>
      <c r="PM5" s="35"/>
      <c r="PN5" s="35"/>
      <c r="PO5" s="35"/>
      <c r="PP5" s="35"/>
      <c r="PQ5" s="35"/>
      <c r="PR5" s="35"/>
      <c r="PS5" s="35"/>
      <c r="PT5" s="35"/>
      <c r="PU5" s="35"/>
      <c r="PV5" s="35"/>
      <c r="PW5" s="35"/>
      <c r="PX5" s="35"/>
      <c r="PY5" s="35"/>
      <c r="PZ5" s="35"/>
      <c r="QA5" s="35"/>
      <c r="QB5" s="35"/>
      <c r="QC5" s="35"/>
      <c r="QD5" s="35"/>
      <c r="QE5" s="35"/>
      <c r="QF5" s="35"/>
      <c r="QG5" s="35"/>
      <c r="QH5" s="35"/>
      <c r="QI5" s="35"/>
      <c r="QJ5" s="35"/>
      <c r="QK5" s="35"/>
      <c r="QL5" s="35"/>
      <c r="QM5" s="35"/>
      <c r="QN5" s="35"/>
      <c r="QO5" s="35"/>
      <c r="QP5" s="35"/>
      <c r="QQ5" s="35"/>
      <c r="QR5" s="35"/>
      <c r="QS5" s="35"/>
      <c r="QT5" s="35"/>
      <c r="QU5" s="35"/>
      <c r="QV5" s="35"/>
      <c r="QW5" s="35"/>
      <c r="QX5" s="35"/>
      <c r="QY5" s="35"/>
      <c r="QZ5" s="35"/>
      <c r="RA5" s="35"/>
      <c r="RB5" s="35"/>
      <c r="RC5" s="35"/>
      <c r="RD5" s="35"/>
      <c r="RE5" s="35"/>
      <c r="RF5" s="35"/>
      <c r="RG5" s="35"/>
      <c r="RH5" s="35"/>
      <c r="RI5" s="35"/>
      <c r="RJ5" s="35"/>
      <c r="RK5" s="35"/>
      <c r="RL5" s="35"/>
      <c r="RM5" s="35"/>
      <c r="RN5" s="35"/>
      <c r="RO5" s="35"/>
      <c r="RP5" s="35"/>
      <c r="RQ5" s="35"/>
      <c r="RR5" s="35"/>
      <c r="RS5" s="35"/>
      <c r="RT5" s="35"/>
      <c r="RU5" s="35"/>
      <c r="RV5" s="35"/>
      <c r="RW5" s="35"/>
      <c r="RX5" s="35"/>
      <c r="RY5" s="35"/>
      <c r="RZ5" s="35"/>
      <c r="SA5" s="35"/>
      <c r="SB5" s="35"/>
      <c r="SC5" s="35"/>
      <c r="SD5" s="35"/>
      <c r="SE5" s="35"/>
      <c r="SF5" s="35"/>
      <c r="SG5" s="35"/>
      <c r="SH5" s="35"/>
      <c r="SI5" s="35"/>
      <c r="SJ5" s="35"/>
      <c r="SK5" s="35"/>
      <c r="SL5" s="35"/>
      <c r="SM5" s="35"/>
      <c r="SN5" s="35"/>
      <c r="SO5" s="35"/>
      <c r="SP5" s="35"/>
      <c r="SQ5" s="35"/>
      <c r="SR5" s="35"/>
      <c r="SS5" s="35"/>
      <c r="ST5" s="35"/>
      <c r="SU5" s="35"/>
      <c r="SV5" s="35"/>
      <c r="SW5" s="35"/>
      <c r="SX5" s="35"/>
      <c r="SY5" s="35"/>
      <c r="SZ5" s="35"/>
      <c r="TA5" s="35"/>
      <c r="TB5" s="35"/>
      <c r="TC5" s="35"/>
      <c r="TD5" s="35"/>
      <c r="TE5" s="35"/>
      <c r="TF5" s="35"/>
      <c r="TG5" s="35"/>
      <c r="TH5" s="35"/>
      <c r="TI5" s="35"/>
      <c r="TJ5" s="35"/>
      <c r="TK5" s="35"/>
      <c r="TL5" s="35"/>
      <c r="TM5" s="35"/>
      <c r="TN5" s="35"/>
      <c r="TO5" s="35"/>
      <c r="TP5" s="35"/>
      <c r="TQ5" s="35"/>
      <c r="TR5" s="35"/>
      <c r="TS5" s="35"/>
      <c r="TT5" s="35"/>
      <c r="TU5" s="35"/>
      <c r="TV5" s="35"/>
      <c r="TW5" s="35"/>
      <c r="TX5" s="35"/>
      <c r="TY5" s="35"/>
      <c r="TZ5" s="35"/>
      <c r="UA5" s="35"/>
      <c r="UB5" s="35"/>
      <c r="UC5" s="35"/>
      <c r="UD5" s="35"/>
      <c r="UE5" s="35"/>
      <c r="UF5" s="35"/>
      <c r="UG5" s="35"/>
      <c r="UH5" s="35"/>
      <c r="UI5" s="35"/>
      <c r="UJ5" s="35"/>
      <c r="UK5" s="35"/>
      <c r="UL5" s="35"/>
      <c r="UM5" s="35"/>
      <c r="UN5" s="35"/>
      <c r="UO5" s="35"/>
      <c r="UP5" s="35"/>
      <c r="UQ5" s="35"/>
      <c r="UR5" s="35"/>
      <c r="US5" s="35"/>
      <c r="UT5" s="35"/>
      <c r="UU5" s="35"/>
      <c r="UV5" s="35"/>
      <c r="UW5" s="35"/>
      <c r="UX5" s="35"/>
      <c r="UY5" s="35"/>
      <c r="UZ5" s="35"/>
      <c r="VA5" s="35"/>
      <c r="VB5" s="35"/>
      <c r="VC5" s="35"/>
      <c r="VD5" s="35"/>
      <c r="VE5" s="35"/>
      <c r="VF5" s="35"/>
      <c r="VG5" s="35"/>
      <c r="VH5" s="35"/>
      <c r="VI5" s="35"/>
      <c r="VJ5" s="35"/>
      <c r="VK5" s="35"/>
      <c r="VL5" s="35"/>
      <c r="VM5" s="35"/>
      <c r="VN5" s="35"/>
      <c r="VO5" s="35"/>
      <c r="VP5" s="35"/>
      <c r="VQ5" s="35"/>
      <c r="VR5" s="35"/>
      <c r="VS5" s="35"/>
      <c r="VT5" s="35"/>
      <c r="VU5" s="35"/>
      <c r="VV5" s="35"/>
      <c r="VW5" s="35"/>
      <c r="VX5" s="35"/>
      <c r="VY5" s="35"/>
      <c r="VZ5" s="35"/>
      <c r="WA5" s="35"/>
      <c r="WB5" s="35"/>
      <c r="WC5" s="35"/>
      <c r="WD5" s="35"/>
      <c r="WE5" s="35"/>
      <c r="WF5" s="35"/>
      <c r="WG5" s="35"/>
      <c r="WH5" s="35"/>
      <c r="WI5" s="35"/>
      <c r="WJ5" s="35"/>
      <c r="WK5" s="35"/>
      <c r="WL5" s="35"/>
      <c r="WM5" s="35"/>
      <c r="WN5" s="35"/>
      <c r="WO5" s="35"/>
      <c r="WP5" s="35"/>
      <c r="WQ5" s="35"/>
      <c r="WR5" s="35"/>
      <c r="WS5" s="35"/>
      <c r="WT5" s="35"/>
      <c r="WU5" s="35"/>
      <c r="WV5" s="35"/>
      <c r="WW5" s="35"/>
      <c r="WX5" s="35"/>
      <c r="WY5" s="35"/>
      <c r="WZ5" s="35"/>
      <c r="XA5" s="35"/>
      <c r="XB5" s="35"/>
      <c r="XC5" s="35"/>
      <c r="XD5" s="35"/>
      <c r="XE5" s="35"/>
      <c r="XF5" s="35"/>
      <c r="XG5" s="35"/>
      <c r="XH5" s="35"/>
      <c r="XI5" s="35"/>
      <c r="XJ5" s="35"/>
      <c r="XK5" s="35"/>
      <c r="XL5" s="35"/>
      <c r="XM5" s="35"/>
      <c r="XN5" s="35"/>
      <c r="XO5" s="35"/>
      <c r="XP5" s="35"/>
      <c r="XQ5" s="35"/>
      <c r="XR5" s="35"/>
      <c r="XS5" s="35"/>
      <c r="XT5" s="35"/>
      <c r="XU5" s="35"/>
      <c r="XV5" s="35"/>
      <c r="XW5" s="35"/>
      <c r="XX5" s="35"/>
      <c r="XY5" s="35"/>
      <c r="XZ5" s="35"/>
      <c r="YA5" s="35"/>
      <c r="YB5" s="35"/>
      <c r="YC5" s="35"/>
      <c r="YD5" s="35"/>
      <c r="YE5" s="35"/>
      <c r="YF5" s="35"/>
      <c r="YG5" s="35"/>
      <c r="YH5" s="35"/>
      <c r="YI5" s="35"/>
      <c r="YJ5" s="35"/>
      <c r="YK5" s="35"/>
      <c r="YL5" s="35"/>
      <c r="YM5" s="35"/>
      <c r="YN5" s="35"/>
      <c r="YO5" s="35"/>
      <c r="YP5" s="35"/>
      <c r="YQ5" s="35"/>
      <c r="YR5" s="35"/>
      <c r="YS5" s="35"/>
      <c r="YT5" s="35"/>
      <c r="YU5" s="35"/>
      <c r="YV5" s="35"/>
      <c r="YW5" s="35"/>
      <c r="YX5" s="35"/>
      <c r="YY5" s="35"/>
      <c r="YZ5" s="35"/>
      <c r="ZA5" s="35"/>
      <c r="ZB5" s="35"/>
      <c r="ZC5" s="35"/>
      <c r="ZD5" s="35"/>
      <c r="ZE5" s="35"/>
      <c r="ZF5" s="35"/>
      <c r="ZG5" s="35"/>
      <c r="ZH5" s="35"/>
      <c r="ZI5" s="35"/>
      <c r="ZJ5" s="35"/>
      <c r="ZK5" s="35"/>
      <c r="ZL5" s="35"/>
      <c r="ZM5" s="35"/>
      <c r="ZN5" s="35"/>
      <c r="ZO5" s="35"/>
      <c r="ZP5" s="35"/>
      <c r="ZQ5" s="35"/>
      <c r="ZR5" s="35"/>
      <c r="ZS5" s="35"/>
      <c r="ZT5" s="35"/>
      <c r="ZU5" s="35"/>
      <c r="ZV5" s="35"/>
      <c r="ZW5" s="35"/>
      <c r="ZX5" s="35"/>
      <c r="ZY5" s="35"/>
      <c r="ZZ5" s="35"/>
      <c r="AAA5" s="35"/>
      <c r="AAB5" s="35"/>
      <c r="AAC5" s="35"/>
      <c r="AAD5" s="35"/>
      <c r="AAE5" s="35"/>
      <c r="AAF5" s="35"/>
      <c r="AAG5" s="35"/>
      <c r="AAH5" s="35"/>
      <c r="AAI5" s="35"/>
      <c r="AAJ5" s="35"/>
      <c r="AAK5" s="35"/>
      <c r="AAL5" s="35"/>
      <c r="AAM5" s="35"/>
      <c r="AAN5" s="35"/>
      <c r="AAO5" s="35"/>
      <c r="AAP5" s="35"/>
      <c r="AAQ5" s="35"/>
      <c r="AAR5" s="35"/>
      <c r="AAS5" s="35"/>
      <c r="AAT5" s="35"/>
      <c r="AAU5" s="35"/>
      <c r="AAV5" s="35"/>
      <c r="AAW5" s="35"/>
      <c r="AAX5" s="35"/>
      <c r="AAY5" s="35"/>
      <c r="AAZ5" s="35"/>
      <c r="ABA5" s="35"/>
      <c r="ABB5" s="35"/>
      <c r="ABC5" s="35"/>
      <c r="ABD5" s="35"/>
      <c r="ABE5" s="35"/>
      <c r="ABF5" s="35"/>
      <c r="ABG5" s="35"/>
      <c r="ABH5" s="35"/>
      <c r="ABI5" s="35"/>
      <c r="ABJ5" s="35"/>
      <c r="ABK5" s="35"/>
      <c r="ABL5" s="35"/>
      <c r="ABM5" s="35"/>
      <c r="ABN5" s="35"/>
      <c r="ABO5" s="35"/>
      <c r="ABP5" s="35"/>
      <c r="ABQ5" s="35"/>
      <c r="ABR5" s="35"/>
      <c r="ABS5" s="35"/>
      <c r="ABT5" s="35"/>
      <c r="ABU5" s="35"/>
      <c r="ABV5" s="35"/>
      <c r="ABW5" s="35"/>
      <c r="ABX5" s="35"/>
      <c r="ABY5" s="35"/>
      <c r="ABZ5" s="35"/>
      <c r="ACA5" s="35"/>
      <c r="ACB5" s="35"/>
      <c r="ACC5" s="35"/>
      <c r="ACD5" s="35"/>
      <c r="ACE5" s="35"/>
      <c r="ACF5" s="35"/>
      <c r="ACG5" s="35"/>
      <c r="ACH5" s="35"/>
      <c r="ACI5" s="35"/>
      <c r="ACJ5" s="35"/>
      <c r="ACK5" s="35"/>
      <c r="ACL5" s="35"/>
      <c r="ACM5" s="35"/>
      <c r="ACN5" s="35"/>
      <c r="ACO5" s="35"/>
      <c r="ACP5" s="35"/>
      <c r="ACQ5" s="35"/>
      <c r="ACR5" s="35"/>
      <c r="ACS5" s="35"/>
      <c r="ACT5" s="35"/>
      <c r="ACU5" s="35"/>
      <c r="ACV5" s="35"/>
      <c r="ACW5" s="35"/>
      <c r="ACX5" s="35"/>
      <c r="ACY5" s="35"/>
      <c r="ACZ5" s="35"/>
      <c r="ADA5" s="35"/>
      <c r="ADB5" s="35"/>
      <c r="ADC5" s="35"/>
      <c r="ADD5" s="35"/>
      <c r="ADE5" s="35"/>
      <c r="ADF5" s="35"/>
      <c r="ADG5" s="35"/>
      <c r="ADH5" s="35"/>
      <c r="ADI5" s="35"/>
      <c r="ADJ5" s="35"/>
      <c r="ADK5" s="35"/>
      <c r="ADL5" s="35"/>
      <c r="ADM5" s="35"/>
      <c r="ADN5" s="35"/>
      <c r="ADO5" s="35"/>
      <c r="ADP5" s="35"/>
      <c r="ADQ5" s="35"/>
      <c r="ADR5" s="35"/>
      <c r="ADS5" s="35"/>
      <c r="ADT5" s="35"/>
      <c r="ADU5" s="35"/>
      <c r="ADV5" s="35"/>
      <c r="ADW5" s="35"/>
      <c r="ADX5" s="35"/>
      <c r="ADY5" s="35"/>
      <c r="ADZ5" s="35"/>
      <c r="AEA5" s="35"/>
      <c r="AEB5" s="35"/>
      <c r="AEC5" s="35"/>
      <c r="AED5" s="35"/>
      <c r="AEE5" s="35"/>
      <c r="AEF5" s="35"/>
      <c r="AEG5" s="35"/>
      <c r="AEH5" s="35"/>
      <c r="AEI5" s="35"/>
      <c r="AEJ5" s="35"/>
      <c r="AEK5" s="35"/>
      <c r="AEL5" s="35"/>
      <c r="AEM5" s="35"/>
      <c r="AEN5" s="35"/>
      <c r="AEO5" s="35"/>
      <c r="AEP5" s="35"/>
      <c r="AEQ5" s="35"/>
      <c r="AER5" s="35"/>
      <c r="AES5" s="35"/>
      <c r="AET5" s="35"/>
      <c r="AEU5" s="35"/>
      <c r="AEV5" s="35"/>
      <c r="AEW5" s="35"/>
      <c r="AEX5" s="35"/>
      <c r="AEY5" s="35"/>
      <c r="AEZ5" s="35"/>
      <c r="AFA5" s="35"/>
      <c r="AFB5" s="35"/>
      <c r="AFC5" s="35"/>
      <c r="AFD5" s="35"/>
      <c r="AFE5" s="35"/>
      <c r="AFF5" s="35"/>
      <c r="AFG5" s="35"/>
      <c r="AFH5" s="35"/>
      <c r="AFI5" s="35"/>
      <c r="AFJ5" s="35"/>
      <c r="AFK5" s="35"/>
      <c r="AFL5" s="35"/>
      <c r="AFM5" s="35"/>
      <c r="AFN5" s="35"/>
      <c r="AFO5" s="35"/>
      <c r="AFP5" s="35"/>
      <c r="AFQ5" s="35"/>
      <c r="AFR5" s="35"/>
      <c r="AFS5" s="35"/>
      <c r="AFT5" s="35"/>
      <c r="AFU5" s="35"/>
      <c r="AFV5" s="35"/>
      <c r="AFW5" s="35"/>
      <c r="AFX5" s="35"/>
      <c r="AFY5" s="35"/>
      <c r="AFZ5" s="35"/>
      <c r="AGA5" s="35"/>
      <c r="AGB5" s="35"/>
      <c r="AGC5" s="35"/>
      <c r="AGD5" s="35"/>
      <c r="AGE5" s="35"/>
      <c r="AGF5" s="35"/>
      <c r="AGG5" s="35"/>
      <c r="AGH5" s="35"/>
      <c r="AGI5" s="35"/>
      <c r="AGJ5" s="35"/>
      <c r="AGK5" s="35"/>
      <c r="AGL5" s="35"/>
      <c r="AGM5" s="35"/>
      <c r="AGN5" s="35"/>
      <c r="AGO5" s="35"/>
      <c r="AGP5" s="35"/>
      <c r="AGQ5" s="35"/>
      <c r="AGR5" s="35"/>
      <c r="AGS5" s="35"/>
      <c r="AGT5" s="35"/>
      <c r="AGU5" s="35"/>
      <c r="AGV5" s="35"/>
      <c r="AGW5" s="35"/>
      <c r="AGX5" s="35"/>
      <c r="AGY5" s="35"/>
      <c r="AGZ5" s="35"/>
      <c r="AHA5" s="35"/>
      <c r="AHB5" s="35"/>
      <c r="AHC5" s="35"/>
      <c r="AHD5" s="35"/>
      <c r="AHE5" s="35"/>
      <c r="AHF5" s="35"/>
      <c r="AHG5" s="35"/>
      <c r="AHH5" s="35"/>
      <c r="AHI5" s="35"/>
      <c r="AHJ5" s="35"/>
      <c r="AHK5" s="35"/>
      <c r="AHL5" s="35"/>
      <c r="AHM5" s="35"/>
      <c r="AHN5" s="35"/>
      <c r="AHO5" s="35"/>
      <c r="AHP5" s="35"/>
      <c r="AHQ5" s="35"/>
      <c r="AHR5" s="35"/>
      <c r="AHS5" s="35"/>
      <c r="AHT5" s="35"/>
      <c r="AHU5" s="35"/>
      <c r="AHV5" s="35"/>
      <c r="AHW5" s="35"/>
      <c r="AHX5" s="35"/>
      <c r="AHY5" s="35"/>
      <c r="AHZ5" s="35"/>
      <c r="AIA5" s="35"/>
      <c r="AIB5" s="35"/>
      <c r="AIC5" s="35"/>
      <c r="AID5" s="35"/>
      <c r="AIE5" s="35"/>
      <c r="AIF5" s="35"/>
      <c r="AIG5" s="35"/>
      <c r="AIH5" s="35"/>
      <c r="AII5" s="35"/>
      <c r="AIJ5" s="35"/>
      <c r="AIK5" s="35"/>
      <c r="AIL5" s="35"/>
      <c r="AIM5" s="35"/>
      <c r="AIN5" s="35"/>
      <c r="AIO5" s="35"/>
      <c r="AIP5" s="35"/>
      <c r="AIQ5" s="35"/>
      <c r="AIR5" s="35"/>
      <c r="AIS5" s="35"/>
      <c r="AIT5" s="35"/>
      <c r="AIU5" s="35"/>
      <c r="AIV5" s="35"/>
      <c r="AIW5" s="35"/>
      <c r="AIX5" s="35"/>
      <c r="AIY5" s="35"/>
      <c r="AIZ5" s="35"/>
      <c r="AJA5" s="35"/>
      <c r="AJB5" s="35"/>
      <c r="AJC5" s="35"/>
      <c r="AJD5" s="35"/>
      <c r="AJE5" s="35"/>
      <c r="AJF5" s="35"/>
      <c r="AJG5" s="35"/>
      <c r="AJH5" s="35"/>
      <c r="AJI5" s="35"/>
      <c r="AJJ5" s="35"/>
      <c r="AJK5" s="35"/>
      <c r="AJL5" s="35"/>
      <c r="AJM5" s="35"/>
      <c r="AJN5" s="35"/>
      <c r="AJO5" s="35"/>
      <c r="AJP5" s="35"/>
      <c r="AJQ5" s="35"/>
      <c r="AJR5" s="35"/>
      <c r="AJS5" s="35"/>
      <c r="AJT5" s="35"/>
      <c r="AJU5" s="35"/>
      <c r="AJV5" s="35"/>
      <c r="AJW5" s="35"/>
      <c r="AJX5" s="35"/>
      <c r="AJY5" s="35"/>
      <c r="AJZ5" s="35"/>
      <c r="AKA5" s="35"/>
      <c r="AKB5" s="35"/>
      <c r="AKC5" s="35"/>
      <c r="AKD5" s="35"/>
      <c r="AKE5" s="35"/>
      <c r="AKF5" s="35"/>
      <c r="AKG5" s="35"/>
      <c r="AKH5" s="35"/>
      <c r="AKI5" s="35"/>
      <c r="AKJ5" s="35"/>
      <c r="AKK5" s="35"/>
      <c r="AKL5" s="35"/>
      <c r="AKM5" s="35"/>
      <c r="AKN5" s="35"/>
      <c r="AKO5" s="35"/>
      <c r="AKP5" s="35"/>
      <c r="AKQ5" s="35"/>
      <c r="AKR5" s="35"/>
      <c r="AKS5" s="35"/>
      <c r="AKT5" s="35"/>
      <c r="AKU5" s="35"/>
      <c r="AKV5" s="35"/>
      <c r="AKW5" s="35"/>
      <c r="AKX5" s="35"/>
      <c r="AKY5" s="35"/>
      <c r="AKZ5" s="35"/>
      <c r="ALA5" s="35"/>
      <c r="ALB5" s="35"/>
      <c r="ALC5" s="35"/>
      <c r="ALD5" s="35"/>
      <c r="ALE5" s="35"/>
      <c r="ALF5" s="35"/>
      <c r="ALG5" s="35"/>
      <c r="ALH5" s="35"/>
      <c r="ALI5" s="35"/>
      <c r="ALJ5" s="35"/>
      <c r="ALK5" s="35"/>
      <c r="ALL5" s="35"/>
      <c r="ALM5" s="35"/>
      <c r="ALN5" s="35"/>
      <c r="ALO5" s="35"/>
      <c r="ALP5" s="35"/>
      <c r="ALQ5" s="35"/>
      <c r="ALR5" s="35"/>
      <c r="ALS5" s="35"/>
      <c r="ALT5" s="35"/>
      <c r="ALU5" s="35"/>
      <c r="ALV5" s="35"/>
      <c r="ALW5" s="35"/>
      <c r="ALX5" s="35"/>
      <c r="ALY5" s="35"/>
      <c r="ALZ5" s="35"/>
      <c r="AMA5" s="35"/>
      <c r="AMB5" s="1"/>
    </row>
    <row r="6" customFormat="false" ht="12.8" hidden="true" customHeight="true" outlineLevel="1" collapsed="false">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63"/>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c r="BP6" s="40"/>
      <c r="BQ6" s="40"/>
      <c r="BR6" s="40"/>
      <c r="BS6" s="40"/>
      <c r="BT6" s="40"/>
      <c r="BU6" s="40"/>
      <c r="BV6" s="40"/>
      <c r="BW6" s="40"/>
      <c r="BX6" s="40"/>
      <c r="BY6" s="40"/>
      <c r="BZ6" s="40"/>
      <c r="CA6" s="40"/>
      <c r="CB6" s="40"/>
      <c r="CC6" s="40"/>
      <c r="CD6" s="40"/>
      <c r="CE6" s="40"/>
      <c r="CF6" s="40"/>
      <c r="CG6" s="40"/>
      <c r="CH6" s="40"/>
      <c r="CI6" s="40"/>
      <c r="CJ6" s="40"/>
      <c r="CK6" s="40"/>
      <c r="CL6" s="40"/>
      <c r="CM6" s="40"/>
      <c r="CN6" s="40"/>
      <c r="CO6" s="40"/>
      <c r="CP6" s="40"/>
      <c r="CQ6" s="40"/>
      <c r="CR6" s="40"/>
      <c r="CS6" s="40"/>
      <c r="CT6" s="40"/>
      <c r="CU6" s="40"/>
      <c r="CV6" s="40"/>
      <c r="CW6" s="40"/>
      <c r="CX6" s="40"/>
      <c r="CY6" s="40"/>
      <c r="CZ6" s="40"/>
      <c r="DA6" s="40"/>
      <c r="DB6" s="40"/>
      <c r="DC6" s="40"/>
      <c r="DD6" s="40"/>
      <c r="DE6" s="40"/>
      <c r="DF6" s="40"/>
      <c r="DG6" s="40"/>
      <c r="DH6" s="40"/>
      <c r="DI6" s="40"/>
      <c r="DJ6" s="40"/>
      <c r="DK6" s="40"/>
      <c r="DL6" s="40"/>
      <c r="DM6" s="40"/>
      <c r="DN6" s="40"/>
      <c r="DO6" s="40"/>
      <c r="DP6" s="40"/>
      <c r="DQ6" s="40"/>
      <c r="DR6" s="40"/>
      <c r="DS6" s="40"/>
      <c r="DT6" s="40"/>
      <c r="DU6" s="40"/>
      <c r="DV6" s="40"/>
      <c r="DW6" s="40"/>
      <c r="DX6" s="40"/>
      <c r="DY6" s="40"/>
      <c r="DZ6" s="40" t="s">
        <v>364</v>
      </c>
      <c r="EA6" s="35"/>
      <c r="EB6" s="81"/>
      <c r="EC6" s="35"/>
      <c r="ED6" s="35"/>
      <c r="EE6" s="35"/>
      <c r="EF6" s="35"/>
      <c r="EG6" s="35"/>
      <c r="EH6" s="35"/>
      <c r="EI6" s="35"/>
      <c r="EJ6" s="35"/>
      <c r="EK6" s="35"/>
      <c r="EL6" s="35"/>
      <c r="EM6" s="35"/>
      <c r="EN6" s="35"/>
      <c r="EO6" s="35"/>
      <c r="EP6" s="35"/>
      <c r="EQ6" s="35"/>
      <c r="ER6" s="35"/>
      <c r="ES6" s="35"/>
      <c r="ET6" s="35"/>
      <c r="EU6" s="35"/>
      <c r="EV6" s="35"/>
      <c r="EW6" s="35"/>
      <c r="EX6" s="35"/>
      <c r="EY6" s="35"/>
      <c r="EZ6" s="35"/>
      <c r="FA6" s="35"/>
      <c r="FB6" s="35"/>
      <c r="FC6" s="35"/>
      <c r="FD6" s="35"/>
      <c r="FE6" s="35"/>
      <c r="FF6" s="35"/>
      <c r="FG6" s="35"/>
      <c r="FH6" s="35"/>
      <c r="FI6" s="35"/>
      <c r="FJ6" s="35"/>
      <c r="FK6" s="35"/>
      <c r="FL6" s="35"/>
      <c r="FM6" s="35"/>
      <c r="FN6" s="35"/>
      <c r="FO6" s="35"/>
      <c r="FP6" s="35"/>
      <c r="FQ6" s="35"/>
      <c r="FR6" s="35"/>
      <c r="FS6" s="35"/>
      <c r="FT6" s="35"/>
      <c r="FU6" s="35"/>
      <c r="FV6" s="35"/>
      <c r="FW6" s="35"/>
      <c r="FX6" s="35"/>
      <c r="FY6" s="35"/>
      <c r="FZ6" s="35"/>
      <c r="GA6" s="35"/>
      <c r="GB6" s="35"/>
      <c r="GC6" s="35"/>
      <c r="GD6" s="35"/>
      <c r="GE6" s="35"/>
      <c r="GF6" s="35"/>
      <c r="GG6" s="35"/>
      <c r="GH6" s="35"/>
      <c r="GI6" s="35"/>
      <c r="GJ6" s="35"/>
      <c r="GK6" s="35"/>
      <c r="GL6" s="35"/>
      <c r="GM6" s="35"/>
      <c r="GN6" s="35"/>
      <c r="GO6" s="35"/>
      <c r="GP6" s="35"/>
      <c r="GQ6" s="35"/>
      <c r="GR6" s="35"/>
      <c r="GS6" s="35"/>
      <c r="GT6" s="35"/>
      <c r="GU6" s="35"/>
      <c r="GV6" s="35"/>
      <c r="GW6" s="35"/>
      <c r="GX6" s="35"/>
      <c r="GY6" s="35"/>
      <c r="GZ6" s="35"/>
      <c r="HA6" s="35"/>
      <c r="HB6" s="35"/>
      <c r="HC6" s="35"/>
      <c r="HD6" s="35"/>
      <c r="HE6" s="35"/>
      <c r="HF6" s="35"/>
      <c r="HG6" s="35"/>
      <c r="HH6" s="35"/>
      <c r="HI6" s="35"/>
      <c r="HJ6" s="35"/>
      <c r="HK6" s="35"/>
      <c r="HL6" s="35"/>
      <c r="HM6" s="35"/>
      <c r="HN6" s="35"/>
      <c r="HO6" s="35"/>
      <c r="HP6" s="35"/>
      <c r="HQ6" s="35"/>
      <c r="HR6" s="35"/>
      <c r="HS6" s="35"/>
      <c r="HT6" s="35"/>
      <c r="HU6" s="35"/>
      <c r="HV6" s="35"/>
      <c r="HW6" s="35"/>
      <c r="HX6" s="35"/>
      <c r="HY6" s="35"/>
      <c r="HZ6" s="35"/>
      <c r="IA6" s="35"/>
      <c r="IB6" s="35"/>
      <c r="IC6" s="35"/>
      <c r="ID6" s="35"/>
      <c r="IE6" s="35"/>
      <c r="IF6" s="35"/>
      <c r="IG6" s="35"/>
      <c r="IH6" s="35"/>
      <c r="II6" s="35"/>
      <c r="IJ6" s="35"/>
      <c r="IK6" s="35"/>
      <c r="IL6" s="35"/>
      <c r="IM6" s="35"/>
      <c r="IN6" s="35"/>
      <c r="IO6" s="35"/>
      <c r="IP6" s="35"/>
      <c r="IQ6" s="35"/>
      <c r="IR6" s="35"/>
      <c r="IS6" s="35"/>
      <c r="IT6" s="35"/>
      <c r="IU6" s="35"/>
      <c r="IV6" s="35"/>
      <c r="IW6" s="35"/>
      <c r="IX6" s="35"/>
      <c r="IY6" s="35"/>
      <c r="IZ6" s="35"/>
      <c r="JA6" s="35"/>
      <c r="JB6" s="35"/>
      <c r="JC6" s="35"/>
      <c r="JD6" s="35"/>
      <c r="JE6" s="35"/>
      <c r="JF6" s="35"/>
      <c r="JG6" s="35"/>
      <c r="JH6" s="35"/>
      <c r="JI6" s="35"/>
      <c r="JJ6" s="35"/>
      <c r="JK6" s="35"/>
      <c r="JL6" s="35"/>
      <c r="JM6" s="35"/>
      <c r="JN6" s="35"/>
      <c r="JO6" s="35"/>
      <c r="JP6" s="35"/>
      <c r="JQ6" s="35"/>
      <c r="JR6" s="35"/>
      <c r="JS6" s="35"/>
      <c r="JT6" s="35"/>
      <c r="JU6" s="35"/>
      <c r="JV6" s="35"/>
      <c r="JW6" s="35"/>
      <c r="JX6" s="35"/>
      <c r="JY6" s="35"/>
      <c r="JZ6" s="35"/>
      <c r="KA6" s="35"/>
      <c r="KB6" s="35"/>
      <c r="KC6" s="35"/>
      <c r="KD6" s="35"/>
      <c r="KE6" s="35"/>
      <c r="KF6" s="35"/>
      <c r="KG6" s="35"/>
      <c r="KH6" s="35"/>
      <c r="KI6" s="35"/>
      <c r="KJ6" s="35"/>
      <c r="KK6" s="35"/>
      <c r="KL6" s="35"/>
      <c r="KM6" s="35"/>
      <c r="KN6" s="35"/>
      <c r="KO6" s="35"/>
      <c r="KP6" s="35"/>
      <c r="KQ6" s="35"/>
      <c r="KR6" s="35"/>
      <c r="KS6" s="35"/>
      <c r="KT6" s="35"/>
      <c r="KU6" s="35"/>
      <c r="KV6" s="35"/>
      <c r="KW6" s="35"/>
      <c r="KX6" s="35"/>
      <c r="KY6" s="35"/>
      <c r="KZ6" s="35"/>
      <c r="LA6" s="35"/>
      <c r="LB6" s="35"/>
      <c r="LC6" s="35"/>
      <c r="LD6" s="35"/>
      <c r="LE6" s="35"/>
      <c r="LF6" s="35"/>
      <c r="LG6" s="35"/>
      <c r="LH6" s="35"/>
      <c r="LI6" s="35"/>
      <c r="LJ6" s="35"/>
      <c r="LK6" s="35"/>
      <c r="LL6" s="35"/>
      <c r="LM6" s="35"/>
      <c r="LN6" s="35"/>
      <c r="LO6" s="35"/>
      <c r="LP6" s="35"/>
      <c r="LQ6" s="35"/>
      <c r="LR6" s="35"/>
      <c r="LS6" s="35"/>
      <c r="LT6" s="35"/>
      <c r="LU6" s="35"/>
      <c r="LV6" s="35"/>
      <c r="LW6" s="35"/>
      <c r="LX6" s="35"/>
      <c r="LY6" s="35"/>
      <c r="LZ6" s="35"/>
      <c r="MA6" s="35"/>
      <c r="MB6" s="35"/>
      <c r="MC6" s="35"/>
      <c r="MD6" s="35"/>
      <c r="ME6" s="35"/>
      <c r="MF6" s="35"/>
      <c r="MG6" s="35"/>
      <c r="MH6" s="35"/>
      <c r="MI6" s="35"/>
      <c r="MJ6" s="35"/>
      <c r="MK6" s="35"/>
      <c r="ML6" s="35"/>
      <c r="MM6" s="35"/>
      <c r="MN6" s="35"/>
      <c r="MO6" s="35"/>
      <c r="MP6" s="35"/>
      <c r="MQ6" s="35"/>
      <c r="MR6" s="35"/>
      <c r="MS6" s="35"/>
      <c r="MT6" s="35"/>
      <c r="MU6" s="35"/>
      <c r="MV6" s="35"/>
      <c r="MW6" s="35"/>
      <c r="MX6" s="35"/>
      <c r="MY6" s="35"/>
      <c r="MZ6" s="35"/>
      <c r="NA6" s="35"/>
      <c r="NB6" s="35"/>
      <c r="NC6" s="35"/>
      <c r="ND6" s="35"/>
      <c r="NE6" s="35"/>
      <c r="NF6" s="35"/>
      <c r="NG6" s="35"/>
      <c r="NH6" s="35"/>
      <c r="NI6" s="35"/>
      <c r="NJ6" s="35"/>
      <c r="NK6" s="35"/>
      <c r="NL6" s="35"/>
      <c r="NM6" s="35"/>
      <c r="NN6" s="35"/>
      <c r="NO6" s="35"/>
      <c r="NP6" s="35"/>
      <c r="NQ6" s="35"/>
      <c r="NR6" s="35"/>
      <c r="NS6" s="35"/>
      <c r="NT6" s="35"/>
      <c r="NU6" s="35"/>
      <c r="NV6" s="35"/>
      <c r="NW6" s="35"/>
      <c r="NX6" s="35"/>
      <c r="NY6" s="35"/>
      <c r="NZ6" s="35"/>
      <c r="OA6" s="35"/>
      <c r="OB6" s="35"/>
      <c r="OC6" s="35"/>
      <c r="OD6" s="35"/>
      <c r="OE6" s="35"/>
      <c r="OF6" s="35"/>
      <c r="OG6" s="35"/>
      <c r="OH6" s="35"/>
      <c r="OI6" s="35"/>
      <c r="OJ6" s="35"/>
      <c r="OK6" s="35"/>
      <c r="OL6" s="35"/>
      <c r="OM6" s="35"/>
      <c r="ON6" s="35"/>
      <c r="OO6" s="35"/>
      <c r="OP6" s="35"/>
      <c r="OQ6" s="35"/>
      <c r="OR6" s="35"/>
      <c r="OS6" s="35"/>
      <c r="OT6" s="35"/>
      <c r="OU6" s="35"/>
      <c r="OV6" s="35"/>
      <c r="OW6" s="35"/>
      <c r="OX6" s="35"/>
      <c r="OY6" s="35"/>
      <c r="OZ6" s="35"/>
      <c r="PA6" s="35"/>
      <c r="PB6" s="35"/>
      <c r="PC6" s="35"/>
      <c r="PD6" s="35"/>
      <c r="PE6" s="35"/>
      <c r="PF6" s="35"/>
      <c r="PG6" s="35"/>
      <c r="PH6" s="35"/>
      <c r="PI6" s="35"/>
      <c r="PJ6" s="35"/>
      <c r="PK6" s="35"/>
      <c r="PL6" s="35"/>
      <c r="PM6" s="35"/>
      <c r="PN6" s="35"/>
      <c r="PO6" s="35"/>
      <c r="PP6" s="35"/>
      <c r="PQ6" s="35"/>
      <c r="PR6" s="35"/>
      <c r="PS6" s="35"/>
      <c r="PT6" s="35"/>
      <c r="PU6" s="35"/>
      <c r="PV6" s="35"/>
      <c r="PW6" s="35"/>
      <c r="PX6" s="35"/>
      <c r="PY6" s="35"/>
      <c r="PZ6" s="35"/>
      <c r="QA6" s="35"/>
      <c r="QB6" s="35"/>
      <c r="QC6" s="35"/>
      <c r="QD6" s="35"/>
      <c r="QE6" s="35"/>
      <c r="QF6" s="35"/>
      <c r="QG6" s="35"/>
      <c r="QH6" s="35"/>
      <c r="QI6" s="35"/>
      <c r="QJ6" s="35"/>
      <c r="QK6" s="35"/>
      <c r="QL6" s="35"/>
      <c r="QM6" s="35"/>
      <c r="QN6" s="35"/>
      <c r="QO6" s="35"/>
      <c r="QP6" s="35"/>
      <c r="QQ6" s="35"/>
      <c r="QR6" s="35"/>
      <c r="QS6" s="35"/>
      <c r="QT6" s="35"/>
      <c r="QU6" s="35"/>
      <c r="QV6" s="35"/>
      <c r="QW6" s="35"/>
      <c r="QX6" s="35"/>
      <c r="QY6" s="35"/>
      <c r="QZ6" s="35"/>
      <c r="RA6" s="35"/>
      <c r="RB6" s="35"/>
      <c r="RC6" s="35"/>
      <c r="RD6" s="35"/>
      <c r="RE6" s="35"/>
      <c r="RF6" s="35"/>
      <c r="RG6" s="35"/>
      <c r="RH6" s="35"/>
      <c r="RI6" s="35"/>
      <c r="RJ6" s="35"/>
      <c r="RK6" s="35"/>
      <c r="RL6" s="35"/>
      <c r="RM6" s="35"/>
      <c r="RN6" s="35"/>
      <c r="RO6" s="35"/>
      <c r="RP6" s="35"/>
      <c r="RQ6" s="35"/>
      <c r="RR6" s="35"/>
      <c r="RS6" s="35"/>
      <c r="RT6" s="35"/>
      <c r="RU6" s="35"/>
      <c r="RV6" s="35"/>
      <c r="RW6" s="35"/>
      <c r="RX6" s="35"/>
      <c r="RY6" s="35"/>
      <c r="RZ6" s="35"/>
      <c r="SA6" s="35"/>
      <c r="SB6" s="35"/>
      <c r="SC6" s="35"/>
      <c r="SD6" s="35"/>
      <c r="SE6" s="35"/>
      <c r="SF6" s="35"/>
      <c r="SG6" s="35"/>
      <c r="SH6" s="35"/>
      <c r="SI6" s="35"/>
      <c r="SJ6" s="35"/>
      <c r="SK6" s="35"/>
      <c r="SL6" s="35"/>
      <c r="SM6" s="35"/>
      <c r="SN6" s="35"/>
      <c r="SO6" s="35"/>
      <c r="SP6" s="35"/>
      <c r="SQ6" s="35"/>
      <c r="SR6" s="35"/>
      <c r="SS6" s="35"/>
      <c r="ST6" s="35"/>
      <c r="SU6" s="35"/>
      <c r="SV6" s="35"/>
      <c r="SW6" s="35"/>
      <c r="SX6" s="35"/>
      <c r="SY6" s="35"/>
      <c r="SZ6" s="35"/>
      <c r="TA6" s="35"/>
      <c r="TB6" s="35"/>
      <c r="TC6" s="35"/>
      <c r="TD6" s="35"/>
      <c r="TE6" s="35"/>
      <c r="TF6" s="35"/>
      <c r="TG6" s="35"/>
      <c r="TH6" s="35"/>
      <c r="TI6" s="35"/>
      <c r="TJ6" s="35"/>
      <c r="TK6" s="35"/>
      <c r="TL6" s="35"/>
      <c r="TM6" s="35"/>
      <c r="TN6" s="35"/>
      <c r="TO6" s="35"/>
      <c r="TP6" s="35"/>
      <c r="TQ6" s="35"/>
      <c r="TR6" s="35"/>
      <c r="TS6" s="35"/>
      <c r="TT6" s="35"/>
      <c r="TU6" s="35"/>
      <c r="TV6" s="35"/>
      <c r="TW6" s="35"/>
      <c r="TX6" s="35"/>
      <c r="TY6" s="35"/>
      <c r="TZ6" s="35"/>
      <c r="UA6" s="35"/>
      <c r="UB6" s="35"/>
      <c r="UC6" s="35"/>
      <c r="UD6" s="35"/>
      <c r="UE6" s="35"/>
      <c r="UF6" s="35"/>
      <c r="UG6" s="35"/>
      <c r="UH6" s="35"/>
      <c r="UI6" s="35"/>
      <c r="UJ6" s="35"/>
      <c r="UK6" s="35"/>
      <c r="UL6" s="35"/>
      <c r="UM6" s="35"/>
      <c r="UN6" s="35"/>
      <c r="UO6" s="35"/>
      <c r="UP6" s="35"/>
      <c r="UQ6" s="35"/>
      <c r="UR6" s="35"/>
      <c r="US6" s="35"/>
      <c r="UT6" s="35"/>
      <c r="UU6" s="35"/>
      <c r="UV6" s="35"/>
      <c r="UW6" s="35"/>
      <c r="UX6" s="35"/>
      <c r="UY6" s="35"/>
      <c r="UZ6" s="35"/>
      <c r="VA6" s="35"/>
      <c r="VB6" s="35"/>
      <c r="VC6" s="35"/>
      <c r="VD6" s="35"/>
      <c r="VE6" s="35"/>
      <c r="VF6" s="35"/>
      <c r="VG6" s="35"/>
      <c r="VH6" s="35"/>
      <c r="VI6" s="35"/>
      <c r="VJ6" s="35"/>
      <c r="VK6" s="35"/>
      <c r="VL6" s="35"/>
      <c r="VM6" s="35"/>
      <c r="VN6" s="35"/>
      <c r="VO6" s="35"/>
      <c r="VP6" s="35"/>
      <c r="VQ6" s="35"/>
      <c r="VR6" s="35"/>
      <c r="VS6" s="35"/>
      <c r="VT6" s="35"/>
      <c r="VU6" s="35"/>
      <c r="VV6" s="35"/>
      <c r="VW6" s="35"/>
      <c r="VX6" s="35"/>
      <c r="VY6" s="35"/>
      <c r="VZ6" s="35"/>
      <c r="WA6" s="35"/>
      <c r="WB6" s="35"/>
      <c r="WC6" s="35"/>
      <c r="WD6" s="35"/>
      <c r="WE6" s="35"/>
      <c r="WF6" s="35"/>
      <c r="WG6" s="35"/>
      <c r="WH6" s="35"/>
      <c r="WI6" s="35"/>
      <c r="WJ6" s="35"/>
      <c r="WK6" s="35"/>
      <c r="WL6" s="35"/>
      <c r="WM6" s="35"/>
      <c r="WN6" s="35"/>
      <c r="WO6" s="35"/>
      <c r="WP6" s="35"/>
      <c r="WQ6" s="35"/>
      <c r="WR6" s="35"/>
      <c r="WS6" s="35"/>
      <c r="WT6" s="35"/>
      <c r="WU6" s="35"/>
      <c r="WV6" s="35"/>
      <c r="WW6" s="35"/>
      <c r="WX6" s="35"/>
      <c r="WY6" s="35"/>
      <c r="WZ6" s="35"/>
      <c r="XA6" s="35"/>
      <c r="XB6" s="35"/>
      <c r="XC6" s="35"/>
      <c r="XD6" s="35"/>
      <c r="XE6" s="35"/>
      <c r="XF6" s="35"/>
      <c r="XG6" s="35"/>
      <c r="XH6" s="35"/>
      <c r="XI6" s="35"/>
      <c r="XJ6" s="35"/>
      <c r="XK6" s="35"/>
      <c r="XL6" s="35"/>
      <c r="XM6" s="35"/>
      <c r="XN6" s="35"/>
      <c r="XO6" s="35"/>
      <c r="XP6" s="35"/>
      <c r="XQ6" s="35"/>
      <c r="XR6" s="35"/>
      <c r="XS6" s="35"/>
      <c r="XT6" s="35"/>
      <c r="XU6" s="35"/>
      <c r="XV6" s="35"/>
      <c r="XW6" s="35"/>
      <c r="XX6" s="35"/>
      <c r="XY6" s="35"/>
      <c r="XZ6" s="35"/>
      <c r="YA6" s="35"/>
      <c r="YB6" s="35"/>
      <c r="YC6" s="35"/>
      <c r="YD6" s="35"/>
      <c r="YE6" s="35"/>
      <c r="YF6" s="35"/>
      <c r="YG6" s="35"/>
      <c r="YH6" s="35"/>
      <c r="YI6" s="35"/>
      <c r="YJ6" s="35"/>
      <c r="YK6" s="35"/>
      <c r="YL6" s="35"/>
      <c r="YM6" s="35"/>
      <c r="YN6" s="35"/>
      <c r="YO6" s="35"/>
      <c r="YP6" s="35"/>
      <c r="YQ6" s="35"/>
      <c r="YR6" s="35"/>
      <c r="YS6" s="35"/>
      <c r="YT6" s="35"/>
      <c r="YU6" s="35"/>
      <c r="YV6" s="35"/>
      <c r="YW6" s="35"/>
      <c r="YX6" s="35"/>
      <c r="YY6" s="35"/>
      <c r="YZ6" s="35"/>
      <c r="ZA6" s="35"/>
      <c r="ZB6" s="35"/>
      <c r="ZC6" s="35"/>
      <c r="ZD6" s="35"/>
      <c r="ZE6" s="35"/>
      <c r="ZF6" s="35"/>
      <c r="ZG6" s="35"/>
      <c r="ZH6" s="35"/>
      <c r="ZI6" s="35"/>
      <c r="ZJ6" s="35"/>
      <c r="ZK6" s="35"/>
      <c r="ZL6" s="35"/>
      <c r="ZM6" s="35"/>
      <c r="ZN6" s="35"/>
      <c r="ZO6" s="35"/>
      <c r="ZP6" s="35"/>
      <c r="ZQ6" s="35"/>
      <c r="ZR6" s="35"/>
      <c r="ZS6" s="35"/>
      <c r="ZT6" s="35"/>
      <c r="ZU6" s="35"/>
      <c r="ZV6" s="35"/>
      <c r="ZW6" s="35"/>
      <c r="ZX6" s="35"/>
      <c r="ZY6" s="35"/>
      <c r="ZZ6" s="35"/>
      <c r="AAA6" s="35"/>
      <c r="AAB6" s="35"/>
      <c r="AAC6" s="35"/>
      <c r="AAD6" s="35"/>
      <c r="AAE6" s="35"/>
      <c r="AAF6" s="35"/>
      <c r="AAG6" s="35"/>
      <c r="AAH6" s="35"/>
      <c r="AAI6" s="35"/>
      <c r="AAJ6" s="35"/>
      <c r="AAK6" s="35"/>
      <c r="AAL6" s="35"/>
      <c r="AAM6" s="35"/>
      <c r="AAN6" s="35"/>
      <c r="AAO6" s="35"/>
      <c r="AAP6" s="35"/>
      <c r="AAQ6" s="35"/>
      <c r="AAR6" s="35"/>
      <c r="AAS6" s="35"/>
      <c r="AAT6" s="35"/>
      <c r="AAU6" s="35"/>
      <c r="AAV6" s="35"/>
      <c r="AAW6" s="35"/>
      <c r="AAX6" s="35"/>
      <c r="AAY6" s="35"/>
      <c r="AAZ6" s="35"/>
      <c r="ABA6" s="35"/>
      <c r="ABB6" s="35"/>
      <c r="ABC6" s="35"/>
      <c r="ABD6" s="35"/>
      <c r="ABE6" s="35"/>
      <c r="ABF6" s="35"/>
      <c r="ABG6" s="35"/>
      <c r="ABH6" s="35"/>
      <c r="ABI6" s="35"/>
      <c r="ABJ6" s="35"/>
      <c r="ABK6" s="35"/>
      <c r="ABL6" s="35"/>
      <c r="ABM6" s="35"/>
      <c r="ABN6" s="35"/>
      <c r="ABO6" s="35"/>
      <c r="ABP6" s="35"/>
      <c r="ABQ6" s="35"/>
      <c r="ABR6" s="35"/>
      <c r="ABS6" s="35"/>
      <c r="ABT6" s="35"/>
      <c r="ABU6" s="35"/>
      <c r="ABV6" s="35"/>
      <c r="ABW6" s="35"/>
      <c r="ABX6" s="35"/>
      <c r="ABY6" s="35"/>
      <c r="ABZ6" s="35"/>
      <c r="ACA6" s="35"/>
      <c r="ACB6" s="35"/>
      <c r="ACC6" s="35"/>
      <c r="ACD6" s="35"/>
      <c r="ACE6" s="35"/>
      <c r="ACF6" s="35"/>
      <c r="ACG6" s="35"/>
      <c r="ACH6" s="35"/>
      <c r="ACI6" s="35"/>
      <c r="ACJ6" s="35"/>
      <c r="ACK6" s="35"/>
      <c r="ACL6" s="35"/>
      <c r="ACM6" s="35"/>
      <c r="ACN6" s="35"/>
      <c r="ACO6" s="35"/>
      <c r="ACP6" s="35"/>
      <c r="ACQ6" s="35"/>
      <c r="ACR6" s="35"/>
      <c r="ACS6" s="35"/>
      <c r="ACT6" s="35"/>
      <c r="ACU6" s="35"/>
      <c r="ACV6" s="35"/>
      <c r="ACW6" s="35"/>
      <c r="ACX6" s="35"/>
      <c r="ACY6" s="35"/>
      <c r="ACZ6" s="35"/>
      <c r="ADA6" s="35"/>
      <c r="ADB6" s="35"/>
      <c r="ADC6" s="35"/>
      <c r="ADD6" s="35"/>
      <c r="ADE6" s="35"/>
      <c r="ADF6" s="35"/>
      <c r="ADG6" s="35"/>
      <c r="ADH6" s="35"/>
      <c r="ADI6" s="35"/>
      <c r="ADJ6" s="35"/>
      <c r="ADK6" s="35"/>
      <c r="ADL6" s="35"/>
      <c r="ADM6" s="35"/>
      <c r="ADN6" s="35"/>
      <c r="ADO6" s="35"/>
      <c r="ADP6" s="35"/>
      <c r="ADQ6" s="35"/>
      <c r="ADR6" s="35"/>
      <c r="ADS6" s="35"/>
      <c r="ADT6" s="35"/>
      <c r="ADU6" s="35"/>
      <c r="ADV6" s="35"/>
      <c r="ADW6" s="35"/>
      <c r="ADX6" s="35"/>
      <c r="ADY6" s="35"/>
      <c r="ADZ6" s="35"/>
      <c r="AEA6" s="35"/>
      <c r="AEB6" s="35"/>
      <c r="AEC6" s="35"/>
      <c r="AED6" s="35"/>
      <c r="AEE6" s="35"/>
      <c r="AEF6" s="35"/>
      <c r="AEG6" s="35"/>
      <c r="AEH6" s="35"/>
      <c r="AEI6" s="35"/>
      <c r="AEJ6" s="35"/>
      <c r="AEK6" s="35"/>
      <c r="AEL6" s="35"/>
      <c r="AEM6" s="35"/>
      <c r="AEN6" s="35"/>
      <c r="AEO6" s="35"/>
      <c r="AEP6" s="35"/>
      <c r="AEQ6" s="35"/>
      <c r="AER6" s="35"/>
      <c r="AES6" s="35"/>
      <c r="AET6" s="35"/>
      <c r="AEU6" s="35"/>
      <c r="AEV6" s="35"/>
      <c r="AEW6" s="35"/>
      <c r="AEX6" s="35"/>
      <c r="AEY6" s="35"/>
      <c r="AEZ6" s="35"/>
      <c r="AFA6" s="35"/>
      <c r="AFB6" s="35"/>
      <c r="AFC6" s="35"/>
      <c r="AFD6" s="35"/>
      <c r="AFE6" s="35"/>
      <c r="AFF6" s="35"/>
      <c r="AFG6" s="35"/>
      <c r="AFH6" s="35"/>
      <c r="AFI6" s="35"/>
      <c r="AFJ6" s="35"/>
      <c r="AFK6" s="35"/>
      <c r="AFL6" s="35"/>
      <c r="AFM6" s="35"/>
      <c r="AFN6" s="35"/>
      <c r="AFO6" s="35"/>
      <c r="AFP6" s="35"/>
      <c r="AFQ6" s="35"/>
      <c r="AFR6" s="35"/>
      <c r="AFS6" s="35"/>
      <c r="AFT6" s="35"/>
      <c r="AFU6" s="35"/>
      <c r="AFV6" s="35"/>
      <c r="AFW6" s="35"/>
      <c r="AFX6" s="35"/>
      <c r="AFY6" s="35"/>
      <c r="AFZ6" s="35"/>
      <c r="AGA6" s="35"/>
      <c r="AGB6" s="35"/>
      <c r="AGC6" s="35"/>
      <c r="AGD6" s="35"/>
      <c r="AGE6" s="35"/>
      <c r="AGF6" s="35"/>
      <c r="AGG6" s="35"/>
      <c r="AGH6" s="35"/>
      <c r="AGI6" s="35"/>
      <c r="AGJ6" s="35"/>
      <c r="AGK6" s="35"/>
      <c r="AGL6" s="35"/>
      <c r="AGM6" s="35"/>
      <c r="AGN6" s="35"/>
      <c r="AGO6" s="35"/>
      <c r="AGP6" s="35"/>
      <c r="AGQ6" s="35"/>
      <c r="AGR6" s="35"/>
      <c r="AGS6" s="35"/>
      <c r="AGT6" s="35"/>
      <c r="AGU6" s="35"/>
      <c r="AGV6" s="35"/>
      <c r="AGW6" s="35"/>
      <c r="AGX6" s="35"/>
      <c r="AGY6" s="35"/>
      <c r="AGZ6" s="35"/>
      <c r="AHA6" s="35"/>
      <c r="AHB6" s="35"/>
      <c r="AHC6" s="35"/>
      <c r="AHD6" s="35"/>
      <c r="AHE6" s="35"/>
      <c r="AHF6" s="35"/>
      <c r="AHG6" s="35"/>
      <c r="AHH6" s="35"/>
      <c r="AHI6" s="35"/>
      <c r="AHJ6" s="35"/>
      <c r="AHK6" s="35"/>
      <c r="AHL6" s="35"/>
      <c r="AHM6" s="35"/>
      <c r="AHN6" s="35"/>
      <c r="AHO6" s="35"/>
      <c r="AHP6" s="35"/>
      <c r="AHQ6" s="35"/>
      <c r="AHR6" s="35"/>
      <c r="AHS6" s="35"/>
      <c r="AHT6" s="35"/>
      <c r="AHU6" s="35"/>
      <c r="AHV6" s="35"/>
      <c r="AHW6" s="35"/>
      <c r="AHX6" s="35"/>
      <c r="AHY6" s="35"/>
      <c r="AHZ6" s="35"/>
      <c r="AIA6" s="35"/>
      <c r="AIB6" s="35"/>
      <c r="AIC6" s="35"/>
      <c r="AID6" s="35"/>
      <c r="AIE6" s="35"/>
      <c r="AIF6" s="35"/>
      <c r="AIG6" s="35"/>
      <c r="AIH6" s="35"/>
      <c r="AII6" s="35"/>
      <c r="AIJ6" s="35"/>
      <c r="AIK6" s="35"/>
      <c r="AIL6" s="35"/>
      <c r="AIM6" s="35"/>
      <c r="AIN6" s="35"/>
      <c r="AIO6" s="35"/>
      <c r="AIP6" s="35"/>
      <c r="AIQ6" s="35"/>
      <c r="AIR6" s="35"/>
      <c r="AIS6" s="35"/>
      <c r="AIT6" s="35"/>
      <c r="AIU6" s="35"/>
      <c r="AIV6" s="35"/>
      <c r="AIW6" s="35"/>
      <c r="AIX6" s="35"/>
      <c r="AIY6" s="35"/>
      <c r="AIZ6" s="35"/>
      <c r="AJA6" s="35"/>
      <c r="AJB6" s="35"/>
      <c r="AJC6" s="35"/>
      <c r="AJD6" s="35"/>
      <c r="AJE6" s="35"/>
      <c r="AJF6" s="35"/>
      <c r="AJG6" s="35"/>
      <c r="AJH6" s="35"/>
      <c r="AJI6" s="35"/>
      <c r="AJJ6" s="35"/>
      <c r="AJK6" s="35"/>
      <c r="AJL6" s="35"/>
      <c r="AJM6" s="35"/>
      <c r="AJN6" s="35"/>
      <c r="AJO6" s="35"/>
      <c r="AJP6" s="35"/>
      <c r="AJQ6" s="35"/>
      <c r="AJR6" s="35"/>
      <c r="AJS6" s="35"/>
      <c r="AJT6" s="35"/>
      <c r="AJU6" s="35"/>
      <c r="AJV6" s="35"/>
      <c r="AJW6" s="35"/>
      <c r="AJX6" s="35"/>
      <c r="AJY6" s="35"/>
      <c r="AJZ6" s="35"/>
      <c r="AKA6" s="35"/>
      <c r="AKB6" s="35"/>
      <c r="AKC6" s="35"/>
      <c r="AKD6" s="35"/>
      <c r="AKE6" s="35"/>
      <c r="AKF6" s="35"/>
      <c r="AKG6" s="35"/>
      <c r="AKH6" s="35"/>
      <c r="AKI6" s="35"/>
      <c r="AKJ6" s="35"/>
      <c r="AKK6" s="35"/>
      <c r="AKL6" s="35"/>
      <c r="AKM6" s="35"/>
      <c r="AKN6" s="35"/>
      <c r="AKO6" s="35"/>
      <c r="AKP6" s="35"/>
      <c r="AKQ6" s="35"/>
      <c r="AKR6" s="35"/>
      <c r="AKS6" s="35"/>
      <c r="AKT6" s="35"/>
      <c r="AKU6" s="35"/>
      <c r="AKV6" s="35"/>
      <c r="AKW6" s="35"/>
      <c r="AKX6" s="35"/>
      <c r="AKY6" s="35"/>
      <c r="AKZ6" s="35"/>
      <c r="ALA6" s="35"/>
      <c r="ALB6" s="35"/>
      <c r="ALC6" s="35"/>
      <c r="ALD6" s="35"/>
      <c r="ALE6" s="35"/>
      <c r="ALF6" s="35"/>
      <c r="ALG6" s="35"/>
      <c r="ALH6" s="35"/>
      <c r="ALI6" s="35"/>
      <c r="ALJ6" s="35"/>
      <c r="ALK6" s="35"/>
      <c r="ALL6" s="35"/>
      <c r="ALM6" s="35"/>
      <c r="ALN6" s="35"/>
      <c r="ALO6" s="35"/>
      <c r="ALP6" s="35"/>
      <c r="ALQ6" s="35"/>
      <c r="ALR6" s="35"/>
      <c r="ALS6" s="35"/>
      <c r="ALT6" s="35"/>
      <c r="ALU6" s="35"/>
      <c r="ALV6" s="35"/>
      <c r="ALW6" s="35"/>
      <c r="ALX6" s="35"/>
      <c r="ALY6" s="35"/>
      <c r="ALZ6" s="35"/>
      <c r="AMA6" s="35"/>
      <c r="AMB6" s="1"/>
    </row>
    <row r="7" customFormat="false" ht="12.8" hidden="true" customHeight="true" outlineLevel="1" collapsed="false">
      <c r="A7" s="40"/>
      <c r="B7" s="40"/>
      <c r="C7" s="40"/>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63"/>
      <c r="AI7" s="40"/>
      <c r="AJ7" s="40"/>
      <c r="AK7" s="40"/>
      <c r="AL7" s="40"/>
      <c r="AM7" s="40"/>
      <c r="AN7" s="40"/>
      <c r="AO7" s="40"/>
      <c r="AP7" s="40"/>
      <c r="AQ7" s="40"/>
      <c r="AR7" s="40"/>
      <c r="AS7" s="40"/>
      <c r="AT7" s="40"/>
      <c r="AU7" s="40"/>
      <c r="AV7" s="40"/>
      <c r="AW7" s="40"/>
      <c r="AX7" s="40"/>
      <c r="AY7" s="40"/>
      <c r="AZ7" s="40"/>
      <c r="BA7" s="40"/>
      <c r="BB7" s="40"/>
      <c r="BC7" s="40"/>
      <c r="BD7" s="40"/>
      <c r="BE7" s="40"/>
      <c r="BF7" s="40"/>
      <c r="BG7" s="40"/>
      <c r="BH7" s="40"/>
      <c r="BI7" s="40"/>
      <c r="BJ7" s="40"/>
      <c r="BK7" s="40"/>
      <c r="BL7" s="40"/>
      <c r="BM7" s="40"/>
      <c r="BN7" s="40"/>
      <c r="BO7" s="40"/>
      <c r="BP7" s="40"/>
      <c r="BQ7" s="40"/>
      <c r="BR7" s="40"/>
      <c r="BS7" s="40"/>
      <c r="BT7" s="40"/>
      <c r="BU7" s="40"/>
      <c r="BV7" s="40"/>
      <c r="BW7" s="40"/>
      <c r="BX7" s="40"/>
      <c r="BY7" s="40"/>
      <c r="BZ7" s="40"/>
      <c r="CA7" s="40"/>
      <c r="CB7" s="40"/>
      <c r="CC7" s="40"/>
      <c r="CD7" s="40"/>
      <c r="CE7" s="40"/>
      <c r="CF7" s="40"/>
      <c r="CG7" s="40"/>
      <c r="CH7" s="40"/>
      <c r="CI7" s="40"/>
      <c r="CJ7" s="40"/>
      <c r="CK7" s="40"/>
      <c r="CL7" s="40"/>
      <c r="CM7" s="40"/>
      <c r="CN7" s="40"/>
      <c r="CO7" s="40"/>
      <c r="CP7" s="40"/>
      <c r="CQ7" s="40"/>
      <c r="CR7" s="40"/>
      <c r="CS7" s="40"/>
      <c r="CT7" s="40"/>
      <c r="CU7" s="40"/>
      <c r="CV7" s="40"/>
      <c r="CW7" s="40"/>
      <c r="CX7" s="40"/>
      <c r="CY7" s="40"/>
      <c r="CZ7" s="40"/>
      <c r="DA7" s="40"/>
      <c r="DB7" s="40"/>
      <c r="DC7" s="40"/>
      <c r="DD7" s="40"/>
      <c r="DE7" s="40"/>
      <c r="DF7" s="40"/>
      <c r="DG7" s="40"/>
      <c r="DH7" s="40"/>
      <c r="DI7" s="40"/>
      <c r="DJ7" s="40"/>
      <c r="DK7" s="40"/>
      <c r="DL7" s="40"/>
      <c r="DM7" s="40"/>
      <c r="DN7" s="40"/>
      <c r="DO7" s="40"/>
      <c r="DP7" s="40"/>
      <c r="DQ7" s="40"/>
      <c r="DR7" s="40"/>
      <c r="DS7" s="40"/>
      <c r="DT7" s="40"/>
      <c r="DU7" s="40"/>
      <c r="DV7" s="40"/>
      <c r="DW7" s="40"/>
      <c r="DX7" s="40"/>
      <c r="DY7" s="40"/>
      <c r="DZ7" s="40" t="s">
        <v>364</v>
      </c>
      <c r="EA7" s="35"/>
      <c r="EB7" s="81"/>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c r="GJ7" s="35"/>
      <c r="GK7" s="35"/>
      <c r="GL7" s="35"/>
      <c r="GM7" s="35"/>
      <c r="GN7" s="35"/>
      <c r="GO7" s="35"/>
      <c r="GP7" s="35"/>
      <c r="GQ7" s="35"/>
      <c r="GR7" s="35"/>
      <c r="GS7" s="35"/>
      <c r="GT7" s="35"/>
      <c r="GU7" s="35"/>
      <c r="GV7" s="35"/>
      <c r="GW7" s="35"/>
      <c r="GX7" s="35"/>
      <c r="GY7" s="35"/>
      <c r="GZ7" s="35"/>
      <c r="HA7" s="35"/>
      <c r="HB7" s="35"/>
      <c r="HC7" s="35"/>
      <c r="HD7" s="35"/>
      <c r="HE7" s="35"/>
      <c r="HF7" s="35"/>
      <c r="HG7" s="35"/>
      <c r="HH7" s="35"/>
      <c r="HI7" s="35"/>
      <c r="HJ7" s="35"/>
      <c r="HK7" s="35"/>
      <c r="HL7" s="35"/>
      <c r="HM7" s="35"/>
      <c r="HN7" s="35"/>
      <c r="HO7" s="35"/>
      <c r="HP7" s="35"/>
      <c r="HQ7" s="35"/>
      <c r="HR7" s="35"/>
      <c r="HS7" s="35"/>
      <c r="HT7" s="35"/>
      <c r="HU7" s="35"/>
      <c r="HV7" s="35"/>
      <c r="HW7" s="35"/>
      <c r="HX7" s="35"/>
      <c r="HY7" s="35"/>
      <c r="HZ7" s="35"/>
      <c r="IA7" s="35"/>
      <c r="IB7" s="35"/>
      <c r="IC7" s="35"/>
      <c r="ID7" s="35"/>
      <c r="IE7" s="35"/>
      <c r="IF7" s="35"/>
      <c r="IG7" s="35"/>
      <c r="IH7" s="35"/>
      <c r="II7" s="35"/>
      <c r="IJ7" s="35"/>
      <c r="IK7" s="35"/>
      <c r="IL7" s="35"/>
      <c r="IM7" s="35"/>
      <c r="IN7" s="35"/>
      <c r="IO7" s="35"/>
      <c r="IP7" s="35"/>
      <c r="IQ7" s="35"/>
      <c r="IR7" s="35"/>
      <c r="IS7" s="35"/>
      <c r="IT7" s="35"/>
      <c r="IU7" s="35"/>
      <c r="IV7" s="35"/>
      <c r="IW7" s="35"/>
      <c r="IX7" s="35"/>
      <c r="IY7" s="35"/>
      <c r="IZ7" s="35"/>
      <c r="JA7" s="35"/>
      <c r="JB7" s="35"/>
      <c r="JC7" s="35"/>
      <c r="JD7" s="35"/>
      <c r="JE7" s="35"/>
      <c r="JF7" s="35"/>
      <c r="JG7" s="35"/>
      <c r="JH7" s="35"/>
      <c r="JI7" s="35"/>
      <c r="JJ7" s="35"/>
      <c r="JK7" s="35"/>
      <c r="JL7" s="35"/>
      <c r="JM7" s="35"/>
      <c r="JN7" s="35"/>
      <c r="JO7" s="35"/>
      <c r="JP7" s="35"/>
      <c r="JQ7" s="35"/>
      <c r="JR7" s="35"/>
      <c r="JS7" s="35"/>
      <c r="JT7" s="35"/>
      <c r="JU7" s="35"/>
      <c r="JV7" s="35"/>
      <c r="JW7" s="35"/>
      <c r="JX7" s="35"/>
      <c r="JY7" s="35"/>
      <c r="JZ7" s="35"/>
      <c r="KA7" s="35"/>
      <c r="KB7" s="35"/>
      <c r="KC7" s="35"/>
      <c r="KD7" s="35"/>
      <c r="KE7" s="35"/>
      <c r="KF7" s="35"/>
      <c r="KG7" s="35"/>
      <c r="KH7" s="35"/>
      <c r="KI7" s="35"/>
      <c r="KJ7" s="35"/>
      <c r="KK7" s="35"/>
      <c r="KL7" s="35"/>
      <c r="KM7" s="35"/>
      <c r="KN7" s="35"/>
      <c r="KO7" s="35"/>
      <c r="KP7" s="35"/>
      <c r="KQ7" s="35"/>
      <c r="KR7" s="35"/>
      <c r="KS7" s="35"/>
      <c r="KT7" s="35"/>
      <c r="KU7" s="35"/>
      <c r="KV7" s="35"/>
      <c r="KW7" s="35"/>
      <c r="KX7" s="35"/>
      <c r="KY7" s="35"/>
      <c r="KZ7" s="35"/>
      <c r="LA7" s="35"/>
      <c r="LB7" s="35"/>
      <c r="LC7" s="35"/>
      <c r="LD7" s="35"/>
      <c r="LE7" s="35"/>
      <c r="LF7" s="35"/>
      <c r="LG7" s="35"/>
      <c r="LH7" s="35"/>
      <c r="LI7" s="35"/>
      <c r="LJ7" s="35"/>
      <c r="LK7" s="35"/>
      <c r="LL7" s="35"/>
      <c r="LM7" s="35"/>
      <c r="LN7" s="35"/>
      <c r="LO7" s="35"/>
      <c r="LP7" s="35"/>
      <c r="LQ7" s="35"/>
      <c r="LR7" s="35"/>
      <c r="LS7" s="35"/>
      <c r="LT7" s="35"/>
      <c r="LU7" s="35"/>
      <c r="LV7" s="35"/>
      <c r="LW7" s="35"/>
      <c r="LX7" s="35"/>
      <c r="LY7" s="35"/>
      <c r="LZ7" s="35"/>
      <c r="MA7" s="35"/>
      <c r="MB7" s="35"/>
      <c r="MC7" s="35"/>
      <c r="MD7" s="35"/>
      <c r="ME7" s="35"/>
      <c r="MF7" s="35"/>
      <c r="MG7" s="35"/>
      <c r="MH7" s="35"/>
      <c r="MI7" s="35"/>
      <c r="MJ7" s="35"/>
      <c r="MK7" s="35"/>
      <c r="ML7" s="35"/>
      <c r="MM7" s="35"/>
      <c r="MN7" s="35"/>
      <c r="MO7" s="35"/>
      <c r="MP7" s="35"/>
      <c r="MQ7" s="35"/>
      <c r="MR7" s="35"/>
      <c r="MS7" s="35"/>
      <c r="MT7" s="35"/>
      <c r="MU7" s="35"/>
      <c r="MV7" s="35"/>
      <c r="MW7" s="35"/>
      <c r="MX7" s="35"/>
      <c r="MY7" s="35"/>
      <c r="MZ7" s="35"/>
      <c r="NA7" s="35"/>
      <c r="NB7" s="35"/>
      <c r="NC7" s="35"/>
      <c r="ND7" s="35"/>
      <c r="NE7" s="35"/>
      <c r="NF7" s="35"/>
      <c r="NG7" s="35"/>
      <c r="NH7" s="35"/>
      <c r="NI7" s="35"/>
      <c r="NJ7" s="35"/>
      <c r="NK7" s="35"/>
      <c r="NL7" s="35"/>
      <c r="NM7" s="35"/>
      <c r="NN7" s="35"/>
      <c r="NO7" s="35"/>
      <c r="NP7" s="35"/>
      <c r="NQ7" s="35"/>
      <c r="NR7" s="35"/>
      <c r="NS7" s="35"/>
      <c r="NT7" s="35"/>
      <c r="NU7" s="35"/>
      <c r="NV7" s="35"/>
      <c r="NW7" s="35"/>
      <c r="NX7" s="35"/>
      <c r="NY7" s="35"/>
      <c r="NZ7" s="35"/>
      <c r="OA7" s="35"/>
      <c r="OB7" s="35"/>
      <c r="OC7" s="35"/>
      <c r="OD7" s="35"/>
      <c r="OE7" s="35"/>
      <c r="OF7" s="35"/>
      <c r="OG7" s="35"/>
      <c r="OH7" s="35"/>
      <c r="OI7" s="35"/>
      <c r="OJ7" s="35"/>
      <c r="OK7" s="35"/>
      <c r="OL7" s="35"/>
      <c r="OM7" s="35"/>
      <c r="ON7" s="35"/>
      <c r="OO7" s="35"/>
      <c r="OP7" s="35"/>
      <c r="OQ7" s="35"/>
      <c r="OR7" s="35"/>
      <c r="OS7" s="35"/>
      <c r="OT7" s="35"/>
      <c r="OU7" s="35"/>
      <c r="OV7" s="35"/>
      <c r="OW7" s="35"/>
      <c r="OX7" s="35"/>
      <c r="OY7" s="35"/>
      <c r="OZ7" s="35"/>
      <c r="PA7" s="35"/>
      <c r="PB7" s="35"/>
      <c r="PC7" s="35"/>
      <c r="PD7" s="35"/>
      <c r="PE7" s="35"/>
      <c r="PF7" s="35"/>
      <c r="PG7" s="35"/>
      <c r="PH7" s="35"/>
      <c r="PI7" s="35"/>
      <c r="PJ7" s="35"/>
      <c r="PK7" s="35"/>
      <c r="PL7" s="35"/>
      <c r="PM7" s="35"/>
      <c r="PN7" s="35"/>
      <c r="PO7" s="35"/>
      <c r="PP7" s="35"/>
      <c r="PQ7" s="35"/>
      <c r="PR7" s="35"/>
      <c r="PS7" s="35"/>
      <c r="PT7" s="35"/>
      <c r="PU7" s="35"/>
      <c r="PV7" s="35"/>
      <c r="PW7" s="35"/>
      <c r="PX7" s="35"/>
      <c r="PY7" s="35"/>
      <c r="PZ7" s="35"/>
      <c r="QA7" s="35"/>
      <c r="QB7" s="35"/>
      <c r="QC7" s="35"/>
      <c r="QD7" s="35"/>
      <c r="QE7" s="35"/>
      <c r="QF7" s="35"/>
      <c r="QG7" s="35"/>
      <c r="QH7" s="35"/>
      <c r="QI7" s="35"/>
      <c r="QJ7" s="35"/>
      <c r="QK7" s="35"/>
      <c r="QL7" s="35"/>
      <c r="QM7" s="35"/>
      <c r="QN7" s="35"/>
      <c r="QO7" s="35"/>
      <c r="QP7" s="35"/>
      <c r="QQ7" s="35"/>
      <c r="QR7" s="35"/>
      <c r="QS7" s="35"/>
      <c r="QT7" s="35"/>
      <c r="QU7" s="35"/>
      <c r="QV7" s="35"/>
      <c r="QW7" s="35"/>
      <c r="QX7" s="35"/>
      <c r="QY7" s="35"/>
      <c r="QZ7" s="35"/>
      <c r="RA7" s="35"/>
      <c r="RB7" s="35"/>
      <c r="RC7" s="35"/>
      <c r="RD7" s="35"/>
      <c r="RE7" s="35"/>
      <c r="RF7" s="35"/>
      <c r="RG7" s="35"/>
      <c r="RH7" s="35"/>
      <c r="RI7" s="35"/>
      <c r="RJ7" s="35"/>
      <c r="RK7" s="35"/>
      <c r="RL7" s="35"/>
      <c r="RM7" s="35"/>
      <c r="RN7" s="35"/>
      <c r="RO7" s="35"/>
      <c r="RP7" s="35"/>
      <c r="RQ7" s="35"/>
      <c r="RR7" s="35"/>
      <c r="RS7" s="35"/>
      <c r="RT7" s="35"/>
      <c r="RU7" s="35"/>
      <c r="RV7" s="35"/>
      <c r="RW7" s="35"/>
      <c r="RX7" s="35"/>
      <c r="RY7" s="35"/>
      <c r="RZ7" s="35"/>
      <c r="SA7" s="35"/>
      <c r="SB7" s="35"/>
      <c r="SC7" s="35"/>
      <c r="SD7" s="35"/>
      <c r="SE7" s="35"/>
      <c r="SF7" s="35"/>
      <c r="SG7" s="35"/>
      <c r="SH7" s="35"/>
      <c r="SI7" s="35"/>
      <c r="SJ7" s="35"/>
      <c r="SK7" s="35"/>
      <c r="SL7" s="35"/>
      <c r="SM7" s="35"/>
      <c r="SN7" s="35"/>
      <c r="SO7" s="35"/>
      <c r="SP7" s="35"/>
      <c r="SQ7" s="35"/>
      <c r="SR7" s="35"/>
      <c r="SS7" s="35"/>
      <c r="ST7" s="35"/>
      <c r="SU7" s="35"/>
      <c r="SV7" s="35"/>
      <c r="SW7" s="35"/>
      <c r="SX7" s="35"/>
      <c r="SY7" s="35"/>
      <c r="SZ7" s="35"/>
      <c r="TA7" s="35"/>
      <c r="TB7" s="35"/>
      <c r="TC7" s="35"/>
      <c r="TD7" s="35"/>
      <c r="TE7" s="35"/>
      <c r="TF7" s="35"/>
      <c r="TG7" s="35"/>
      <c r="TH7" s="35"/>
      <c r="TI7" s="35"/>
      <c r="TJ7" s="35"/>
      <c r="TK7" s="35"/>
      <c r="TL7" s="35"/>
      <c r="TM7" s="35"/>
      <c r="TN7" s="35"/>
      <c r="TO7" s="35"/>
      <c r="TP7" s="35"/>
      <c r="TQ7" s="35"/>
      <c r="TR7" s="35"/>
      <c r="TS7" s="35"/>
      <c r="TT7" s="35"/>
      <c r="TU7" s="35"/>
      <c r="TV7" s="35"/>
      <c r="TW7" s="35"/>
      <c r="TX7" s="35"/>
      <c r="TY7" s="35"/>
      <c r="TZ7" s="35"/>
      <c r="UA7" s="35"/>
      <c r="UB7" s="35"/>
      <c r="UC7" s="35"/>
      <c r="UD7" s="35"/>
      <c r="UE7" s="35"/>
      <c r="UF7" s="35"/>
      <c r="UG7" s="35"/>
      <c r="UH7" s="35"/>
      <c r="UI7" s="35"/>
      <c r="UJ7" s="35"/>
      <c r="UK7" s="35"/>
      <c r="UL7" s="35"/>
      <c r="UM7" s="35"/>
      <c r="UN7" s="35"/>
      <c r="UO7" s="35"/>
      <c r="UP7" s="35"/>
      <c r="UQ7" s="35"/>
      <c r="UR7" s="35"/>
      <c r="US7" s="35"/>
      <c r="UT7" s="35"/>
      <c r="UU7" s="35"/>
      <c r="UV7" s="35"/>
      <c r="UW7" s="35"/>
      <c r="UX7" s="35"/>
      <c r="UY7" s="35"/>
      <c r="UZ7" s="35"/>
      <c r="VA7" s="35"/>
      <c r="VB7" s="35"/>
      <c r="VC7" s="35"/>
      <c r="VD7" s="35"/>
      <c r="VE7" s="35"/>
      <c r="VF7" s="35"/>
      <c r="VG7" s="35"/>
      <c r="VH7" s="35"/>
      <c r="VI7" s="35"/>
      <c r="VJ7" s="35"/>
      <c r="VK7" s="35"/>
      <c r="VL7" s="35"/>
      <c r="VM7" s="35"/>
      <c r="VN7" s="35"/>
      <c r="VO7" s="35"/>
      <c r="VP7" s="35"/>
      <c r="VQ7" s="35"/>
      <c r="VR7" s="35"/>
      <c r="VS7" s="35"/>
      <c r="VT7" s="35"/>
      <c r="VU7" s="35"/>
      <c r="VV7" s="35"/>
      <c r="VW7" s="35"/>
      <c r="VX7" s="35"/>
      <c r="VY7" s="35"/>
      <c r="VZ7" s="35"/>
      <c r="WA7" s="35"/>
      <c r="WB7" s="35"/>
      <c r="WC7" s="35"/>
      <c r="WD7" s="35"/>
      <c r="WE7" s="35"/>
      <c r="WF7" s="35"/>
      <c r="WG7" s="35"/>
      <c r="WH7" s="35"/>
      <c r="WI7" s="35"/>
      <c r="WJ7" s="35"/>
      <c r="WK7" s="35"/>
      <c r="WL7" s="35"/>
      <c r="WM7" s="35"/>
      <c r="WN7" s="35"/>
      <c r="WO7" s="35"/>
      <c r="WP7" s="35"/>
      <c r="WQ7" s="35"/>
      <c r="WR7" s="35"/>
      <c r="WS7" s="35"/>
      <c r="WT7" s="35"/>
      <c r="WU7" s="35"/>
      <c r="WV7" s="35"/>
      <c r="WW7" s="35"/>
      <c r="WX7" s="35"/>
      <c r="WY7" s="35"/>
      <c r="WZ7" s="35"/>
      <c r="XA7" s="35"/>
      <c r="XB7" s="35"/>
      <c r="XC7" s="35"/>
      <c r="XD7" s="35"/>
      <c r="XE7" s="35"/>
      <c r="XF7" s="35"/>
      <c r="XG7" s="35"/>
      <c r="XH7" s="35"/>
      <c r="XI7" s="35"/>
      <c r="XJ7" s="35"/>
      <c r="XK7" s="35"/>
      <c r="XL7" s="35"/>
      <c r="XM7" s="35"/>
      <c r="XN7" s="35"/>
      <c r="XO7" s="35"/>
      <c r="XP7" s="35"/>
      <c r="XQ7" s="35"/>
      <c r="XR7" s="35"/>
      <c r="XS7" s="35"/>
      <c r="XT7" s="35"/>
      <c r="XU7" s="35"/>
      <c r="XV7" s="35"/>
      <c r="XW7" s="35"/>
      <c r="XX7" s="35"/>
      <c r="XY7" s="35"/>
      <c r="XZ7" s="35"/>
      <c r="YA7" s="35"/>
      <c r="YB7" s="35"/>
      <c r="YC7" s="35"/>
      <c r="YD7" s="35"/>
      <c r="YE7" s="35"/>
      <c r="YF7" s="35"/>
      <c r="YG7" s="35"/>
      <c r="YH7" s="35"/>
      <c r="YI7" s="35"/>
      <c r="YJ7" s="35"/>
      <c r="YK7" s="35"/>
      <c r="YL7" s="35"/>
      <c r="YM7" s="35"/>
      <c r="YN7" s="35"/>
      <c r="YO7" s="35"/>
      <c r="YP7" s="35"/>
      <c r="YQ7" s="35"/>
      <c r="YR7" s="35"/>
      <c r="YS7" s="35"/>
      <c r="YT7" s="35"/>
      <c r="YU7" s="35"/>
      <c r="YV7" s="35"/>
      <c r="YW7" s="35"/>
      <c r="YX7" s="35"/>
      <c r="YY7" s="35"/>
      <c r="YZ7" s="35"/>
      <c r="ZA7" s="35"/>
      <c r="ZB7" s="35"/>
      <c r="ZC7" s="35"/>
      <c r="ZD7" s="35"/>
      <c r="ZE7" s="35"/>
      <c r="ZF7" s="35"/>
      <c r="ZG7" s="35"/>
      <c r="ZH7" s="35"/>
      <c r="ZI7" s="35"/>
      <c r="ZJ7" s="35"/>
      <c r="ZK7" s="35"/>
      <c r="ZL7" s="35"/>
      <c r="ZM7" s="35"/>
      <c r="ZN7" s="35"/>
      <c r="ZO7" s="35"/>
      <c r="ZP7" s="35"/>
      <c r="ZQ7" s="35"/>
      <c r="ZR7" s="35"/>
      <c r="ZS7" s="35"/>
      <c r="ZT7" s="35"/>
      <c r="ZU7" s="35"/>
      <c r="ZV7" s="35"/>
      <c r="ZW7" s="35"/>
      <c r="ZX7" s="35"/>
      <c r="ZY7" s="35"/>
      <c r="ZZ7" s="35"/>
      <c r="AAA7" s="35"/>
      <c r="AAB7" s="35"/>
      <c r="AAC7" s="35"/>
      <c r="AAD7" s="35"/>
      <c r="AAE7" s="35"/>
      <c r="AAF7" s="35"/>
      <c r="AAG7" s="35"/>
      <c r="AAH7" s="35"/>
      <c r="AAI7" s="35"/>
      <c r="AAJ7" s="35"/>
      <c r="AAK7" s="35"/>
      <c r="AAL7" s="35"/>
      <c r="AAM7" s="35"/>
      <c r="AAN7" s="35"/>
      <c r="AAO7" s="35"/>
      <c r="AAP7" s="35"/>
      <c r="AAQ7" s="35"/>
      <c r="AAR7" s="35"/>
      <c r="AAS7" s="35"/>
      <c r="AAT7" s="35"/>
      <c r="AAU7" s="35"/>
      <c r="AAV7" s="35"/>
      <c r="AAW7" s="35"/>
      <c r="AAX7" s="35"/>
      <c r="AAY7" s="35"/>
      <c r="AAZ7" s="35"/>
      <c r="ABA7" s="35"/>
      <c r="ABB7" s="35"/>
      <c r="ABC7" s="35"/>
      <c r="ABD7" s="35"/>
      <c r="ABE7" s="35"/>
      <c r="ABF7" s="35"/>
      <c r="ABG7" s="35"/>
      <c r="ABH7" s="35"/>
      <c r="ABI7" s="35"/>
      <c r="ABJ7" s="35"/>
      <c r="ABK7" s="35"/>
      <c r="ABL7" s="35"/>
      <c r="ABM7" s="35"/>
      <c r="ABN7" s="35"/>
      <c r="ABO7" s="35"/>
      <c r="ABP7" s="35"/>
      <c r="ABQ7" s="35"/>
      <c r="ABR7" s="35"/>
      <c r="ABS7" s="35"/>
      <c r="ABT7" s="35"/>
      <c r="ABU7" s="35"/>
      <c r="ABV7" s="35"/>
      <c r="ABW7" s="35"/>
      <c r="ABX7" s="35"/>
      <c r="ABY7" s="35"/>
      <c r="ABZ7" s="35"/>
      <c r="ACA7" s="35"/>
      <c r="ACB7" s="35"/>
      <c r="ACC7" s="35"/>
      <c r="ACD7" s="35"/>
      <c r="ACE7" s="35"/>
      <c r="ACF7" s="35"/>
      <c r="ACG7" s="35"/>
      <c r="ACH7" s="35"/>
      <c r="ACI7" s="35"/>
      <c r="ACJ7" s="35"/>
      <c r="ACK7" s="35"/>
      <c r="ACL7" s="35"/>
      <c r="ACM7" s="35"/>
      <c r="ACN7" s="35"/>
      <c r="ACO7" s="35"/>
      <c r="ACP7" s="35"/>
      <c r="ACQ7" s="35"/>
      <c r="ACR7" s="35"/>
      <c r="ACS7" s="35"/>
      <c r="ACT7" s="35"/>
      <c r="ACU7" s="35"/>
      <c r="ACV7" s="35"/>
      <c r="ACW7" s="35"/>
      <c r="ACX7" s="35"/>
      <c r="ACY7" s="35"/>
      <c r="ACZ7" s="35"/>
      <c r="ADA7" s="35"/>
      <c r="ADB7" s="35"/>
      <c r="ADC7" s="35"/>
      <c r="ADD7" s="35"/>
      <c r="ADE7" s="35"/>
      <c r="ADF7" s="35"/>
      <c r="ADG7" s="35"/>
      <c r="ADH7" s="35"/>
      <c r="ADI7" s="35"/>
      <c r="ADJ7" s="35"/>
      <c r="ADK7" s="35"/>
      <c r="ADL7" s="35"/>
      <c r="ADM7" s="35"/>
      <c r="ADN7" s="35"/>
      <c r="ADO7" s="35"/>
      <c r="ADP7" s="35"/>
      <c r="ADQ7" s="35"/>
      <c r="ADR7" s="35"/>
      <c r="ADS7" s="35"/>
      <c r="ADT7" s="35"/>
      <c r="ADU7" s="35"/>
      <c r="ADV7" s="35"/>
      <c r="ADW7" s="35"/>
      <c r="ADX7" s="35"/>
      <c r="ADY7" s="35"/>
      <c r="ADZ7" s="35"/>
      <c r="AEA7" s="35"/>
      <c r="AEB7" s="35"/>
      <c r="AEC7" s="35"/>
      <c r="AED7" s="35"/>
      <c r="AEE7" s="35"/>
      <c r="AEF7" s="35"/>
      <c r="AEG7" s="35"/>
      <c r="AEH7" s="35"/>
      <c r="AEI7" s="35"/>
      <c r="AEJ7" s="35"/>
      <c r="AEK7" s="35"/>
      <c r="AEL7" s="35"/>
      <c r="AEM7" s="35"/>
      <c r="AEN7" s="35"/>
      <c r="AEO7" s="35"/>
      <c r="AEP7" s="35"/>
      <c r="AEQ7" s="35"/>
      <c r="AER7" s="35"/>
      <c r="AES7" s="35"/>
      <c r="AET7" s="35"/>
      <c r="AEU7" s="35"/>
      <c r="AEV7" s="35"/>
      <c r="AEW7" s="35"/>
      <c r="AEX7" s="35"/>
      <c r="AEY7" s="35"/>
      <c r="AEZ7" s="35"/>
      <c r="AFA7" s="35"/>
      <c r="AFB7" s="35"/>
      <c r="AFC7" s="35"/>
      <c r="AFD7" s="35"/>
      <c r="AFE7" s="35"/>
      <c r="AFF7" s="35"/>
      <c r="AFG7" s="35"/>
      <c r="AFH7" s="35"/>
      <c r="AFI7" s="35"/>
      <c r="AFJ7" s="35"/>
      <c r="AFK7" s="35"/>
      <c r="AFL7" s="35"/>
      <c r="AFM7" s="35"/>
      <c r="AFN7" s="35"/>
      <c r="AFO7" s="35"/>
      <c r="AFP7" s="35"/>
      <c r="AFQ7" s="35"/>
      <c r="AFR7" s="35"/>
      <c r="AFS7" s="35"/>
      <c r="AFT7" s="35"/>
      <c r="AFU7" s="35"/>
      <c r="AFV7" s="35"/>
      <c r="AFW7" s="35"/>
      <c r="AFX7" s="35"/>
      <c r="AFY7" s="35"/>
      <c r="AFZ7" s="35"/>
      <c r="AGA7" s="35"/>
      <c r="AGB7" s="35"/>
      <c r="AGC7" s="35"/>
      <c r="AGD7" s="35"/>
      <c r="AGE7" s="35"/>
      <c r="AGF7" s="35"/>
      <c r="AGG7" s="35"/>
      <c r="AGH7" s="35"/>
      <c r="AGI7" s="35"/>
      <c r="AGJ7" s="35"/>
      <c r="AGK7" s="35"/>
      <c r="AGL7" s="35"/>
      <c r="AGM7" s="35"/>
      <c r="AGN7" s="35"/>
      <c r="AGO7" s="35"/>
      <c r="AGP7" s="35"/>
      <c r="AGQ7" s="35"/>
      <c r="AGR7" s="35"/>
      <c r="AGS7" s="35"/>
      <c r="AGT7" s="35"/>
      <c r="AGU7" s="35"/>
      <c r="AGV7" s="35"/>
      <c r="AGW7" s="35"/>
      <c r="AGX7" s="35"/>
      <c r="AGY7" s="35"/>
      <c r="AGZ7" s="35"/>
      <c r="AHA7" s="35"/>
      <c r="AHB7" s="35"/>
      <c r="AHC7" s="35"/>
      <c r="AHD7" s="35"/>
      <c r="AHE7" s="35"/>
      <c r="AHF7" s="35"/>
      <c r="AHG7" s="35"/>
      <c r="AHH7" s="35"/>
      <c r="AHI7" s="35"/>
      <c r="AHJ7" s="35"/>
      <c r="AHK7" s="35"/>
      <c r="AHL7" s="35"/>
      <c r="AHM7" s="35"/>
      <c r="AHN7" s="35"/>
      <c r="AHO7" s="35"/>
      <c r="AHP7" s="35"/>
      <c r="AHQ7" s="35"/>
      <c r="AHR7" s="35"/>
      <c r="AHS7" s="35"/>
      <c r="AHT7" s="35"/>
      <c r="AHU7" s="35"/>
      <c r="AHV7" s="35"/>
      <c r="AHW7" s="35"/>
      <c r="AHX7" s="35"/>
      <c r="AHY7" s="35"/>
      <c r="AHZ7" s="35"/>
      <c r="AIA7" s="35"/>
      <c r="AIB7" s="35"/>
      <c r="AIC7" s="35"/>
      <c r="AID7" s="35"/>
      <c r="AIE7" s="35"/>
      <c r="AIF7" s="35"/>
      <c r="AIG7" s="35"/>
      <c r="AIH7" s="35"/>
      <c r="AII7" s="35"/>
      <c r="AIJ7" s="35"/>
      <c r="AIK7" s="35"/>
      <c r="AIL7" s="35"/>
      <c r="AIM7" s="35"/>
      <c r="AIN7" s="35"/>
      <c r="AIO7" s="35"/>
      <c r="AIP7" s="35"/>
      <c r="AIQ7" s="35"/>
      <c r="AIR7" s="35"/>
      <c r="AIS7" s="35"/>
      <c r="AIT7" s="35"/>
      <c r="AIU7" s="35"/>
      <c r="AIV7" s="35"/>
      <c r="AIW7" s="35"/>
      <c r="AIX7" s="35"/>
      <c r="AIY7" s="35"/>
      <c r="AIZ7" s="35"/>
      <c r="AJA7" s="35"/>
      <c r="AJB7" s="35"/>
      <c r="AJC7" s="35"/>
      <c r="AJD7" s="35"/>
      <c r="AJE7" s="35"/>
      <c r="AJF7" s="35"/>
      <c r="AJG7" s="35"/>
      <c r="AJH7" s="35"/>
      <c r="AJI7" s="35"/>
      <c r="AJJ7" s="35"/>
      <c r="AJK7" s="35"/>
      <c r="AJL7" s="35"/>
      <c r="AJM7" s="35"/>
      <c r="AJN7" s="35"/>
      <c r="AJO7" s="35"/>
      <c r="AJP7" s="35"/>
      <c r="AJQ7" s="35"/>
      <c r="AJR7" s="35"/>
      <c r="AJS7" s="35"/>
      <c r="AJT7" s="35"/>
      <c r="AJU7" s="35"/>
      <c r="AJV7" s="35"/>
      <c r="AJW7" s="35"/>
      <c r="AJX7" s="35"/>
      <c r="AJY7" s="35"/>
      <c r="AJZ7" s="35"/>
      <c r="AKA7" s="35"/>
      <c r="AKB7" s="35"/>
      <c r="AKC7" s="35"/>
      <c r="AKD7" s="35"/>
      <c r="AKE7" s="35"/>
      <c r="AKF7" s="35"/>
      <c r="AKG7" s="35"/>
      <c r="AKH7" s="35"/>
      <c r="AKI7" s="35"/>
      <c r="AKJ7" s="35"/>
      <c r="AKK7" s="35"/>
      <c r="AKL7" s="35"/>
      <c r="AKM7" s="35"/>
      <c r="AKN7" s="35"/>
      <c r="AKO7" s="35"/>
      <c r="AKP7" s="35"/>
      <c r="AKQ7" s="35"/>
      <c r="AKR7" s="35"/>
      <c r="AKS7" s="35"/>
      <c r="AKT7" s="35"/>
      <c r="AKU7" s="35"/>
      <c r="AKV7" s="35"/>
      <c r="AKW7" s="35"/>
      <c r="AKX7" s="35"/>
      <c r="AKY7" s="35"/>
      <c r="AKZ7" s="35"/>
      <c r="ALA7" s="35"/>
      <c r="ALB7" s="35"/>
      <c r="ALC7" s="35"/>
      <c r="ALD7" s="35"/>
      <c r="ALE7" s="35"/>
      <c r="ALF7" s="35"/>
      <c r="ALG7" s="35"/>
      <c r="ALH7" s="35"/>
      <c r="ALI7" s="35"/>
      <c r="ALJ7" s="35"/>
      <c r="ALK7" s="35"/>
      <c r="ALL7" s="35"/>
      <c r="ALM7" s="35"/>
      <c r="ALN7" s="35"/>
      <c r="ALO7" s="35"/>
      <c r="ALP7" s="35"/>
      <c r="ALQ7" s="35"/>
      <c r="ALR7" s="35"/>
      <c r="ALS7" s="35"/>
      <c r="ALT7" s="35"/>
      <c r="ALU7" s="35"/>
      <c r="ALV7" s="35"/>
      <c r="ALW7" s="35"/>
      <c r="ALX7" s="35"/>
      <c r="ALY7" s="35"/>
      <c r="ALZ7" s="35"/>
      <c r="AMA7" s="35"/>
      <c r="AMB7" s="1"/>
    </row>
    <row r="8" customFormat="false" ht="12.8" hidden="true" customHeight="true" outlineLevel="1" collapsed="false">
      <c r="A8" s="40"/>
      <c r="B8" s="40"/>
      <c r="C8" s="40"/>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63"/>
      <c r="AI8" s="40"/>
      <c r="AJ8" s="40"/>
      <c r="AK8" s="40" t="s">
        <v>571</v>
      </c>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c r="BW8" s="40"/>
      <c r="BX8" s="40"/>
      <c r="BY8" s="40"/>
      <c r="BZ8" s="40"/>
      <c r="CA8" s="40"/>
      <c r="CB8" s="40"/>
      <c r="CC8" s="40"/>
      <c r="CD8" s="40"/>
      <c r="CE8" s="40"/>
      <c r="CF8" s="40"/>
      <c r="CG8" s="40"/>
      <c r="CH8" s="40"/>
      <c r="CI8" s="40"/>
      <c r="CJ8" s="40"/>
      <c r="CK8" s="40"/>
      <c r="CL8" s="40"/>
      <c r="CM8" s="40"/>
      <c r="CN8" s="40"/>
      <c r="CO8" s="40"/>
      <c r="CP8" s="40"/>
      <c r="CQ8" s="40"/>
      <c r="CR8" s="40"/>
      <c r="CS8" s="40"/>
      <c r="CT8" s="40"/>
      <c r="CU8" s="40"/>
      <c r="CV8" s="40"/>
      <c r="CW8" s="40"/>
      <c r="CX8" s="40"/>
      <c r="CY8" s="40"/>
      <c r="CZ8" s="40"/>
      <c r="DA8" s="40"/>
      <c r="DB8" s="40"/>
      <c r="DC8" s="40"/>
      <c r="DD8" s="40"/>
      <c r="DE8" s="40"/>
      <c r="DF8" s="40"/>
      <c r="DG8" s="40"/>
      <c r="DH8" s="40"/>
      <c r="DI8" s="40"/>
      <c r="DJ8" s="40"/>
      <c r="DK8" s="40"/>
      <c r="DL8" s="40"/>
      <c r="DM8" s="40"/>
      <c r="DN8" s="40"/>
      <c r="DO8" s="40"/>
      <c r="DP8" s="40"/>
      <c r="DQ8" s="40"/>
      <c r="DR8" s="40"/>
      <c r="DS8" s="40"/>
      <c r="DT8" s="40"/>
      <c r="DU8" s="40"/>
      <c r="DV8" s="40"/>
      <c r="DW8" s="40"/>
      <c r="DX8" s="40"/>
      <c r="DY8" s="40"/>
      <c r="DZ8" s="40" t="s">
        <v>364</v>
      </c>
      <c r="EA8" s="35"/>
      <c r="EB8" s="81"/>
      <c r="EC8" s="35"/>
      <c r="ED8" s="35"/>
      <c r="EE8" s="35"/>
      <c r="EF8" s="35"/>
      <c r="EG8" s="35"/>
      <c r="EH8" s="35"/>
      <c r="EI8" s="35"/>
      <c r="EJ8" s="35"/>
      <c r="EK8" s="35"/>
      <c r="EL8" s="35"/>
      <c r="EM8" s="35"/>
      <c r="EN8" s="35"/>
      <c r="EO8" s="35"/>
      <c r="EP8" s="35"/>
      <c r="EQ8" s="35"/>
      <c r="ER8" s="35"/>
      <c r="ES8" s="35"/>
      <c r="ET8" s="35"/>
      <c r="EU8" s="35"/>
      <c r="EV8" s="35"/>
      <c r="EW8" s="35"/>
      <c r="EX8" s="35"/>
      <c r="EY8" s="35"/>
      <c r="EZ8" s="35"/>
      <c r="FA8" s="35"/>
      <c r="FB8" s="35"/>
      <c r="FC8" s="35"/>
      <c r="FD8" s="35"/>
      <c r="FE8" s="35"/>
      <c r="FF8" s="35"/>
      <c r="FG8" s="35"/>
      <c r="FH8" s="35"/>
      <c r="FI8" s="35"/>
      <c r="FJ8" s="35"/>
      <c r="FK8" s="35"/>
      <c r="FL8" s="35"/>
      <c r="FM8" s="35"/>
      <c r="FN8" s="35"/>
      <c r="FO8" s="35"/>
      <c r="FP8" s="35"/>
      <c r="FQ8" s="35"/>
      <c r="FR8" s="35"/>
      <c r="FS8" s="35"/>
      <c r="FT8" s="35"/>
      <c r="FU8" s="35"/>
      <c r="FV8" s="35"/>
      <c r="FW8" s="35"/>
      <c r="FX8" s="35"/>
      <c r="FY8" s="35"/>
      <c r="FZ8" s="35"/>
      <c r="GA8" s="35"/>
      <c r="GB8" s="35"/>
      <c r="GC8" s="35"/>
      <c r="GD8" s="35"/>
      <c r="GE8" s="35"/>
      <c r="GF8" s="35"/>
      <c r="GG8" s="35"/>
      <c r="GH8" s="35"/>
      <c r="GI8" s="35"/>
      <c r="GJ8" s="35"/>
      <c r="GK8" s="35"/>
      <c r="GL8" s="35"/>
      <c r="GM8" s="35"/>
      <c r="GN8" s="35"/>
      <c r="GO8" s="35"/>
      <c r="GP8" s="35"/>
      <c r="GQ8" s="35"/>
      <c r="GR8" s="35"/>
      <c r="GS8" s="35"/>
      <c r="GT8" s="35"/>
      <c r="GU8" s="35"/>
      <c r="GV8" s="35"/>
      <c r="GW8" s="35"/>
      <c r="GX8" s="35"/>
      <c r="GY8" s="35"/>
      <c r="GZ8" s="35"/>
      <c r="HA8" s="35"/>
      <c r="HB8" s="35"/>
      <c r="HC8" s="35"/>
      <c r="HD8" s="35"/>
      <c r="HE8" s="35"/>
      <c r="HF8" s="35"/>
      <c r="HG8" s="35"/>
      <c r="HH8" s="35"/>
      <c r="HI8" s="35"/>
      <c r="HJ8" s="35"/>
      <c r="HK8" s="35"/>
      <c r="HL8" s="35"/>
      <c r="HM8" s="35"/>
      <c r="HN8" s="35"/>
      <c r="HO8" s="35"/>
      <c r="HP8" s="35"/>
      <c r="HQ8" s="35"/>
      <c r="HR8" s="35"/>
      <c r="HS8" s="35"/>
      <c r="HT8" s="35"/>
      <c r="HU8" s="35"/>
      <c r="HV8" s="35"/>
      <c r="HW8" s="35"/>
      <c r="HX8" s="35"/>
      <c r="HY8" s="35"/>
      <c r="HZ8" s="35"/>
      <c r="IA8" s="35"/>
      <c r="IB8" s="35"/>
      <c r="IC8" s="35"/>
      <c r="ID8" s="35"/>
      <c r="IE8" s="35"/>
      <c r="IF8" s="35"/>
      <c r="IG8" s="35"/>
      <c r="IH8" s="35"/>
      <c r="II8" s="35"/>
      <c r="IJ8" s="35"/>
      <c r="IK8" s="35"/>
      <c r="IL8" s="35"/>
      <c r="IM8" s="35"/>
      <c r="IN8" s="35"/>
      <c r="IO8" s="35"/>
      <c r="IP8" s="35"/>
      <c r="IQ8" s="35"/>
      <c r="IR8" s="35"/>
      <c r="IS8" s="35"/>
      <c r="IT8" s="35"/>
      <c r="IU8" s="35"/>
      <c r="IV8" s="35"/>
      <c r="IW8" s="35"/>
      <c r="IX8" s="35"/>
      <c r="IY8" s="35"/>
      <c r="IZ8" s="35"/>
      <c r="JA8" s="35"/>
      <c r="JB8" s="35"/>
      <c r="JC8" s="35"/>
      <c r="JD8" s="35"/>
      <c r="JE8" s="35"/>
      <c r="JF8" s="35"/>
      <c r="JG8" s="35"/>
      <c r="JH8" s="35"/>
      <c r="JI8" s="35"/>
      <c r="JJ8" s="35"/>
      <c r="JK8" s="35"/>
      <c r="JL8" s="35"/>
      <c r="JM8" s="35"/>
      <c r="JN8" s="35"/>
      <c r="JO8" s="35"/>
      <c r="JP8" s="35"/>
      <c r="JQ8" s="35"/>
      <c r="JR8" s="35"/>
      <c r="JS8" s="35"/>
      <c r="JT8" s="35"/>
      <c r="JU8" s="35"/>
      <c r="JV8" s="35"/>
      <c r="JW8" s="35"/>
      <c r="JX8" s="35"/>
      <c r="JY8" s="35"/>
      <c r="JZ8" s="35"/>
      <c r="KA8" s="35"/>
      <c r="KB8" s="35"/>
      <c r="KC8" s="35"/>
      <c r="KD8" s="35"/>
      <c r="KE8" s="35"/>
      <c r="KF8" s="35"/>
      <c r="KG8" s="35"/>
      <c r="KH8" s="35"/>
      <c r="KI8" s="35"/>
      <c r="KJ8" s="35"/>
      <c r="KK8" s="35"/>
      <c r="KL8" s="35"/>
      <c r="KM8" s="35"/>
      <c r="KN8" s="35"/>
      <c r="KO8" s="35"/>
      <c r="KP8" s="35"/>
      <c r="KQ8" s="35"/>
      <c r="KR8" s="35"/>
      <c r="KS8" s="35"/>
      <c r="KT8" s="35"/>
      <c r="KU8" s="35"/>
      <c r="KV8" s="35"/>
      <c r="KW8" s="35"/>
      <c r="KX8" s="35"/>
      <c r="KY8" s="35"/>
      <c r="KZ8" s="35"/>
      <c r="LA8" s="35"/>
      <c r="LB8" s="35"/>
      <c r="LC8" s="35"/>
      <c r="LD8" s="35"/>
      <c r="LE8" s="35"/>
      <c r="LF8" s="35"/>
      <c r="LG8" s="35"/>
      <c r="LH8" s="35"/>
      <c r="LI8" s="35"/>
      <c r="LJ8" s="35"/>
      <c r="LK8" s="35"/>
      <c r="LL8" s="35"/>
      <c r="LM8" s="35"/>
      <c r="LN8" s="35"/>
      <c r="LO8" s="35"/>
      <c r="LP8" s="35"/>
      <c r="LQ8" s="35"/>
      <c r="LR8" s="35"/>
      <c r="LS8" s="35"/>
      <c r="LT8" s="35"/>
      <c r="LU8" s="35"/>
      <c r="LV8" s="35"/>
      <c r="LW8" s="35"/>
      <c r="LX8" s="35"/>
      <c r="LY8" s="35"/>
      <c r="LZ8" s="35"/>
      <c r="MA8" s="35"/>
      <c r="MB8" s="35"/>
      <c r="MC8" s="35"/>
      <c r="MD8" s="35"/>
      <c r="ME8" s="35"/>
      <c r="MF8" s="35"/>
      <c r="MG8" s="35"/>
      <c r="MH8" s="35"/>
      <c r="MI8" s="35"/>
      <c r="MJ8" s="35"/>
      <c r="MK8" s="35"/>
      <c r="ML8" s="35"/>
      <c r="MM8" s="35"/>
      <c r="MN8" s="35"/>
      <c r="MO8" s="35"/>
      <c r="MP8" s="35"/>
      <c r="MQ8" s="35"/>
      <c r="MR8" s="35"/>
      <c r="MS8" s="35"/>
      <c r="MT8" s="35"/>
      <c r="MU8" s="35"/>
      <c r="MV8" s="35"/>
      <c r="MW8" s="35"/>
      <c r="MX8" s="35"/>
      <c r="MY8" s="35"/>
      <c r="MZ8" s="35"/>
      <c r="NA8" s="35"/>
      <c r="NB8" s="35"/>
      <c r="NC8" s="35"/>
      <c r="ND8" s="35"/>
      <c r="NE8" s="35"/>
      <c r="NF8" s="35"/>
      <c r="NG8" s="35"/>
      <c r="NH8" s="35"/>
      <c r="NI8" s="35"/>
      <c r="NJ8" s="35"/>
      <c r="NK8" s="35"/>
      <c r="NL8" s="35"/>
      <c r="NM8" s="35"/>
      <c r="NN8" s="35"/>
      <c r="NO8" s="35"/>
      <c r="NP8" s="35"/>
      <c r="NQ8" s="35"/>
      <c r="NR8" s="35"/>
      <c r="NS8" s="35"/>
      <c r="NT8" s="35"/>
      <c r="NU8" s="35"/>
      <c r="NV8" s="35"/>
      <c r="NW8" s="35"/>
      <c r="NX8" s="35"/>
      <c r="NY8" s="35"/>
      <c r="NZ8" s="35"/>
      <c r="OA8" s="35"/>
      <c r="OB8" s="35"/>
      <c r="OC8" s="35"/>
      <c r="OD8" s="35"/>
      <c r="OE8" s="35"/>
      <c r="OF8" s="35"/>
      <c r="OG8" s="35"/>
      <c r="OH8" s="35"/>
      <c r="OI8" s="35"/>
      <c r="OJ8" s="35"/>
      <c r="OK8" s="35"/>
      <c r="OL8" s="35"/>
      <c r="OM8" s="35"/>
      <c r="ON8" s="35"/>
      <c r="OO8" s="35"/>
      <c r="OP8" s="35"/>
      <c r="OQ8" s="35"/>
      <c r="OR8" s="35"/>
      <c r="OS8" s="35"/>
      <c r="OT8" s="35"/>
      <c r="OU8" s="35"/>
      <c r="OV8" s="35"/>
      <c r="OW8" s="35"/>
      <c r="OX8" s="35"/>
      <c r="OY8" s="35"/>
      <c r="OZ8" s="35"/>
      <c r="PA8" s="35"/>
      <c r="PB8" s="35"/>
      <c r="PC8" s="35"/>
      <c r="PD8" s="35"/>
      <c r="PE8" s="35"/>
      <c r="PF8" s="35"/>
      <c r="PG8" s="35"/>
      <c r="PH8" s="35"/>
      <c r="PI8" s="35"/>
      <c r="PJ8" s="35"/>
      <c r="PK8" s="35"/>
      <c r="PL8" s="35"/>
      <c r="PM8" s="35"/>
      <c r="PN8" s="35"/>
      <c r="PO8" s="35"/>
      <c r="PP8" s="35"/>
      <c r="PQ8" s="35"/>
      <c r="PR8" s="35"/>
      <c r="PS8" s="35"/>
      <c r="PT8" s="35"/>
      <c r="PU8" s="35"/>
      <c r="PV8" s="35"/>
      <c r="PW8" s="35"/>
      <c r="PX8" s="35"/>
      <c r="PY8" s="35"/>
      <c r="PZ8" s="35"/>
      <c r="QA8" s="35"/>
      <c r="QB8" s="35"/>
      <c r="QC8" s="35"/>
      <c r="QD8" s="35"/>
      <c r="QE8" s="35"/>
      <c r="QF8" s="35"/>
      <c r="QG8" s="35"/>
      <c r="QH8" s="35"/>
      <c r="QI8" s="35"/>
      <c r="QJ8" s="35"/>
      <c r="QK8" s="35"/>
      <c r="QL8" s="35"/>
      <c r="QM8" s="35"/>
      <c r="QN8" s="35"/>
      <c r="QO8" s="35"/>
      <c r="QP8" s="35"/>
      <c r="QQ8" s="35"/>
      <c r="QR8" s="35"/>
      <c r="QS8" s="35"/>
      <c r="QT8" s="35"/>
      <c r="QU8" s="35"/>
      <c r="QV8" s="35"/>
      <c r="QW8" s="35"/>
      <c r="QX8" s="35"/>
      <c r="QY8" s="35"/>
      <c r="QZ8" s="35"/>
      <c r="RA8" s="35"/>
      <c r="RB8" s="35"/>
      <c r="RC8" s="35"/>
      <c r="RD8" s="35"/>
      <c r="RE8" s="35"/>
      <c r="RF8" s="35"/>
      <c r="RG8" s="35"/>
      <c r="RH8" s="35"/>
      <c r="RI8" s="35"/>
      <c r="RJ8" s="35"/>
      <c r="RK8" s="35"/>
      <c r="RL8" s="35"/>
      <c r="RM8" s="35"/>
      <c r="RN8" s="35"/>
      <c r="RO8" s="35"/>
      <c r="RP8" s="35"/>
      <c r="RQ8" s="35"/>
      <c r="RR8" s="35"/>
      <c r="RS8" s="35"/>
      <c r="RT8" s="35"/>
      <c r="RU8" s="35"/>
      <c r="RV8" s="35"/>
      <c r="RW8" s="35"/>
      <c r="RX8" s="35"/>
      <c r="RY8" s="35"/>
      <c r="RZ8" s="35"/>
      <c r="SA8" s="35"/>
      <c r="SB8" s="35"/>
      <c r="SC8" s="35"/>
      <c r="SD8" s="35"/>
      <c r="SE8" s="35"/>
      <c r="SF8" s="35"/>
      <c r="SG8" s="35"/>
      <c r="SH8" s="35"/>
      <c r="SI8" s="35"/>
      <c r="SJ8" s="35"/>
      <c r="SK8" s="35"/>
      <c r="SL8" s="35"/>
      <c r="SM8" s="35"/>
      <c r="SN8" s="35"/>
      <c r="SO8" s="35"/>
      <c r="SP8" s="35"/>
      <c r="SQ8" s="35"/>
      <c r="SR8" s="35"/>
      <c r="SS8" s="35"/>
      <c r="ST8" s="35"/>
      <c r="SU8" s="35"/>
      <c r="SV8" s="35"/>
      <c r="SW8" s="35"/>
      <c r="SX8" s="35"/>
      <c r="SY8" s="35"/>
      <c r="SZ8" s="35"/>
      <c r="TA8" s="35"/>
      <c r="TB8" s="35"/>
      <c r="TC8" s="35"/>
      <c r="TD8" s="35"/>
      <c r="TE8" s="35"/>
      <c r="TF8" s="35"/>
      <c r="TG8" s="35"/>
      <c r="TH8" s="35"/>
      <c r="TI8" s="35"/>
      <c r="TJ8" s="35"/>
      <c r="TK8" s="35"/>
      <c r="TL8" s="35"/>
      <c r="TM8" s="35"/>
      <c r="TN8" s="35"/>
      <c r="TO8" s="35"/>
      <c r="TP8" s="35"/>
      <c r="TQ8" s="35"/>
      <c r="TR8" s="35"/>
      <c r="TS8" s="35"/>
      <c r="TT8" s="35"/>
      <c r="TU8" s="35"/>
      <c r="TV8" s="35"/>
      <c r="TW8" s="35"/>
      <c r="TX8" s="35"/>
      <c r="TY8" s="35"/>
      <c r="TZ8" s="35"/>
      <c r="UA8" s="35"/>
      <c r="UB8" s="35"/>
      <c r="UC8" s="35"/>
      <c r="UD8" s="35"/>
      <c r="UE8" s="35"/>
      <c r="UF8" s="35"/>
      <c r="UG8" s="35"/>
      <c r="UH8" s="35"/>
      <c r="UI8" s="35"/>
      <c r="UJ8" s="35"/>
      <c r="UK8" s="35"/>
      <c r="UL8" s="35"/>
      <c r="UM8" s="35"/>
      <c r="UN8" s="35"/>
      <c r="UO8" s="35"/>
      <c r="UP8" s="35"/>
      <c r="UQ8" s="35"/>
      <c r="UR8" s="35"/>
      <c r="US8" s="35"/>
      <c r="UT8" s="35"/>
      <c r="UU8" s="35"/>
      <c r="UV8" s="35"/>
      <c r="UW8" s="35"/>
      <c r="UX8" s="35"/>
      <c r="UY8" s="35"/>
      <c r="UZ8" s="35"/>
      <c r="VA8" s="35"/>
      <c r="VB8" s="35"/>
      <c r="VC8" s="35"/>
      <c r="VD8" s="35"/>
      <c r="VE8" s="35"/>
      <c r="VF8" s="35"/>
      <c r="VG8" s="35"/>
      <c r="VH8" s="35"/>
      <c r="VI8" s="35"/>
      <c r="VJ8" s="35"/>
      <c r="VK8" s="35"/>
      <c r="VL8" s="35"/>
      <c r="VM8" s="35"/>
      <c r="VN8" s="35"/>
      <c r="VO8" s="35"/>
      <c r="VP8" s="35"/>
      <c r="VQ8" s="35"/>
      <c r="VR8" s="35"/>
      <c r="VS8" s="35"/>
      <c r="VT8" s="35"/>
      <c r="VU8" s="35"/>
      <c r="VV8" s="35"/>
      <c r="VW8" s="35"/>
      <c r="VX8" s="35"/>
      <c r="VY8" s="35"/>
      <c r="VZ8" s="35"/>
      <c r="WA8" s="35"/>
      <c r="WB8" s="35"/>
      <c r="WC8" s="35"/>
      <c r="WD8" s="35"/>
      <c r="WE8" s="35"/>
      <c r="WF8" s="35"/>
      <c r="WG8" s="35"/>
      <c r="WH8" s="35"/>
      <c r="WI8" s="35"/>
      <c r="WJ8" s="35"/>
      <c r="WK8" s="35"/>
      <c r="WL8" s="35"/>
      <c r="WM8" s="35"/>
      <c r="WN8" s="35"/>
      <c r="WO8" s="35"/>
      <c r="WP8" s="35"/>
      <c r="WQ8" s="35"/>
      <c r="WR8" s="35"/>
      <c r="WS8" s="35"/>
      <c r="WT8" s="35"/>
      <c r="WU8" s="35"/>
      <c r="WV8" s="35"/>
      <c r="WW8" s="35"/>
      <c r="WX8" s="35"/>
      <c r="WY8" s="35"/>
      <c r="WZ8" s="35"/>
      <c r="XA8" s="35"/>
      <c r="XB8" s="35"/>
      <c r="XC8" s="35"/>
      <c r="XD8" s="35"/>
      <c r="XE8" s="35"/>
      <c r="XF8" s="35"/>
      <c r="XG8" s="35"/>
      <c r="XH8" s="35"/>
      <c r="XI8" s="35"/>
      <c r="XJ8" s="35"/>
      <c r="XK8" s="35"/>
      <c r="XL8" s="35"/>
      <c r="XM8" s="35"/>
      <c r="XN8" s="35"/>
      <c r="XO8" s="35"/>
      <c r="XP8" s="35"/>
      <c r="XQ8" s="35"/>
      <c r="XR8" s="35"/>
      <c r="XS8" s="35"/>
      <c r="XT8" s="35"/>
      <c r="XU8" s="35"/>
      <c r="XV8" s="35"/>
      <c r="XW8" s="35"/>
      <c r="XX8" s="35"/>
      <c r="XY8" s="35"/>
      <c r="XZ8" s="35"/>
      <c r="YA8" s="35"/>
      <c r="YB8" s="35"/>
      <c r="YC8" s="35"/>
      <c r="YD8" s="35"/>
      <c r="YE8" s="35"/>
      <c r="YF8" s="35"/>
      <c r="YG8" s="35"/>
      <c r="YH8" s="35"/>
      <c r="YI8" s="35"/>
      <c r="YJ8" s="35"/>
      <c r="YK8" s="35"/>
      <c r="YL8" s="35"/>
      <c r="YM8" s="35"/>
      <c r="YN8" s="35"/>
      <c r="YO8" s="35"/>
      <c r="YP8" s="35"/>
      <c r="YQ8" s="35"/>
      <c r="YR8" s="35"/>
      <c r="YS8" s="35"/>
      <c r="YT8" s="35"/>
      <c r="YU8" s="35"/>
      <c r="YV8" s="35"/>
      <c r="YW8" s="35"/>
      <c r="YX8" s="35"/>
      <c r="YY8" s="35"/>
      <c r="YZ8" s="35"/>
      <c r="ZA8" s="35"/>
      <c r="ZB8" s="35"/>
      <c r="ZC8" s="35"/>
      <c r="ZD8" s="35"/>
      <c r="ZE8" s="35"/>
      <c r="ZF8" s="35"/>
      <c r="ZG8" s="35"/>
      <c r="ZH8" s="35"/>
      <c r="ZI8" s="35"/>
      <c r="ZJ8" s="35"/>
      <c r="ZK8" s="35"/>
      <c r="ZL8" s="35"/>
      <c r="ZM8" s="35"/>
      <c r="ZN8" s="35"/>
      <c r="ZO8" s="35"/>
      <c r="ZP8" s="35"/>
      <c r="ZQ8" s="35"/>
      <c r="ZR8" s="35"/>
      <c r="ZS8" s="35"/>
      <c r="ZT8" s="35"/>
      <c r="ZU8" s="35"/>
      <c r="ZV8" s="35"/>
      <c r="ZW8" s="35"/>
      <c r="ZX8" s="35"/>
      <c r="ZY8" s="35"/>
      <c r="ZZ8" s="35"/>
      <c r="AAA8" s="35"/>
      <c r="AAB8" s="35"/>
      <c r="AAC8" s="35"/>
      <c r="AAD8" s="35"/>
      <c r="AAE8" s="35"/>
      <c r="AAF8" s="35"/>
      <c r="AAG8" s="35"/>
      <c r="AAH8" s="35"/>
      <c r="AAI8" s="35"/>
      <c r="AAJ8" s="35"/>
      <c r="AAK8" s="35"/>
      <c r="AAL8" s="35"/>
      <c r="AAM8" s="35"/>
      <c r="AAN8" s="35"/>
      <c r="AAO8" s="35"/>
      <c r="AAP8" s="35"/>
      <c r="AAQ8" s="35"/>
      <c r="AAR8" s="35"/>
      <c r="AAS8" s="35"/>
      <c r="AAT8" s="35"/>
      <c r="AAU8" s="35"/>
      <c r="AAV8" s="35"/>
      <c r="AAW8" s="35"/>
      <c r="AAX8" s="35"/>
      <c r="AAY8" s="35"/>
      <c r="AAZ8" s="35"/>
      <c r="ABA8" s="35"/>
      <c r="ABB8" s="35"/>
      <c r="ABC8" s="35"/>
      <c r="ABD8" s="35"/>
      <c r="ABE8" s="35"/>
      <c r="ABF8" s="35"/>
      <c r="ABG8" s="35"/>
      <c r="ABH8" s="35"/>
      <c r="ABI8" s="35"/>
      <c r="ABJ8" s="35"/>
      <c r="ABK8" s="35"/>
      <c r="ABL8" s="35"/>
      <c r="ABM8" s="35"/>
      <c r="ABN8" s="35"/>
      <c r="ABO8" s="35"/>
      <c r="ABP8" s="35"/>
      <c r="ABQ8" s="35"/>
      <c r="ABR8" s="35"/>
      <c r="ABS8" s="35"/>
      <c r="ABT8" s="35"/>
      <c r="ABU8" s="35"/>
      <c r="ABV8" s="35"/>
      <c r="ABW8" s="35"/>
      <c r="ABX8" s="35"/>
      <c r="ABY8" s="35"/>
      <c r="ABZ8" s="35"/>
      <c r="ACA8" s="35"/>
      <c r="ACB8" s="35"/>
      <c r="ACC8" s="35"/>
      <c r="ACD8" s="35"/>
      <c r="ACE8" s="35"/>
      <c r="ACF8" s="35"/>
      <c r="ACG8" s="35"/>
      <c r="ACH8" s="35"/>
      <c r="ACI8" s="35"/>
      <c r="ACJ8" s="35"/>
      <c r="ACK8" s="35"/>
      <c r="ACL8" s="35"/>
      <c r="ACM8" s="35"/>
      <c r="ACN8" s="35"/>
      <c r="ACO8" s="35"/>
      <c r="ACP8" s="35"/>
      <c r="ACQ8" s="35"/>
      <c r="ACR8" s="35"/>
      <c r="ACS8" s="35"/>
      <c r="ACT8" s="35"/>
      <c r="ACU8" s="35"/>
      <c r="ACV8" s="35"/>
      <c r="ACW8" s="35"/>
      <c r="ACX8" s="35"/>
      <c r="ACY8" s="35"/>
      <c r="ACZ8" s="35"/>
      <c r="ADA8" s="35"/>
      <c r="ADB8" s="35"/>
      <c r="ADC8" s="35"/>
      <c r="ADD8" s="35"/>
      <c r="ADE8" s="35"/>
      <c r="ADF8" s="35"/>
      <c r="ADG8" s="35"/>
      <c r="ADH8" s="35"/>
      <c r="ADI8" s="35"/>
      <c r="ADJ8" s="35"/>
      <c r="ADK8" s="35"/>
      <c r="ADL8" s="35"/>
      <c r="ADM8" s="35"/>
      <c r="ADN8" s="35"/>
      <c r="ADO8" s="35"/>
      <c r="ADP8" s="35"/>
      <c r="ADQ8" s="35"/>
      <c r="ADR8" s="35"/>
      <c r="ADS8" s="35"/>
      <c r="ADT8" s="35"/>
      <c r="ADU8" s="35"/>
      <c r="ADV8" s="35"/>
      <c r="ADW8" s="35"/>
      <c r="ADX8" s="35"/>
      <c r="ADY8" s="35"/>
      <c r="ADZ8" s="35"/>
      <c r="AEA8" s="35"/>
      <c r="AEB8" s="35"/>
      <c r="AEC8" s="35"/>
      <c r="AED8" s="35"/>
      <c r="AEE8" s="35"/>
      <c r="AEF8" s="35"/>
      <c r="AEG8" s="35"/>
      <c r="AEH8" s="35"/>
      <c r="AEI8" s="35"/>
      <c r="AEJ8" s="35"/>
      <c r="AEK8" s="35"/>
      <c r="AEL8" s="35"/>
      <c r="AEM8" s="35"/>
      <c r="AEN8" s="35"/>
      <c r="AEO8" s="35"/>
      <c r="AEP8" s="35"/>
      <c r="AEQ8" s="35"/>
      <c r="AER8" s="35"/>
      <c r="AES8" s="35"/>
      <c r="AET8" s="35"/>
      <c r="AEU8" s="35"/>
      <c r="AEV8" s="35"/>
      <c r="AEW8" s="35"/>
      <c r="AEX8" s="35"/>
      <c r="AEY8" s="35"/>
      <c r="AEZ8" s="35"/>
      <c r="AFA8" s="35"/>
      <c r="AFB8" s="35"/>
      <c r="AFC8" s="35"/>
      <c r="AFD8" s="35"/>
      <c r="AFE8" s="35"/>
      <c r="AFF8" s="35"/>
      <c r="AFG8" s="35"/>
      <c r="AFH8" s="35"/>
      <c r="AFI8" s="35"/>
      <c r="AFJ8" s="35"/>
      <c r="AFK8" s="35"/>
      <c r="AFL8" s="35"/>
      <c r="AFM8" s="35"/>
      <c r="AFN8" s="35"/>
      <c r="AFO8" s="35"/>
      <c r="AFP8" s="35"/>
      <c r="AFQ8" s="35"/>
      <c r="AFR8" s="35"/>
      <c r="AFS8" s="35"/>
      <c r="AFT8" s="35"/>
      <c r="AFU8" s="35"/>
      <c r="AFV8" s="35"/>
      <c r="AFW8" s="35"/>
      <c r="AFX8" s="35"/>
      <c r="AFY8" s="35"/>
      <c r="AFZ8" s="35"/>
      <c r="AGA8" s="35"/>
      <c r="AGB8" s="35"/>
      <c r="AGC8" s="35"/>
      <c r="AGD8" s="35"/>
      <c r="AGE8" s="35"/>
      <c r="AGF8" s="35"/>
      <c r="AGG8" s="35"/>
      <c r="AGH8" s="35"/>
      <c r="AGI8" s="35"/>
      <c r="AGJ8" s="35"/>
      <c r="AGK8" s="35"/>
      <c r="AGL8" s="35"/>
      <c r="AGM8" s="35"/>
      <c r="AGN8" s="35"/>
      <c r="AGO8" s="35"/>
      <c r="AGP8" s="35"/>
      <c r="AGQ8" s="35"/>
      <c r="AGR8" s="35"/>
      <c r="AGS8" s="35"/>
      <c r="AGT8" s="35"/>
      <c r="AGU8" s="35"/>
      <c r="AGV8" s="35"/>
      <c r="AGW8" s="35"/>
      <c r="AGX8" s="35"/>
      <c r="AGY8" s="35"/>
      <c r="AGZ8" s="35"/>
      <c r="AHA8" s="35"/>
      <c r="AHB8" s="35"/>
      <c r="AHC8" s="35"/>
      <c r="AHD8" s="35"/>
      <c r="AHE8" s="35"/>
      <c r="AHF8" s="35"/>
      <c r="AHG8" s="35"/>
      <c r="AHH8" s="35"/>
      <c r="AHI8" s="35"/>
      <c r="AHJ8" s="35"/>
      <c r="AHK8" s="35"/>
      <c r="AHL8" s="35"/>
      <c r="AHM8" s="35"/>
      <c r="AHN8" s="35"/>
      <c r="AHO8" s="35"/>
      <c r="AHP8" s="35"/>
      <c r="AHQ8" s="35"/>
      <c r="AHR8" s="35"/>
      <c r="AHS8" s="35"/>
      <c r="AHT8" s="35"/>
      <c r="AHU8" s="35"/>
      <c r="AHV8" s="35"/>
      <c r="AHW8" s="35"/>
      <c r="AHX8" s="35"/>
      <c r="AHY8" s="35"/>
      <c r="AHZ8" s="35"/>
      <c r="AIA8" s="35"/>
      <c r="AIB8" s="35"/>
      <c r="AIC8" s="35"/>
      <c r="AID8" s="35"/>
      <c r="AIE8" s="35"/>
      <c r="AIF8" s="35"/>
      <c r="AIG8" s="35"/>
      <c r="AIH8" s="35"/>
      <c r="AII8" s="35"/>
      <c r="AIJ8" s="35"/>
      <c r="AIK8" s="35"/>
      <c r="AIL8" s="35"/>
      <c r="AIM8" s="35"/>
      <c r="AIN8" s="35"/>
      <c r="AIO8" s="35"/>
      <c r="AIP8" s="35"/>
      <c r="AIQ8" s="35"/>
      <c r="AIR8" s="35"/>
      <c r="AIS8" s="35"/>
      <c r="AIT8" s="35"/>
      <c r="AIU8" s="35"/>
      <c r="AIV8" s="35"/>
      <c r="AIW8" s="35"/>
      <c r="AIX8" s="35"/>
      <c r="AIY8" s="35"/>
      <c r="AIZ8" s="35"/>
      <c r="AJA8" s="35"/>
      <c r="AJB8" s="35"/>
      <c r="AJC8" s="35"/>
      <c r="AJD8" s="35"/>
      <c r="AJE8" s="35"/>
      <c r="AJF8" s="35"/>
      <c r="AJG8" s="35"/>
      <c r="AJH8" s="35"/>
      <c r="AJI8" s="35"/>
      <c r="AJJ8" s="35"/>
      <c r="AJK8" s="35"/>
      <c r="AJL8" s="35"/>
      <c r="AJM8" s="35"/>
      <c r="AJN8" s="35"/>
      <c r="AJO8" s="35"/>
      <c r="AJP8" s="35"/>
      <c r="AJQ8" s="35"/>
      <c r="AJR8" s="35"/>
      <c r="AJS8" s="35"/>
      <c r="AJT8" s="35"/>
      <c r="AJU8" s="35"/>
      <c r="AJV8" s="35"/>
      <c r="AJW8" s="35"/>
      <c r="AJX8" s="35"/>
      <c r="AJY8" s="35"/>
      <c r="AJZ8" s="35"/>
      <c r="AKA8" s="35"/>
      <c r="AKB8" s="35"/>
      <c r="AKC8" s="35"/>
      <c r="AKD8" s="35"/>
      <c r="AKE8" s="35"/>
      <c r="AKF8" s="35"/>
      <c r="AKG8" s="35"/>
      <c r="AKH8" s="35"/>
      <c r="AKI8" s="35"/>
      <c r="AKJ8" s="35"/>
      <c r="AKK8" s="35"/>
      <c r="AKL8" s="35"/>
      <c r="AKM8" s="35"/>
      <c r="AKN8" s="35"/>
      <c r="AKO8" s="35"/>
      <c r="AKP8" s="35"/>
      <c r="AKQ8" s="35"/>
      <c r="AKR8" s="35"/>
      <c r="AKS8" s="35"/>
      <c r="AKT8" s="35"/>
      <c r="AKU8" s="35"/>
      <c r="AKV8" s="35"/>
      <c r="AKW8" s="35"/>
      <c r="AKX8" s="35"/>
      <c r="AKY8" s="35"/>
      <c r="AKZ8" s="35"/>
      <c r="ALA8" s="35"/>
      <c r="ALB8" s="35"/>
      <c r="ALC8" s="35"/>
      <c r="ALD8" s="35"/>
      <c r="ALE8" s="35"/>
      <c r="ALF8" s="35"/>
      <c r="ALG8" s="35"/>
      <c r="ALH8" s="35"/>
      <c r="ALI8" s="35"/>
      <c r="ALJ8" s="35"/>
      <c r="ALK8" s="35"/>
      <c r="ALL8" s="35"/>
      <c r="ALM8" s="35"/>
      <c r="ALN8" s="35"/>
      <c r="ALO8" s="35"/>
      <c r="ALP8" s="35"/>
      <c r="ALQ8" s="35"/>
      <c r="ALR8" s="35"/>
      <c r="ALS8" s="35"/>
      <c r="ALT8" s="35"/>
      <c r="ALU8" s="35"/>
      <c r="ALV8" s="35"/>
      <c r="ALW8" s="35"/>
      <c r="ALX8" s="35"/>
      <c r="ALY8" s="35"/>
      <c r="ALZ8" s="35"/>
      <c r="AMA8" s="35"/>
      <c r="AMB8" s="1"/>
    </row>
    <row r="9" customFormat="false" ht="12.8" hidden="true" customHeight="true" outlineLevel="1" collapsed="false">
      <c r="A9" s="40"/>
      <c r="B9" s="40"/>
      <c r="C9" s="40"/>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63"/>
      <c r="AI9" s="40"/>
      <c r="AJ9" s="40"/>
      <c r="AK9" s="40" t="s">
        <v>570</v>
      </c>
      <c r="AL9" s="40"/>
      <c r="AM9" s="40"/>
      <c r="AN9" s="40"/>
      <c r="AO9" s="40"/>
      <c r="AP9" s="40"/>
      <c r="AQ9" s="40"/>
      <c r="AR9" s="40"/>
      <c r="AS9" s="40"/>
      <c r="AT9" s="40"/>
      <c r="AU9" s="40"/>
      <c r="AV9" s="40"/>
      <c r="AW9" s="40"/>
      <c r="AX9" s="40"/>
      <c r="AY9" s="40"/>
      <c r="AZ9" s="40"/>
      <c r="BA9" s="40"/>
      <c r="BB9" s="40"/>
      <c r="BC9" s="40"/>
      <c r="BD9" s="40"/>
      <c r="BE9" s="40"/>
      <c r="BF9" s="40"/>
      <c r="BG9" s="40"/>
      <c r="BH9" s="40"/>
      <c r="BI9" s="40"/>
      <c r="BJ9" s="40"/>
      <c r="BK9" s="40"/>
      <c r="BL9" s="40"/>
      <c r="BM9" s="40"/>
      <c r="BN9" s="40"/>
      <c r="BO9" s="40"/>
      <c r="BP9" s="40"/>
      <c r="BQ9" s="40"/>
      <c r="BR9" s="40"/>
      <c r="BS9" s="40"/>
      <c r="BT9" s="40"/>
      <c r="BU9" s="40"/>
      <c r="BV9" s="40"/>
      <c r="BW9" s="40"/>
      <c r="BX9" s="40"/>
      <c r="BY9" s="40"/>
      <c r="BZ9" s="40"/>
      <c r="CA9" s="40"/>
      <c r="CB9" s="40"/>
      <c r="CC9" s="40"/>
      <c r="CD9" s="40"/>
      <c r="CE9" s="40"/>
      <c r="CF9" s="40"/>
      <c r="CG9" s="40"/>
      <c r="CH9" s="40"/>
      <c r="CI9" s="40"/>
      <c r="CJ9" s="40"/>
      <c r="CK9" s="40"/>
      <c r="CL9" s="40"/>
      <c r="CM9" s="40"/>
      <c r="CN9" s="40"/>
      <c r="CO9" s="40"/>
      <c r="CP9" s="40"/>
      <c r="CQ9" s="40"/>
      <c r="CR9" s="40"/>
      <c r="CS9" s="40"/>
      <c r="CT9" s="40"/>
      <c r="CU9" s="40"/>
      <c r="CV9" s="40"/>
      <c r="CW9" s="40"/>
      <c r="CX9" s="40"/>
      <c r="CY9" s="40"/>
      <c r="CZ9" s="40"/>
      <c r="DA9" s="40"/>
      <c r="DB9" s="40"/>
      <c r="DC9" s="40"/>
      <c r="DD9" s="40"/>
      <c r="DE9" s="40"/>
      <c r="DF9" s="40"/>
      <c r="DG9" s="40"/>
      <c r="DH9" s="40"/>
      <c r="DI9" s="40"/>
      <c r="DJ9" s="40"/>
      <c r="DK9" s="40"/>
      <c r="DL9" s="40"/>
      <c r="DM9" s="40"/>
      <c r="DN9" s="40"/>
      <c r="DO9" s="40"/>
      <c r="DP9" s="40"/>
      <c r="DQ9" s="40"/>
      <c r="DR9" s="40"/>
      <c r="DS9" s="40"/>
      <c r="DT9" s="40"/>
      <c r="DU9" s="40"/>
      <c r="DV9" s="40"/>
      <c r="DW9" s="40"/>
      <c r="DX9" s="40"/>
      <c r="DY9" s="40"/>
      <c r="DZ9" s="40" t="s">
        <v>364</v>
      </c>
      <c r="EA9" s="35"/>
      <c r="EB9" s="81"/>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5"/>
      <c r="GC9" s="35"/>
      <c r="GD9" s="35"/>
      <c r="GE9" s="35"/>
      <c r="GF9" s="35"/>
      <c r="GG9" s="35"/>
      <c r="GH9" s="35"/>
      <c r="GI9" s="35"/>
      <c r="GJ9" s="35"/>
      <c r="GK9" s="35"/>
      <c r="GL9" s="35"/>
      <c r="GM9" s="35"/>
      <c r="GN9" s="35"/>
      <c r="GO9" s="35"/>
      <c r="GP9" s="35"/>
      <c r="GQ9" s="35"/>
      <c r="GR9" s="35"/>
      <c r="GS9" s="35"/>
      <c r="GT9" s="35"/>
      <c r="GU9" s="35"/>
      <c r="GV9" s="35"/>
      <c r="GW9" s="35"/>
      <c r="GX9" s="35"/>
      <c r="GY9" s="35"/>
      <c r="GZ9" s="35"/>
      <c r="HA9" s="35"/>
      <c r="HB9" s="35"/>
      <c r="HC9" s="35"/>
      <c r="HD9" s="35"/>
      <c r="HE9" s="35"/>
      <c r="HF9" s="35"/>
      <c r="HG9" s="35"/>
      <c r="HH9" s="35"/>
      <c r="HI9" s="35"/>
      <c r="HJ9" s="35"/>
      <c r="HK9" s="35"/>
      <c r="HL9" s="35"/>
      <c r="HM9" s="35"/>
      <c r="HN9" s="35"/>
      <c r="HO9" s="35"/>
      <c r="HP9" s="35"/>
      <c r="HQ9" s="35"/>
      <c r="HR9" s="35"/>
      <c r="HS9" s="35"/>
      <c r="HT9" s="35"/>
      <c r="HU9" s="35"/>
      <c r="HV9" s="35"/>
      <c r="HW9" s="35"/>
      <c r="HX9" s="35"/>
      <c r="HY9" s="35"/>
      <c r="HZ9" s="35"/>
      <c r="IA9" s="35"/>
      <c r="IB9" s="35"/>
      <c r="IC9" s="35"/>
      <c r="ID9" s="35"/>
      <c r="IE9" s="35"/>
      <c r="IF9" s="35"/>
      <c r="IG9" s="35"/>
      <c r="IH9" s="35"/>
      <c r="II9" s="35"/>
      <c r="IJ9" s="35"/>
      <c r="IK9" s="35"/>
      <c r="IL9" s="35"/>
      <c r="IM9" s="35"/>
      <c r="IN9" s="35"/>
      <c r="IO9" s="35"/>
      <c r="IP9" s="35"/>
      <c r="IQ9" s="35"/>
      <c r="IR9" s="35"/>
      <c r="IS9" s="35"/>
      <c r="IT9" s="35"/>
      <c r="IU9" s="35"/>
      <c r="IV9" s="35"/>
      <c r="IW9" s="35"/>
      <c r="IX9" s="35"/>
      <c r="IY9" s="35"/>
      <c r="IZ9" s="35"/>
      <c r="JA9" s="35"/>
      <c r="JB9" s="35"/>
      <c r="JC9" s="35"/>
      <c r="JD9" s="35"/>
      <c r="JE9" s="35"/>
      <c r="JF9" s="35"/>
      <c r="JG9" s="35"/>
      <c r="JH9" s="35"/>
      <c r="JI9" s="35"/>
      <c r="JJ9" s="35"/>
      <c r="JK9" s="35"/>
      <c r="JL9" s="35"/>
      <c r="JM9" s="35"/>
      <c r="JN9" s="35"/>
      <c r="JO9" s="35"/>
      <c r="JP9" s="35"/>
      <c r="JQ9" s="35"/>
      <c r="JR9" s="35"/>
      <c r="JS9" s="35"/>
      <c r="JT9" s="35"/>
      <c r="JU9" s="35"/>
      <c r="JV9" s="35"/>
      <c r="JW9" s="35"/>
      <c r="JX9" s="35"/>
      <c r="JY9" s="35"/>
      <c r="JZ9" s="35"/>
      <c r="KA9" s="35"/>
      <c r="KB9" s="35"/>
      <c r="KC9" s="35"/>
      <c r="KD9" s="35"/>
      <c r="KE9" s="35"/>
      <c r="KF9" s="35"/>
      <c r="KG9" s="35"/>
      <c r="KH9" s="35"/>
      <c r="KI9" s="35"/>
      <c r="KJ9" s="35"/>
      <c r="KK9" s="35"/>
      <c r="KL9" s="35"/>
      <c r="KM9" s="35"/>
      <c r="KN9" s="35"/>
      <c r="KO9" s="35"/>
      <c r="KP9" s="35"/>
      <c r="KQ9" s="35"/>
      <c r="KR9" s="35"/>
      <c r="KS9" s="35"/>
      <c r="KT9" s="35"/>
      <c r="KU9" s="35"/>
      <c r="KV9" s="35"/>
      <c r="KW9" s="35"/>
      <c r="KX9" s="35"/>
      <c r="KY9" s="35"/>
      <c r="KZ9" s="35"/>
      <c r="LA9" s="35"/>
      <c r="LB9" s="35"/>
      <c r="LC9" s="35"/>
      <c r="LD9" s="35"/>
      <c r="LE9" s="35"/>
      <c r="LF9" s="35"/>
      <c r="LG9" s="35"/>
      <c r="LH9" s="35"/>
      <c r="LI9" s="35"/>
      <c r="LJ9" s="35"/>
      <c r="LK9" s="35"/>
      <c r="LL9" s="35"/>
      <c r="LM9" s="35"/>
      <c r="LN9" s="35"/>
      <c r="LO9" s="35"/>
      <c r="LP9" s="35"/>
      <c r="LQ9" s="35"/>
      <c r="LR9" s="35"/>
      <c r="LS9" s="35"/>
      <c r="LT9" s="35"/>
      <c r="LU9" s="35"/>
      <c r="LV9" s="35"/>
      <c r="LW9" s="35"/>
      <c r="LX9" s="35"/>
      <c r="LY9" s="35"/>
      <c r="LZ9" s="35"/>
      <c r="MA9" s="35"/>
      <c r="MB9" s="35"/>
      <c r="MC9" s="35"/>
      <c r="MD9" s="35"/>
      <c r="ME9" s="35"/>
      <c r="MF9" s="35"/>
      <c r="MG9" s="35"/>
      <c r="MH9" s="35"/>
      <c r="MI9" s="35"/>
      <c r="MJ9" s="35"/>
      <c r="MK9" s="35"/>
      <c r="ML9" s="35"/>
      <c r="MM9" s="35"/>
      <c r="MN9" s="35"/>
      <c r="MO9" s="35"/>
      <c r="MP9" s="35"/>
      <c r="MQ9" s="35"/>
      <c r="MR9" s="35"/>
      <c r="MS9" s="35"/>
      <c r="MT9" s="35"/>
      <c r="MU9" s="35"/>
      <c r="MV9" s="35"/>
      <c r="MW9" s="35"/>
      <c r="MX9" s="35"/>
      <c r="MY9" s="35"/>
      <c r="MZ9" s="35"/>
      <c r="NA9" s="35"/>
      <c r="NB9" s="35"/>
      <c r="NC9" s="35"/>
      <c r="ND9" s="35"/>
      <c r="NE9" s="35"/>
      <c r="NF9" s="35"/>
      <c r="NG9" s="35"/>
      <c r="NH9" s="35"/>
      <c r="NI9" s="35"/>
      <c r="NJ9" s="35"/>
      <c r="NK9" s="35"/>
      <c r="NL9" s="35"/>
      <c r="NM9" s="35"/>
      <c r="NN9" s="35"/>
      <c r="NO9" s="35"/>
      <c r="NP9" s="35"/>
      <c r="NQ9" s="35"/>
      <c r="NR9" s="35"/>
      <c r="NS9" s="35"/>
      <c r="NT9" s="35"/>
      <c r="NU9" s="35"/>
      <c r="NV9" s="35"/>
      <c r="NW9" s="35"/>
      <c r="NX9" s="35"/>
      <c r="NY9" s="35"/>
      <c r="NZ9" s="35"/>
      <c r="OA9" s="35"/>
      <c r="OB9" s="35"/>
      <c r="OC9" s="35"/>
      <c r="OD9" s="35"/>
      <c r="OE9" s="35"/>
      <c r="OF9" s="35"/>
      <c r="OG9" s="35"/>
      <c r="OH9" s="35"/>
      <c r="OI9" s="35"/>
      <c r="OJ9" s="35"/>
      <c r="OK9" s="35"/>
      <c r="OL9" s="35"/>
      <c r="OM9" s="35"/>
      <c r="ON9" s="35"/>
      <c r="OO9" s="35"/>
      <c r="OP9" s="35"/>
      <c r="OQ9" s="35"/>
      <c r="OR9" s="35"/>
      <c r="OS9" s="35"/>
      <c r="OT9" s="35"/>
      <c r="OU9" s="35"/>
      <c r="OV9" s="35"/>
      <c r="OW9" s="35"/>
      <c r="OX9" s="35"/>
      <c r="OY9" s="35"/>
      <c r="OZ9" s="35"/>
      <c r="PA9" s="35"/>
      <c r="PB9" s="35"/>
      <c r="PC9" s="35"/>
      <c r="PD9" s="35"/>
      <c r="PE9" s="35"/>
      <c r="PF9" s="35"/>
      <c r="PG9" s="35"/>
      <c r="PH9" s="35"/>
      <c r="PI9" s="35"/>
      <c r="PJ9" s="35"/>
      <c r="PK9" s="35"/>
      <c r="PL9" s="35"/>
      <c r="PM9" s="35"/>
      <c r="PN9" s="35"/>
      <c r="PO9" s="35"/>
      <c r="PP9" s="35"/>
      <c r="PQ9" s="35"/>
      <c r="PR9" s="35"/>
      <c r="PS9" s="35"/>
      <c r="PT9" s="35"/>
      <c r="PU9" s="35"/>
      <c r="PV9" s="35"/>
      <c r="PW9" s="35"/>
      <c r="PX9" s="35"/>
      <c r="PY9" s="35"/>
      <c r="PZ9" s="35"/>
      <c r="QA9" s="35"/>
      <c r="QB9" s="35"/>
      <c r="QC9" s="35"/>
      <c r="QD9" s="35"/>
      <c r="QE9" s="35"/>
      <c r="QF9" s="35"/>
      <c r="QG9" s="35"/>
      <c r="QH9" s="35"/>
      <c r="QI9" s="35"/>
      <c r="QJ9" s="35"/>
      <c r="QK9" s="35"/>
      <c r="QL9" s="35"/>
      <c r="QM9" s="35"/>
      <c r="QN9" s="35"/>
      <c r="QO9" s="35"/>
      <c r="QP9" s="35"/>
      <c r="QQ9" s="35"/>
      <c r="QR9" s="35"/>
      <c r="QS9" s="35"/>
      <c r="QT9" s="35"/>
      <c r="QU9" s="35"/>
      <c r="QV9" s="35"/>
      <c r="QW9" s="35"/>
      <c r="QX9" s="35"/>
      <c r="QY9" s="35"/>
      <c r="QZ9" s="35"/>
      <c r="RA9" s="35"/>
      <c r="RB9" s="35"/>
      <c r="RC9" s="35"/>
      <c r="RD9" s="35"/>
      <c r="RE9" s="35"/>
      <c r="RF9" s="35"/>
      <c r="RG9" s="35"/>
      <c r="RH9" s="35"/>
      <c r="RI9" s="35"/>
      <c r="RJ9" s="35"/>
      <c r="RK9" s="35"/>
      <c r="RL9" s="35"/>
      <c r="RM9" s="35"/>
      <c r="RN9" s="35"/>
      <c r="RO9" s="35"/>
      <c r="RP9" s="35"/>
      <c r="RQ9" s="35"/>
      <c r="RR9" s="35"/>
      <c r="RS9" s="35"/>
      <c r="RT9" s="35"/>
      <c r="RU9" s="35"/>
      <c r="RV9" s="35"/>
      <c r="RW9" s="35"/>
      <c r="RX9" s="35"/>
      <c r="RY9" s="35"/>
      <c r="RZ9" s="35"/>
      <c r="SA9" s="35"/>
      <c r="SB9" s="35"/>
      <c r="SC9" s="35"/>
      <c r="SD9" s="35"/>
      <c r="SE9" s="35"/>
      <c r="SF9" s="35"/>
      <c r="SG9" s="35"/>
      <c r="SH9" s="35"/>
      <c r="SI9" s="35"/>
      <c r="SJ9" s="35"/>
      <c r="SK9" s="35"/>
      <c r="SL9" s="35"/>
      <c r="SM9" s="35"/>
      <c r="SN9" s="35"/>
      <c r="SO9" s="35"/>
      <c r="SP9" s="35"/>
      <c r="SQ9" s="35"/>
      <c r="SR9" s="35"/>
      <c r="SS9" s="35"/>
      <c r="ST9" s="35"/>
      <c r="SU9" s="35"/>
      <c r="SV9" s="35"/>
      <c r="SW9" s="35"/>
      <c r="SX9" s="35"/>
      <c r="SY9" s="35"/>
      <c r="SZ9" s="35"/>
      <c r="TA9" s="35"/>
      <c r="TB9" s="35"/>
      <c r="TC9" s="35"/>
      <c r="TD9" s="35"/>
      <c r="TE9" s="35"/>
      <c r="TF9" s="35"/>
      <c r="TG9" s="35"/>
      <c r="TH9" s="35"/>
      <c r="TI9" s="35"/>
      <c r="TJ9" s="35"/>
      <c r="TK9" s="35"/>
      <c r="TL9" s="35"/>
      <c r="TM9" s="35"/>
      <c r="TN9" s="35"/>
      <c r="TO9" s="35"/>
      <c r="TP9" s="35"/>
      <c r="TQ9" s="35"/>
      <c r="TR9" s="35"/>
      <c r="TS9" s="35"/>
      <c r="TT9" s="35"/>
      <c r="TU9" s="35"/>
      <c r="TV9" s="35"/>
      <c r="TW9" s="35"/>
      <c r="TX9" s="35"/>
      <c r="TY9" s="35"/>
      <c r="TZ9" s="35"/>
      <c r="UA9" s="35"/>
      <c r="UB9" s="35"/>
      <c r="UC9" s="35"/>
      <c r="UD9" s="35"/>
      <c r="UE9" s="35"/>
      <c r="UF9" s="35"/>
      <c r="UG9" s="35"/>
      <c r="UH9" s="35"/>
      <c r="UI9" s="35"/>
      <c r="UJ9" s="35"/>
      <c r="UK9" s="35"/>
      <c r="UL9" s="35"/>
      <c r="UM9" s="35"/>
      <c r="UN9" s="35"/>
      <c r="UO9" s="35"/>
      <c r="UP9" s="35"/>
      <c r="UQ9" s="35"/>
      <c r="UR9" s="35"/>
      <c r="US9" s="35"/>
      <c r="UT9" s="35"/>
      <c r="UU9" s="35"/>
      <c r="UV9" s="35"/>
      <c r="UW9" s="35"/>
      <c r="UX9" s="35"/>
      <c r="UY9" s="35"/>
      <c r="UZ9" s="35"/>
      <c r="VA9" s="35"/>
      <c r="VB9" s="35"/>
      <c r="VC9" s="35"/>
      <c r="VD9" s="35"/>
      <c r="VE9" s="35"/>
      <c r="VF9" s="35"/>
      <c r="VG9" s="35"/>
      <c r="VH9" s="35"/>
      <c r="VI9" s="35"/>
      <c r="VJ9" s="35"/>
      <c r="VK9" s="35"/>
      <c r="VL9" s="35"/>
      <c r="VM9" s="35"/>
      <c r="VN9" s="35"/>
      <c r="VO9" s="35"/>
      <c r="VP9" s="35"/>
      <c r="VQ9" s="35"/>
      <c r="VR9" s="35"/>
      <c r="VS9" s="35"/>
      <c r="VT9" s="35"/>
      <c r="VU9" s="35"/>
      <c r="VV9" s="35"/>
      <c r="VW9" s="35"/>
      <c r="VX9" s="35"/>
      <c r="VY9" s="35"/>
      <c r="VZ9" s="35"/>
      <c r="WA9" s="35"/>
      <c r="WB9" s="35"/>
      <c r="WC9" s="35"/>
      <c r="WD9" s="35"/>
      <c r="WE9" s="35"/>
      <c r="WF9" s="35"/>
      <c r="WG9" s="35"/>
      <c r="WH9" s="35"/>
      <c r="WI9" s="35"/>
      <c r="WJ9" s="35"/>
      <c r="WK9" s="35"/>
      <c r="WL9" s="35"/>
      <c r="WM9" s="35"/>
      <c r="WN9" s="35"/>
      <c r="WO9" s="35"/>
      <c r="WP9" s="35"/>
      <c r="WQ9" s="35"/>
      <c r="WR9" s="35"/>
      <c r="WS9" s="35"/>
      <c r="WT9" s="35"/>
      <c r="WU9" s="35"/>
      <c r="WV9" s="35"/>
      <c r="WW9" s="35"/>
      <c r="WX9" s="35"/>
      <c r="WY9" s="35"/>
      <c r="WZ9" s="35"/>
      <c r="XA9" s="35"/>
      <c r="XB9" s="35"/>
      <c r="XC9" s="35"/>
      <c r="XD9" s="35"/>
      <c r="XE9" s="35"/>
      <c r="XF9" s="35"/>
      <c r="XG9" s="35"/>
      <c r="XH9" s="35"/>
      <c r="XI9" s="35"/>
      <c r="XJ9" s="35"/>
      <c r="XK9" s="35"/>
      <c r="XL9" s="35"/>
      <c r="XM9" s="35"/>
      <c r="XN9" s="35"/>
      <c r="XO9" s="35"/>
      <c r="XP9" s="35"/>
      <c r="XQ9" s="35"/>
      <c r="XR9" s="35"/>
      <c r="XS9" s="35"/>
      <c r="XT9" s="35"/>
      <c r="XU9" s="35"/>
      <c r="XV9" s="35"/>
      <c r="XW9" s="35"/>
      <c r="XX9" s="35"/>
      <c r="XY9" s="35"/>
      <c r="XZ9" s="35"/>
      <c r="YA9" s="35"/>
      <c r="YB9" s="35"/>
      <c r="YC9" s="35"/>
      <c r="YD9" s="35"/>
      <c r="YE9" s="35"/>
      <c r="YF9" s="35"/>
      <c r="YG9" s="35"/>
      <c r="YH9" s="35"/>
      <c r="YI9" s="35"/>
      <c r="YJ9" s="35"/>
      <c r="YK9" s="35"/>
      <c r="YL9" s="35"/>
      <c r="YM9" s="35"/>
      <c r="YN9" s="35"/>
      <c r="YO9" s="35"/>
      <c r="YP9" s="35"/>
      <c r="YQ9" s="35"/>
      <c r="YR9" s="35"/>
      <c r="YS9" s="35"/>
      <c r="YT9" s="35"/>
      <c r="YU9" s="35"/>
      <c r="YV9" s="35"/>
      <c r="YW9" s="35"/>
      <c r="YX9" s="35"/>
      <c r="YY9" s="35"/>
      <c r="YZ9" s="35"/>
      <c r="ZA9" s="35"/>
      <c r="ZB9" s="35"/>
      <c r="ZC9" s="35"/>
      <c r="ZD9" s="35"/>
      <c r="ZE9" s="35"/>
      <c r="ZF9" s="35"/>
      <c r="ZG9" s="35"/>
      <c r="ZH9" s="35"/>
      <c r="ZI9" s="35"/>
      <c r="ZJ9" s="35"/>
      <c r="ZK9" s="35"/>
      <c r="ZL9" s="35"/>
      <c r="ZM9" s="35"/>
      <c r="ZN9" s="35"/>
      <c r="ZO9" s="35"/>
      <c r="ZP9" s="35"/>
      <c r="ZQ9" s="35"/>
      <c r="ZR9" s="35"/>
      <c r="ZS9" s="35"/>
      <c r="ZT9" s="35"/>
      <c r="ZU9" s="35"/>
      <c r="ZV9" s="35"/>
      <c r="ZW9" s="35"/>
      <c r="ZX9" s="35"/>
      <c r="ZY9" s="35"/>
      <c r="ZZ9" s="35"/>
      <c r="AAA9" s="35"/>
      <c r="AAB9" s="35"/>
      <c r="AAC9" s="35"/>
      <c r="AAD9" s="35"/>
      <c r="AAE9" s="35"/>
      <c r="AAF9" s="35"/>
      <c r="AAG9" s="35"/>
      <c r="AAH9" s="35"/>
      <c r="AAI9" s="35"/>
      <c r="AAJ9" s="35"/>
      <c r="AAK9" s="35"/>
      <c r="AAL9" s="35"/>
      <c r="AAM9" s="35"/>
      <c r="AAN9" s="35"/>
      <c r="AAO9" s="35"/>
      <c r="AAP9" s="35"/>
      <c r="AAQ9" s="35"/>
      <c r="AAR9" s="35"/>
      <c r="AAS9" s="35"/>
      <c r="AAT9" s="35"/>
      <c r="AAU9" s="35"/>
      <c r="AAV9" s="35"/>
      <c r="AAW9" s="35"/>
      <c r="AAX9" s="35"/>
      <c r="AAY9" s="35"/>
      <c r="AAZ9" s="35"/>
      <c r="ABA9" s="35"/>
      <c r="ABB9" s="35"/>
      <c r="ABC9" s="35"/>
      <c r="ABD9" s="35"/>
      <c r="ABE9" s="35"/>
      <c r="ABF9" s="35"/>
      <c r="ABG9" s="35"/>
      <c r="ABH9" s="35"/>
      <c r="ABI9" s="35"/>
      <c r="ABJ9" s="35"/>
      <c r="ABK9" s="35"/>
      <c r="ABL9" s="35"/>
      <c r="ABM9" s="35"/>
      <c r="ABN9" s="35"/>
      <c r="ABO9" s="35"/>
      <c r="ABP9" s="35"/>
      <c r="ABQ9" s="35"/>
      <c r="ABR9" s="35"/>
      <c r="ABS9" s="35"/>
      <c r="ABT9" s="35"/>
      <c r="ABU9" s="35"/>
      <c r="ABV9" s="35"/>
      <c r="ABW9" s="35"/>
      <c r="ABX9" s="35"/>
      <c r="ABY9" s="35"/>
      <c r="ABZ9" s="35"/>
      <c r="ACA9" s="35"/>
      <c r="ACB9" s="35"/>
      <c r="ACC9" s="35"/>
      <c r="ACD9" s="35"/>
      <c r="ACE9" s="35"/>
      <c r="ACF9" s="35"/>
      <c r="ACG9" s="35"/>
      <c r="ACH9" s="35"/>
      <c r="ACI9" s="35"/>
      <c r="ACJ9" s="35"/>
      <c r="ACK9" s="35"/>
      <c r="ACL9" s="35"/>
      <c r="ACM9" s="35"/>
      <c r="ACN9" s="35"/>
      <c r="ACO9" s="35"/>
      <c r="ACP9" s="35"/>
      <c r="ACQ9" s="35"/>
      <c r="ACR9" s="35"/>
      <c r="ACS9" s="35"/>
      <c r="ACT9" s="35"/>
      <c r="ACU9" s="35"/>
      <c r="ACV9" s="35"/>
      <c r="ACW9" s="35"/>
      <c r="ACX9" s="35"/>
      <c r="ACY9" s="35"/>
      <c r="ACZ9" s="35"/>
      <c r="ADA9" s="35"/>
      <c r="ADB9" s="35"/>
      <c r="ADC9" s="35"/>
      <c r="ADD9" s="35"/>
      <c r="ADE9" s="35"/>
      <c r="ADF9" s="35"/>
      <c r="ADG9" s="35"/>
      <c r="ADH9" s="35"/>
      <c r="ADI9" s="35"/>
      <c r="ADJ9" s="35"/>
      <c r="ADK9" s="35"/>
      <c r="ADL9" s="35"/>
      <c r="ADM9" s="35"/>
      <c r="ADN9" s="35"/>
      <c r="ADO9" s="35"/>
      <c r="ADP9" s="35"/>
      <c r="ADQ9" s="35"/>
      <c r="ADR9" s="35"/>
      <c r="ADS9" s="35"/>
      <c r="ADT9" s="35"/>
      <c r="ADU9" s="35"/>
      <c r="ADV9" s="35"/>
      <c r="ADW9" s="35"/>
      <c r="ADX9" s="35"/>
      <c r="ADY9" s="35"/>
      <c r="ADZ9" s="35"/>
      <c r="AEA9" s="35"/>
      <c r="AEB9" s="35"/>
      <c r="AEC9" s="35"/>
      <c r="AED9" s="35"/>
      <c r="AEE9" s="35"/>
      <c r="AEF9" s="35"/>
      <c r="AEG9" s="35"/>
      <c r="AEH9" s="35"/>
      <c r="AEI9" s="35"/>
      <c r="AEJ9" s="35"/>
      <c r="AEK9" s="35"/>
      <c r="AEL9" s="35"/>
      <c r="AEM9" s="35"/>
      <c r="AEN9" s="35"/>
      <c r="AEO9" s="35"/>
      <c r="AEP9" s="35"/>
      <c r="AEQ9" s="35"/>
      <c r="AER9" s="35"/>
      <c r="AES9" s="35"/>
      <c r="AET9" s="35"/>
      <c r="AEU9" s="35"/>
      <c r="AEV9" s="35"/>
      <c r="AEW9" s="35"/>
      <c r="AEX9" s="35"/>
      <c r="AEY9" s="35"/>
      <c r="AEZ9" s="35"/>
      <c r="AFA9" s="35"/>
      <c r="AFB9" s="35"/>
      <c r="AFC9" s="35"/>
      <c r="AFD9" s="35"/>
      <c r="AFE9" s="35"/>
      <c r="AFF9" s="35"/>
      <c r="AFG9" s="35"/>
      <c r="AFH9" s="35"/>
      <c r="AFI9" s="35"/>
      <c r="AFJ9" s="35"/>
      <c r="AFK9" s="35"/>
      <c r="AFL9" s="35"/>
      <c r="AFM9" s="35"/>
      <c r="AFN9" s="35"/>
      <c r="AFO9" s="35"/>
      <c r="AFP9" s="35"/>
      <c r="AFQ9" s="35"/>
      <c r="AFR9" s="35"/>
      <c r="AFS9" s="35"/>
      <c r="AFT9" s="35"/>
      <c r="AFU9" s="35"/>
      <c r="AFV9" s="35"/>
      <c r="AFW9" s="35"/>
      <c r="AFX9" s="35"/>
      <c r="AFY9" s="35"/>
      <c r="AFZ9" s="35"/>
      <c r="AGA9" s="35"/>
      <c r="AGB9" s="35"/>
      <c r="AGC9" s="35"/>
      <c r="AGD9" s="35"/>
      <c r="AGE9" s="35"/>
      <c r="AGF9" s="35"/>
      <c r="AGG9" s="35"/>
      <c r="AGH9" s="35"/>
      <c r="AGI9" s="35"/>
      <c r="AGJ9" s="35"/>
      <c r="AGK9" s="35"/>
      <c r="AGL9" s="35"/>
      <c r="AGM9" s="35"/>
      <c r="AGN9" s="35"/>
      <c r="AGO9" s="35"/>
      <c r="AGP9" s="35"/>
      <c r="AGQ9" s="35"/>
      <c r="AGR9" s="35"/>
      <c r="AGS9" s="35"/>
      <c r="AGT9" s="35"/>
      <c r="AGU9" s="35"/>
      <c r="AGV9" s="35"/>
      <c r="AGW9" s="35"/>
      <c r="AGX9" s="35"/>
      <c r="AGY9" s="35"/>
      <c r="AGZ9" s="35"/>
      <c r="AHA9" s="35"/>
      <c r="AHB9" s="35"/>
      <c r="AHC9" s="35"/>
      <c r="AHD9" s="35"/>
      <c r="AHE9" s="35"/>
      <c r="AHF9" s="35"/>
      <c r="AHG9" s="35"/>
      <c r="AHH9" s="35"/>
      <c r="AHI9" s="35"/>
      <c r="AHJ9" s="35"/>
      <c r="AHK9" s="35"/>
      <c r="AHL9" s="35"/>
      <c r="AHM9" s="35"/>
      <c r="AHN9" s="35"/>
      <c r="AHO9" s="35"/>
      <c r="AHP9" s="35"/>
      <c r="AHQ9" s="35"/>
      <c r="AHR9" s="35"/>
      <c r="AHS9" s="35"/>
      <c r="AHT9" s="35"/>
      <c r="AHU9" s="35"/>
      <c r="AHV9" s="35"/>
      <c r="AHW9" s="35"/>
      <c r="AHX9" s="35"/>
      <c r="AHY9" s="35"/>
      <c r="AHZ9" s="35"/>
      <c r="AIA9" s="35"/>
      <c r="AIB9" s="35"/>
      <c r="AIC9" s="35"/>
      <c r="AID9" s="35"/>
      <c r="AIE9" s="35"/>
      <c r="AIF9" s="35"/>
      <c r="AIG9" s="35"/>
      <c r="AIH9" s="35"/>
      <c r="AII9" s="35"/>
      <c r="AIJ9" s="35"/>
      <c r="AIK9" s="35"/>
      <c r="AIL9" s="35"/>
      <c r="AIM9" s="35"/>
      <c r="AIN9" s="35"/>
      <c r="AIO9" s="35"/>
      <c r="AIP9" s="35"/>
      <c r="AIQ9" s="35"/>
      <c r="AIR9" s="35"/>
      <c r="AIS9" s="35"/>
      <c r="AIT9" s="35"/>
      <c r="AIU9" s="35"/>
      <c r="AIV9" s="35"/>
      <c r="AIW9" s="35"/>
      <c r="AIX9" s="35"/>
      <c r="AIY9" s="35"/>
      <c r="AIZ9" s="35"/>
      <c r="AJA9" s="35"/>
      <c r="AJB9" s="35"/>
      <c r="AJC9" s="35"/>
      <c r="AJD9" s="35"/>
      <c r="AJE9" s="35"/>
      <c r="AJF9" s="35"/>
      <c r="AJG9" s="35"/>
      <c r="AJH9" s="35"/>
      <c r="AJI9" s="35"/>
      <c r="AJJ9" s="35"/>
      <c r="AJK9" s="35"/>
      <c r="AJL9" s="35"/>
      <c r="AJM9" s="35"/>
      <c r="AJN9" s="35"/>
      <c r="AJO9" s="35"/>
      <c r="AJP9" s="35"/>
      <c r="AJQ9" s="35"/>
      <c r="AJR9" s="35"/>
      <c r="AJS9" s="35"/>
      <c r="AJT9" s="35"/>
      <c r="AJU9" s="35"/>
      <c r="AJV9" s="35"/>
      <c r="AJW9" s="35"/>
      <c r="AJX9" s="35"/>
      <c r="AJY9" s="35"/>
      <c r="AJZ9" s="35"/>
      <c r="AKA9" s="35"/>
      <c r="AKB9" s="35"/>
      <c r="AKC9" s="35"/>
      <c r="AKD9" s="35"/>
      <c r="AKE9" s="35"/>
      <c r="AKF9" s="35"/>
      <c r="AKG9" s="35"/>
      <c r="AKH9" s="35"/>
      <c r="AKI9" s="35"/>
      <c r="AKJ9" s="35"/>
      <c r="AKK9" s="35"/>
      <c r="AKL9" s="35"/>
      <c r="AKM9" s="35"/>
      <c r="AKN9" s="35"/>
      <c r="AKO9" s="35"/>
      <c r="AKP9" s="35"/>
      <c r="AKQ9" s="35"/>
      <c r="AKR9" s="35"/>
      <c r="AKS9" s="35"/>
      <c r="AKT9" s="35"/>
      <c r="AKU9" s="35"/>
      <c r="AKV9" s="35"/>
      <c r="AKW9" s="35"/>
      <c r="AKX9" s="35"/>
      <c r="AKY9" s="35"/>
      <c r="AKZ9" s="35"/>
      <c r="ALA9" s="35"/>
      <c r="ALB9" s="35"/>
      <c r="ALC9" s="35"/>
      <c r="ALD9" s="35"/>
      <c r="ALE9" s="35"/>
      <c r="ALF9" s="35"/>
      <c r="ALG9" s="35"/>
      <c r="ALH9" s="35"/>
      <c r="ALI9" s="35"/>
      <c r="ALJ9" s="35"/>
      <c r="ALK9" s="35"/>
      <c r="ALL9" s="35"/>
      <c r="ALM9" s="35"/>
      <c r="ALN9" s="35"/>
      <c r="ALO9" s="35"/>
      <c r="ALP9" s="35"/>
      <c r="ALQ9" s="35"/>
      <c r="ALR9" s="35"/>
      <c r="ALS9" s="35"/>
      <c r="ALT9" s="35"/>
      <c r="ALU9" s="35"/>
      <c r="ALV9" s="35"/>
      <c r="ALW9" s="35"/>
      <c r="ALX9" s="35"/>
      <c r="ALY9" s="35"/>
      <c r="ALZ9" s="35"/>
      <c r="AMA9" s="35"/>
      <c r="AMB9" s="1"/>
    </row>
    <row r="10" customFormat="false" ht="12.8" hidden="true" customHeight="true" outlineLevel="1" collapsed="false">
      <c r="A10" s="40"/>
      <c r="B10" s="40"/>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63"/>
      <c r="AI10" s="40"/>
      <c r="AJ10" s="40"/>
      <c r="AK10" s="40" t="s">
        <v>572</v>
      </c>
      <c r="AL10" s="40"/>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c r="BK10" s="40"/>
      <c r="BL10" s="40"/>
      <c r="BM10" s="40"/>
      <c r="BN10" s="40"/>
      <c r="BO10" s="40"/>
      <c r="BP10" s="40"/>
      <c r="BQ10" s="40"/>
      <c r="BR10" s="40"/>
      <c r="BS10" s="40"/>
      <c r="BT10" s="40"/>
      <c r="BU10" s="40"/>
      <c r="BV10" s="40"/>
      <c r="BW10" s="40"/>
      <c r="BX10" s="40"/>
      <c r="BY10" s="40"/>
      <c r="BZ10" s="40"/>
      <c r="CA10" s="40"/>
      <c r="CB10" s="40"/>
      <c r="CC10" s="40"/>
      <c r="CD10" s="40"/>
      <c r="CE10" s="40"/>
      <c r="CF10" s="40"/>
      <c r="CG10" s="40"/>
      <c r="CH10" s="40"/>
      <c r="CI10" s="40"/>
      <c r="CJ10" s="40"/>
      <c r="CK10" s="40"/>
      <c r="CL10" s="40"/>
      <c r="CM10" s="40"/>
      <c r="CN10" s="40"/>
      <c r="CO10" s="40"/>
      <c r="CP10" s="40"/>
      <c r="CQ10" s="40"/>
      <c r="CR10" s="40"/>
      <c r="CS10" s="40"/>
      <c r="CT10" s="40"/>
      <c r="CU10" s="40"/>
      <c r="CV10" s="40"/>
      <c r="CW10" s="40"/>
      <c r="CX10" s="40"/>
      <c r="CY10" s="40"/>
      <c r="CZ10" s="40"/>
      <c r="DA10" s="40"/>
      <c r="DB10" s="40"/>
      <c r="DC10" s="40"/>
      <c r="DD10" s="40"/>
      <c r="DE10" s="40"/>
      <c r="DF10" s="40"/>
      <c r="DG10" s="40"/>
      <c r="DH10" s="40"/>
      <c r="DI10" s="40"/>
      <c r="DJ10" s="40"/>
      <c r="DK10" s="40"/>
      <c r="DL10" s="40"/>
      <c r="DM10" s="40"/>
      <c r="DN10" s="40"/>
      <c r="DO10" s="40"/>
      <c r="DP10" s="40"/>
      <c r="DQ10" s="40"/>
      <c r="DR10" s="40"/>
      <c r="DS10" s="40"/>
      <c r="DT10" s="40"/>
      <c r="DU10" s="40"/>
      <c r="DV10" s="40"/>
      <c r="DW10" s="40"/>
      <c r="DX10" s="40"/>
      <c r="DY10" s="40"/>
      <c r="DZ10" s="40" t="s">
        <v>364</v>
      </c>
      <c r="EA10" s="35"/>
      <c r="EB10" s="81"/>
      <c r="EC10" s="35"/>
      <c r="ED10" s="35"/>
      <c r="EE10" s="35"/>
      <c r="EF10" s="35"/>
      <c r="EG10" s="35"/>
      <c r="EH10" s="35"/>
      <c r="EI10" s="35"/>
      <c r="EJ10" s="35"/>
      <c r="EK10" s="35"/>
      <c r="EL10" s="35"/>
      <c r="EM10" s="35"/>
      <c r="EN10" s="35"/>
      <c r="EO10" s="35"/>
      <c r="EP10" s="35"/>
      <c r="EQ10" s="35"/>
      <c r="ER10" s="35"/>
      <c r="ES10" s="35"/>
      <c r="ET10" s="35"/>
      <c r="EU10" s="35"/>
      <c r="EV10" s="35"/>
      <c r="EW10" s="35"/>
      <c r="EX10" s="35"/>
      <c r="EY10" s="35"/>
      <c r="EZ10" s="35"/>
      <c r="FA10" s="35"/>
      <c r="FB10" s="35"/>
      <c r="FC10" s="35"/>
      <c r="FD10" s="35"/>
      <c r="FE10" s="35"/>
      <c r="FF10" s="35"/>
      <c r="FG10" s="35"/>
      <c r="FH10" s="35"/>
      <c r="FI10" s="35"/>
      <c r="FJ10" s="35"/>
      <c r="FK10" s="35"/>
      <c r="FL10" s="35"/>
      <c r="FM10" s="35"/>
      <c r="FN10" s="35"/>
      <c r="FO10" s="35"/>
      <c r="FP10" s="35"/>
      <c r="FQ10" s="35"/>
      <c r="FR10" s="35"/>
      <c r="FS10" s="35"/>
      <c r="FT10" s="35"/>
      <c r="FU10" s="35"/>
      <c r="FV10" s="35"/>
      <c r="FW10" s="35"/>
      <c r="FX10" s="35"/>
      <c r="FY10" s="35"/>
      <c r="FZ10" s="35"/>
      <c r="GA10" s="35"/>
      <c r="GB10" s="35"/>
      <c r="GC10" s="35"/>
      <c r="GD10" s="35"/>
      <c r="GE10" s="35"/>
      <c r="GF10" s="35"/>
      <c r="GG10" s="35"/>
      <c r="GH10" s="35"/>
      <c r="GI10" s="35"/>
      <c r="GJ10" s="35"/>
      <c r="GK10" s="35"/>
      <c r="GL10" s="35"/>
      <c r="GM10" s="35"/>
      <c r="GN10" s="35"/>
      <c r="GO10" s="35"/>
      <c r="GP10" s="35"/>
      <c r="GQ10" s="35"/>
      <c r="GR10" s="35"/>
      <c r="GS10" s="35"/>
      <c r="GT10" s="35"/>
      <c r="GU10" s="35"/>
      <c r="GV10" s="35"/>
      <c r="GW10" s="35"/>
      <c r="GX10" s="35"/>
      <c r="GY10" s="35"/>
      <c r="GZ10" s="35"/>
      <c r="HA10" s="35"/>
      <c r="HB10" s="35"/>
      <c r="HC10" s="35"/>
      <c r="HD10" s="35"/>
      <c r="HE10" s="35"/>
      <c r="HF10" s="35"/>
      <c r="HG10" s="35"/>
      <c r="HH10" s="35"/>
      <c r="HI10" s="35"/>
      <c r="HJ10" s="35"/>
      <c r="HK10" s="35"/>
      <c r="HL10" s="35"/>
      <c r="HM10" s="35"/>
      <c r="HN10" s="35"/>
      <c r="HO10" s="35"/>
      <c r="HP10" s="35"/>
      <c r="HQ10" s="35"/>
      <c r="HR10" s="35"/>
      <c r="HS10" s="35"/>
      <c r="HT10" s="35"/>
      <c r="HU10" s="35"/>
      <c r="HV10" s="35"/>
      <c r="HW10" s="35"/>
      <c r="HX10" s="35"/>
      <c r="HY10" s="35"/>
      <c r="HZ10" s="35"/>
      <c r="IA10" s="35"/>
      <c r="IB10" s="35"/>
      <c r="IC10" s="35"/>
      <c r="ID10" s="35"/>
      <c r="IE10" s="35"/>
      <c r="IF10" s="35"/>
      <c r="IG10" s="35"/>
      <c r="IH10" s="35"/>
      <c r="II10" s="35"/>
      <c r="IJ10" s="35"/>
      <c r="IK10" s="35"/>
      <c r="IL10" s="35"/>
      <c r="IM10" s="35"/>
      <c r="IN10" s="35"/>
      <c r="IO10" s="35"/>
      <c r="IP10" s="35"/>
      <c r="IQ10" s="35"/>
      <c r="IR10" s="35"/>
      <c r="IS10" s="35"/>
      <c r="IT10" s="35"/>
      <c r="IU10" s="35"/>
      <c r="IV10" s="35"/>
      <c r="IW10" s="35"/>
      <c r="IX10" s="35"/>
      <c r="IY10" s="35"/>
      <c r="IZ10" s="35"/>
      <c r="JA10" s="35"/>
      <c r="JB10" s="35"/>
      <c r="JC10" s="35"/>
      <c r="JD10" s="35"/>
      <c r="JE10" s="35"/>
      <c r="JF10" s="35"/>
      <c r="JG10" s="35"/>
      <c r="JH10" s="35"/>
      <c r="JI10" s="35"/>
      <c r="JJ10" s="35"/>
      <c r="JK10" s="35"/>
      <c r="JL10" s="35"/>
      <c r="JM10" s="35"/>
      <c r="JN10" s="35"/>
      <c r="JO10" s="35"/>
      <c r="JP10" s="35"/>
      <c r="JQ10" s="35"/>
      <c r="JR10" s="35"/>
      <c r="JS10" s="35"/>
      <c r="JT10" s="35"/>
      <c r="JU10" s="35"/>
      <c r="JV10" s="35"/>
      <c r="JW10" s="35"/>
      <c r="JX10" s="35"/>
      <c r="JY10" s="35"/>
      <c r="JZ10" s="35"/>
      <c r="KA10" s="35"/>
      <c r="KB10" s="35"/>
      <c r="KC10" s="35"/>
      <c r="KD10" s="35"/>
      <c r="KE10" s="35"/>
      <c r="KF10" s="35"/>
      <c r="KG10" s="35"/>
      <c r="KH10" s="35"/>
      <c r="KI10" s="35"/>
      <c r="KJ10" s="35"/>
      <c r="KK10" s="35"/>
      <c r="KL10" s="35"/>
      <c r="KM10" s="35"/>
      <c r="KN10" s="35"/>
      <c r="KO10" s="35"/>
      <c r="KP10" s="35"/>
      <c r="KQ10" s="35"/>
      <c r="KR10" s="35"/>
      <c r="KS10" s="35"/>
      <c r="KT10" s="35"/>
      <c r="KU10" s="35"/>
      <c r="KV10" s="35"/>
      <c r="KW10" s="35"/>
      <c r="KX10" s="35"/>
      <c r="KY10" s="35"/>
      <c r="KZ10" s="35"/>
      <c r="LA10" s="35"/>
      <c r="LB10" s="35"/>
      <c r="LC10" s="35"/>
      <c r="LD10" s="35"/>
      <c r="LE10" s="35"/>
      <c r="LF10" s="35"/>
      <c r="LG10" s="35"/>
      <c r="LH10" s="35"/>
      <c r="LI10" s="35"/>
      <c r="LJ10" s="35"/>
      <c r="LK10" s="35"/>
      <c r="LL10" s="35"/>
      <c r="LM10" s="35"/>
      <c r="LN10" s="35"/>
      <c r="LO10" s="35"/>
      <c r="LP10" s="35"/>
      <c r="LQ10" s="35"/>
      <c r="LR10" s="35"/>
      <c r="LS10" s="35"/>
      <c r="LT10" s="35"/>
      <c r="LU10" s="35"/>
      <c r="LV10" s="35"/>
      <c r="LW10" s="35"/>
      <c r="LX10" s="35"/>
      <c r="LY10" s="35"/>
      <c r="LZ10" s="35"/>
      <c r="MA10" s="35"/>
      <c r="MB10" s="35"/>
      <c r="MC10" s="35"/>
      <c r="MD10" s="35"/>
      <c r="ME10" s="35"/>
      <c r="MF10" s="35"/>
      <c r="MG10" s="35"/>
      <c r="MH10" s="35"/>
      <c r="MI10" s="35"/>
      <c r="MJ10" s="35"/>
      <c r="MK10" s="35"/>
      <c r="ML10" s="35"/>
      <c r="MM10" s="35"/>
      <c r="MN10" s="35"/>
      <c r="MO10" s="35"/>
      <c r="MP10" s="35"/>
      <c r="MQ10" s="35"/>
      <c r="MR10" s="35"/>
      <c r="MS10" s="35"/>
      <c r="MT10" s="35"/>
      <c r="MU10" s="35"/>
      <c r="MV10" s="35"/>
      <c r="MW10" s="35"/>
      <c r="MX10" s="35"/>
      <c r="MY10" s="35"/>
      <c r="MZ10" s="35"/>
      <c r="NA10" s="35"/>
      <c r="NB10" s="35"/>
      <c r="NC10" s="35"/>
      <c r="ND10" s="35"/>
      <c r="NE10" s="35"/>
      <c r="NF10" s="35"/>
      <c r="NG10" s="35"/>
      <c r="NH10" s="35"/>
      <c r="NI10" s="35"/>
      <c r="NJ10" s="35"/>
      <c r="NK10" s="35"/>
      <c r="NL10" s="35"/>
      <c r="NM10" s="35"/>
      <c r="NN10" s="35"/>
      <c r="NO10" s="35"/>
      <c r="NP10" s="35"/>
      <c r="NQ10" s="35"/>
      <c r="NR10" s="35"/>
      <c r="NS10" s="35"/>
      <c r="NT10" s="35"/>
      <c r="NU10" s="35"/>
      <c r="NV10" s="35"/>
      <c r="NW10" s="35"/>
      <c r="NX10" s="35"/>
      <c r="NY10" s="35"/>
      <c r="NZ10" s="35"/>
      <c r="OA10" s="35"/>
      <c r="OB10" s="35"/>
      <c r="OC10" s="35"/>
      <c r="OD10" s="35"/>
      <c r="OE10" s="35"/>
      <c r="OF10" s="35"/>
      <c r="OG10" s="35"/>
      <c r="OH10" s="35"/>
      <c r="OI10" s="35"/>
      <c r="OJ10" s="35"/>
      <c r="OK10" s="35"/>
      <c r="OL10" s="35"/>
      <c r="OM10" s="35"/>
      <c r="ON10" s="35"/>
      <c r="OO10" s="35"/>
      <c r="OP10" s="35"/>
      <c r="OQ10" s="35"/>
      <c r="OR10" s="35"/>
      <c r="OS10" s="35"/>
      <c r="OT10" s="35"/>
      <c r="OU10" s="35"/>
      <c r="OV10" s="35"/>
      <c r="OW10" s="35"/>
      <c r="OX10" s="35"/>
      <c r="OY10" s="35"/>
      <c r="OZ10" s="35"/>
      <c r="PA10" s="35"/>
      <c r="PB10" s="35"/>
      <c r="PC10" s="35"/>
      <c r="PD10" s="35"/>
      <c r="PE10" s="35"/>
      <c r="PF10" s="35"/>
      <c r="PG10" s="35"/>
      <c r="PH10" s="35"/>
      <c r="PI10" s="35"/>
      <c r="PJ10" s="35"/>
      <c r="PK10" s="35"/>
      <c r="PL10" s="35"/>
      <c r="PM10" s="35"/>
      <c r="PN10" s="35"/>
      <c r="PO10" s="35"/>
      <c r="PP10" s="35"/>
      <c r="PQ10" s="35"/>
      <c r="PR10" s="35"/>
      <c r="PS10" s="35"/>
      <c r="PT10" s="35"/>
      <c r="PU10" s="35"/>
      <c r="PV10" s="35"/>
      <c r="PW10" s="35"/>
      <c r="PX10" s="35"/>
      <c r="PY10" s="35"/>
      <c r="PZ10" s="35"/>
      <c r="QA10" s="35"/>
      <c r="QB10" s="35"/>
      <c r="QC10" s="35"/>
      <c r="QD10" s="35"/>
      <c r="QE10" s="35"/>
      <c r="QF10" s="35"/>
      <c r="QG10" s="35"/>
      <c r="QH10" s="35"/>
      <c r="QI10" s="35"/>
      <c r="QJ10" s="35"/>
      <c r="QK10" s="35"/>
      <c r="QL10" s="35"/>
      <c r="QM10" s="35"/>
      <c r="QN10" s="35"/>
      <c r="QO10" s="35"/>
      <c r="QP10" s="35"/>
      <c r="QQ10" s="35"/>
      <c r="QR10" s="35"/>
      <c r="QS10" s="35"/>
      <c r="QT10" s="35"/>
      <c r="QU10" s="35"/>
      <c r="QV10" s="35"/>
      <c r="QW10" s="35"/>
      <c r="QX10" s="35"/>
      <c r="QY10" s="35"/>
      <c r="QZ10" s="35"/>
      <c r="RA10" s="35"/>
      <c r="RB10" s="35"/>
      <c r="RC10" s="35"/>
      <c r="RD10" s="35"/>
      <c r="RE10" s="35"/>
      <c r="RF10" s="35"/>
      <c r="RG10" s="35"/>
      <c r="RH10" s="35"/>
      <c r="RI10" s="35"/>
      <c r="RJ10" s="35"/>
      <c r="RK10" s="35"/>
      <c r="RL10" s="35"/>
      <c r="RM10" s="35"/>
      <c r="RN10" s="35"/>
      <c r="RO10" s="35"/>
      <c r="RP10" s="35"/>
      <c r="RQ10" s="35"/>
      <c r="RR10" s="35"/>
      <c r="RS10" s="35"/>
      <c r="RT10" s="35"/>
      <c r="RU10" s="35"/>
      <c r="RV10" s="35"/>
      <c r="RW10" s="35"/>
      <c r="RX10" s="35"/>
      <c r="RY10" s="35"/>
      <c r="RZ10" s="35"/>
      <c r="SA10" s="35"/>
      <c r="SB10" s="35"/>
      <c r="SC10" s="35"/>
      <c r="SD10" s="35"/>
      <c r="SE10" s="35"/>
      <c r="SF10" s="35"/>
      <c r="SG10" s="35"/>
      <c r="SH10" s="35"/>
      <c r="SI10" s="35"/>
      <c r="SJ10" s="35"/>
      <c r="SK10" s="35"/>
      <c r="SL10" s="35"/>
      <c r="SM10" s="35"/>
      <c r="SN10" s="35"/>
      <c r="SO10" s="35"/>
      <c r="SP10" s="35"/>
      <c r="SQ10" s="35"/>
      <c r="SR10" s="35"/>
      <c r="SS10" s="35"/>
      <c r="ST10" s="35"/>
      <c r="SU10" s="35"/>
      <c r="SV10" s="35"/>
      <c r="SW10" s="35"/>
      <c r="SX10" s="35"/>
      <c r="SY10" s="35"/>
      <c r="SZ10" s="35"/>
      <c r="TA10" s="35"/>
      <c r="TB10" s="35"/>
      <c r="TC10" s="35"/>
      <c r="TD10" s="35"/>
      <c r="TE10" s="35"/>
      <c r="TF10" s="35"/>
      <c r="TG10" s="35"/>
      <c r="TH10" s="35"/>
      <c r="TI10" s="35"/>
      <c r="TJ10" s="35"/>
      <c r="TK10" s="35"/>
      <c r="TL10" s="35"/>
      <c r="TM10" s="35"/>
      <c r="TN10" s="35"/>
      <c r="TO10" s="35"/>
      <c r="TP10" s="35"/>
      <c r="TQ10" s="35"/>
      <c r="TR10" s="35"/>
      <c r="TS10" s="35"/>
      <c r="TT10" s="35"/>
      <c r="TU10" s="35"/>
      <c r="TV10" s="35"/>
      <c r="TW10" s="35"/>
      <c r="TX10" s="35"/>
      <c r="TY10" s="35"/>
      <c r="TZ10" s="35"/>
      <c r="UA10" s="35"/>
      <c r="UB10" s="35"/>
      <c r="UC10" s="35"/>
      <c r="UD10" s="35"/>
      <c r="UE10" s="35"/>
      <c r="UF10" s="35"/>
      <c r="UG10" s="35"/>
      <c r="UH10" s="35"/>
      <c r="UI10" s="35"/>
      <c r="UJ10" s="35"/>
      <c r="UK10" s="35"/>
      <c r="UL10" s="35"/>
      <c r="UM10" s="35"/>
      <c r="UN10" s="35"/>
      <c r="UO10" s="35"/>
      <c r="UP10" s="35"/>
      <c r="UQ10" s="35"/>
      <c r="UR10" s="35"/>
      <c r="US10" s="35"/>
      <c r="UT10" s="35"/>
      <c r="UU10" s="35"/>
      <c r="UV10" s="35"/>
      <c r="UW10" s="35"/>
      <c r="UX10" s="35"/>
      <c r="UY10" s="35"/>
      <c r="UZ10" s="35"/>
      <c r="VA10" s="35"/>
      <c r="VB10" s="35"/>
      <c r="VC10" s="35"/>
      <c r="VD10" s="35"/>
      <c r="VE10" s="35"/>
      <c r="VF10" s="35"/>
      <c r="VG10" s="35"/>
      <c r="VH10" s="35"/>
      <c r="VI10" s="35"/>
      <c r="VJ10" s="35"/>
      <c r="VK10" s="35"/>
      <c r="VL10" s="35"/>
      <c r="VM10" s="35"/>
      <c r="VN10" s="35"/>
      <c r="VO10" s="35"/>
      <c r="VP10" s="35"/>
      <c r="VQ10" s="35"/>
      <c r="VR10" s="35"/>
      <c r="VS10" s="35"/>
      <c r="VT10" s="35"/>
      <c r="VU10" s="35"/>
      <c r="VV10" s="35"/>
      <c r="VW10" s="35"/>
      <c r="VX10" s="35"/>
      <c r="VY10" s="35"/>
      <c r="VZ10" s="35"/>
      <c r="WA10" s="35"/>
      <c r="WB10" s="35"/>
      <c r="WC10" s="35"/>
      <c r="WD10" s="35"/>
      <c r="WE10" s="35"/>
      <c r="WF10" s="35"/>
      <c r="WG10" s="35"/>
      <c r="WH10" s="35"/>
      <c r="WI10" s="35"/>
      <c r="WJ10" s="35"/>
      <c r="WK10" s="35"/>
      <c r="WL10" s="35"/>
      <c r="WM10" s="35"/>
      <c r="WN10" s="35"/>
      <c r="WO10" s="35"/>
      <c r="WP10" s="35"/>
      <c r="WQ10" s="35"/>
      <c r="WR10" s="35"/>
      <c r="WS10" s="35"/>
      <c r="WT10" s="35"/>
      <c r="WU10" s="35"/>
      <c r="WV10" s="35"/>
      <c r="WW10" s="35"/>
      <c r="WX10" s="35"/>
      <c r="WY10" s="35"/>
      <c r="WZ10" s="35"/>
      <c r="XA10" s="35"/>
      <c r="XB10" s="35"/>
      <c r="XC10" s="35"/>
      <c r="XD10" s="35"/>
      <c r="XE10" s="35"/>
      <c r="XF10" s="35"/>
      <c r="XG10" s="35"/>
      <c r="XH10" s="35"/>
      <c r="XI10" s="35"/>
      <c r="XJ10" s="35"/>
      <c r="XK10" s="35"/>
      <c r="XL10" s="35"/>
      <c r="XM10" s="35"/>
      <c r="XN10" s="35"/>
      <c r="XO10" s="35"/>
      <c r="XP10" s="35"/>
      <c r="XQ10" s="35"/>
      <c r="XR10" s="35"/>
      <c r="XS10" s="35"/>
      <c r="XT10" s="35"/>
      <c r="XU10" s="35"/>
      <c r="XV10" s="35"/>
      <c r="XW10" s="35"/>
      <c r="XX10" s="35"/>
      <c r="XY10" s="35"/>
      <c r="XZ10" s="35"/>
      <c r="YA10" s="35"/>
      <c r="YB10" s="35"/>
      <c r="YC10" s="35"/>
      <c r="YD10" s="35"/>
      <c r="YE10" s="35"/>
      <c r="YF10" s="35"/>
      <c r="YG10" s="35"/>
      <c r="YH10" s="35"/>
      <c r="YI10" s="35"/>
      <c r="YJ10" s="35"/>
      <c r="YK10" s="35"/>
      <c r="YL10" s="35"/>
      <c r="YM10" s="35"/>
      <c r="YN10" s="35"/>
      <c r="YO10" s="35"/>
      <c r="YP10" s="35"/>
      <c r="YQ10" s="35"/>
      <c r="YR10" s="35"/>
      <c r="YS10" s="35"/>
      <c r="YT10" s="35"/>
      <c r="YU10" s="35"/>
      <c r="YV10" s="35"/>
      <c r="YW10" s="35"/>
      <c r="YX10" s="35"/>
      <c r="YY10" s="35"/>
      <c r="YZ10" s="35"/>
      <c r="ZA10" s="35"/>
      <c r="ZB10" s="35"/>
      <c r="ZC10" s="35"/>
      <c r="ZD10" s="35"/>
      <c r="ZE10" s="35"/>
      <c r="ZF10" s="35"/>
      <c r="ZG10" s="35"/>
      <c r="ZH10" s="35"/>
      <c r="ZI10" s="35"/>
      <c r="ZJ10" s="35"/>
      <c r="ZK10" s="35"/>
      <c r="ZL10" s="35"/>
      <c r="ZM10" s="35"/>
      <c r="ZN10" s="35"/>
      <c r="ZO10" s="35"/>
      <c r="ZP10" s="35"/>
      <c r="ZQ10" s="35"/>
      <c r="ZR10" s="35"/>
      <c r="ZS10" s="35"/>
      <c r="ZT10" s="35"/>
      <c r="ZU10" s="35"/>
      <c r="ZV10" s="35"/>
      <c r="ZW10" s="35"/>
      <c r="ZX10" s="35"/>
      <c r="ZY10" s="35"/>
      <c r="ZZ10" s="35"/>
      <c r="AAA10" s="35"/>
      <c r="AAB10" s="35"/>
      <c r="AAC10" s="35"/>
      <c r="AAD10" s="35"/>
      <c r="AAE10" s="35"/>
      <c r="AAF10" s="35"/>
      <c r="AAG10" s="35"/>
      <c r="AAH10" s="35"/>
      <c r="AAI10" s="35"/>
      <c r="AAJ10" s="35"/>
      <c r="AAK10" s="35"/>
      <c r="AAL10" s="35"/>
      <c r="AAM10" s="35"/>
      <c r="AAN10" s="35"/>
      <c r="AAO10" s="35"/>
      <c r="AAP10" s="35"/>
      <c r="AAQ10" s="35"/>
      <c r="AAR10" s="35"/>
      <c r="AAS10" s="35"/>
      <c r="AAT10" s="35"/>
      <c r="AAU10" s="35"/>
      <c r="AAV10" s="35"/>
      <c r="AAW10" s="35"/>
      <c r="AAX10" s="35"/>
      <c r="AAY10" s="35"/>
      <c r="AAZ10" s="35"/>
      <c r="ABA10" s="35"/>
      <c r="ABB10" s="35"/>
      <c r="ABC10" s="35"/>
      <c r="ABD10" s="35"/>
      <c r="ABE10" s="35"/>
      <c r="ABF10" s="35"/>
      <c r="ABG10" s="35"/>
      <c r="ABH10" s="35"/>
      <c r="ABI10" s="35"/>
      <c r="ABJ10" s="35"/>
      <c r="ABK10" s="35"/>
      <c r="ABL10" s="35"/>
      <c r="ABM10" s="35"/>
      <c r="ABN10" s="35"/>
      <c r="ABO10" s="35"/>
      <c r="ABP10" s="35"/>
      <c r="ABQ10" s="35"/>
      <c r="ABR10" s="35"/>
      <c r="ABS10" s="35"/>
      <c r="ABT10" s="35"/>
      <c r="ABU10" s="35"/>
      <c r="ABV10" s="35"/>
      <c r="ABW10" s="35"/>
      <c r="ABX10" s="35"/>
      <c r="ABY10" s="35"/>
      <c r="ABZ10" s="35"/>
      <c r="ACA10" s="35"/>
      <c r="ACB10" s="35"/>
      <c r="ACC10" s="35"/>
      <c r="ACD10" s="35"/>
      <c r="ACE10" s="35"/>
      <c r="ACF10" s="35"/>
      <c r="ACG10" s="35"/>
      <c r="ACH10" s="35"/>
      <c r="ACI10" s="35"/>
      <c r="ACJ10" s="35"/>
      <c r="ACK10" s="35"/>
      <c r="ACL10" s="35"/>
      <c r="ACM10" s="35"/>
      <c r="ACN10" s="35"/>
      <c r="ACO10" s="35"/>
      <c r="ACP10" s="35"/>
      <c r="ACQ10" s="35"/>
      <c r="ACR10" s="35"/>
      <c r="ACS10" s="35"/>
      <c r="ACT10" s="35"/>
      <c r="ACU10" s="35"/>
      <c r="ACV10" s="35"/>
      <c r="ACW10" s="35"/>
      <c r="ACX10" s="35"/>
      <c r="ACY10" s="35"/>
      <c r="ACZ10" s="35"/>
      <c r="ADA10" s="35"/>
      <c r="ADB10" s="35"/>
      <c r="ADC10" s="35"/>
      <c r="ADD10" s="35"/>
      <c r="ADE10" s="35"/>
      <c r="ADF10" s="35"/>
      <c r="ADG10" s="35"/>
      <c r="ADH10" s="35"/>
      <c r="ADI10" s="35"/>
      <c r="ADJ10" s="35"/>
      <c r="ADK10" s="35"/>
      <c r="ADL10" s="35"/>
      <c r="ADM10" s="35"/>
      <c r="ADN10" s="35"/>
      <c r="ADO10" s="35"/>
      <c r="ADP10" s="35"/>
      <c r="ADQ10" s="35"/>
      <c r="ADR10" s="35"/>
      <c r="ADS10" s="35"/>
      <c r="ADT10" s="35"/>
      <c r="ADU10" s="35"/>
      <c r="ADV10" s="35"/>
      <c r="ADW10" s="35"/>
      <c r="ADX10" s="35"/>
      <c r="ADY10" s="35"/>
      <c r="ADZ10" s="35"/>
      <c r="AEA10" s="35"/>
      <c r="AEB10" s="35"/>
      <c r="AEC10" s="35"/>
      <c r="AED10" s="35"/>
      <c r="AEE10" s="35"/>
      <c r="AEF10" s="35"/>
      <c r="AEG10" s="35"/>
      <c r="AEH10" s="35"/>
      <c r="AEI10" s="35"/>
      <c r="AEJ10" s="35"/>
      <c r="AEK10" s="35"/>
      <c r="AEL10" s="35"/>
      <c r="AEM10" s="35"/>
      <c r="AEN10" s="35"/>
      <c r="AEO10" s="35"/>
      <c r="AEP10" s="35"/>
      <c r="AEQ10" s="35"/>
      <c r="AER10" s="35"/>
      <c r="AES10" s="35"/>
      <c r="AET10" s="35"/>
      <c r="AEU10" s="35"/>
      <c r="AEV10" s="35"/>
      <c r="AEW10" s="35"/>
      <c r="AEX10" s="35"/>
      <c r="AEY10" s="35"/>
      <c r="AEZ10" s="35"/>
      <c r="AFA10" s="35"/>
      <c r="AFB10" s="35"/>
      <c r="AFC10" s="35"/>
      <c r="AFD10" s="35"/>
      <c r="AFE10" s="35"/>
      <c r="AFF10" s="35"/>
      <c r="AFG10" s="35"/>
      <c r="AFH10" s="35"/>
      <c r="AFI10" s="35"/>
      <c r="AFJ10" s="35"/>
      <c r="AFK10" s="35"/>
      <c r="AFL10" s="35"/>
      <c r="AFM10" s="35"/>
      <c r="AFN10" s="35"/>
      <c r="AFO10" s="35"/>
      <c r="AFP10" s="35"/>
      <c r="AFQ10" s="35"/>
      <c r="AFR10" s="35"/>
      <c r="AFS10" s="35"/>
      <c r="AFT10" s="35"/>
      <c r="AFU10" s="35"/>
      <c r="AFV10" s="35"/>
      <c r="AFW10" s="35"/>
      <c r="AFX10" s="35"/>
      <c r="AFY10" s="35"/>
      <c r="AFZ10" s="35"/>
      <c r="AGA10" s="35"/>
      <c r="AGB10" s="35"/>
      <c r="AGC10" s="35"/>
      <c r="AGD10" s="35"/>
      <c r="AGE10" s="35"/>
      <c r="AGF10" s="35"/>
      <c r="AGG10" s="35"/>
      <c r="AGH10" s="35"/>
      <c r="AGI10" s="35"/>
      <c r="AGJ10" s="35"/>
      <c r="AGK10" s="35"/>
      <c r="AGL10" s="35"/>
      <c r="AGM10" s="35"/>
      <c r="AGN10" s="35"/>
      <c r="AGO10" s="35"/>
      <c r="AGP10" s="35"/>
      <c r="AGQ10" s="35"/>
      <c r="AGR10" s="35"/>
      <c r="AGS10" s="35"/>
      <c r="AGT10" s="35"/>
      <c r="AGU10" s="35"/>
      <c r="AGV10" s="35"/>
      <c r="AGW10" s="35"/>
      <c r="AGX10" s="35"/>
      <c r="AGY10" s="35"/>
      <c r="AGZ10" s="35"/>
      <c r="AHA10" s="35"/>
      <c r="AHB10" s="35"/>
      <c r="AHC10" s="35"/>
      <c r="AHD10" s="35"/>
      <c r="AHE10" s="35"/>
      <c r="AHF10" s="35"/>
      <c r="AHG10" s="35"/>
      <c r="AHH10" s="35"/>
      <c r="AHI10" s="35"/>
      <c r="AHJ10" s="35"/>
      <c r="AHK10" s="35"/>
      <c r="AHL10" s="35"/>
      <c r="AHM10" s="35"/>
      <c r="AHN10" s="35"/>
      <c r="AHO10" s="35"/>
      <c r="AHP10" s="35"/>
      <c r="AHQ10" s="35"/>
      <c r="AHR10" s="35"/>
      <c r="AHS10" s="35"/>
      <c r="AHT10" s="35"/>
      <c r="AHU10" s="35"/>
      <c r="AHV10" s="35"/>
      <c r="AHW10" s="35"/>
      <c r="AHX10" s="35"/>
      <c r="AHY10" s="35"/>
      <c r="AHZ10" s="35"/>
      <c r="AIA10" s="35"/>
      <c r="AIB10" s="35"/>
      <c r="AIC10" s="35"/>
      <c r="AID10" s="35"/>
      <c r="AIE10" s="35"/>
      <c r="AIF10" s="35"/>
      <c r="AIG10" s="35"/>
      <c r="AIH10" s="35"/>
      <c r="AII10" s="35"/>
      <c r="AIJ10" s="35"/>
      <c r="AIK10" s="35"/>
      <c r="AIL10" s="35"/>
      <c r="AIM10" s="35"/>
      <c r="AIN10" s="35"/>
      <c r="AIO10" s="35"/>
      <c r="AIP10" s="35"/>
      <c r="AIQ10" s="35"/>
      <c r="AIR10" s="35"/>
      <c r="AIS10" s="35"/>
      <c r="AIT10" s="35"/>
      <c r="AIU10" s="35"/>
      <c r="AIV10" s="35"/>
      <c r="AIW10" s="35"/>
      <c r="AIX10" s="35"/>
      <c r="AIY10" s="35"/>
      <c r="AIZ10" s="35"/>
      <c r="AJA10" s="35"/>
      <c r="AJB10" s="35"/>
      <c r="AJC10" s="35"/>
      <c r="AJD10" s="35"/>
      <c r="AJE10" s="35"/>
      <c r="AJF10" s="35"/>
      <c r="AJG10" s="35"/>
      <c r="AJH10" s="35"/>
      <c r="AJI10" s="35"/>
      <c r="AJJ10" s="35"/>
      <c r="AJK10" s="35"/>
      <c r="AJL10" s="35"/>
      <c r="AJM10" s="35"/>
      <c r="AJN10" s="35"/>
      <c r="AJO10" s="35"/>
      <c r="AJP10" s="35"/>
      <c r="AJQ10" s="35"/>
      <c r="AJR10" s="35"/>
      <c r="AJS10" s="35"/>
      <c r="AJT10" s="35"/>
      <c r="AJU10" s="35"/>
      <c r="AJV10" s="35"/>
      <c r="AJW10" s="35"/>
      <c r="AJX10" s="35"/>
      <c r="AJY10" s="35"/>
      <c r="AJZ10" s="35"/>
      <c r="AKA10" s="35"/>
      <c r="AKB10" s="35"/>
      <c r="AKC10" s="35"/>
      <c r="AKD10" s="35"/>
      <c r="AKE10" s="35"/>
      <c r="AKF10" s="35"/>
      <c r="AKG10" s="35"/>
      <c r="AKH10" s="35"/>
      <c r="AKI10" s="35"/>
      <c r="AKJ10" s="35"/>
      <c r="AKK10" s="35"/>
      <c r="AKL10" s="35"/>
      <c r="AKM10" s="35"/>
      <c r="AKN10" s="35"/>
      <c r="AKO10" s="35"/>
      <c r="AKP10" s="35"/>
      <c r="AKQ10" s="35"/>
      <c r="AKR10" s="35"/>
      <c r="AKS10" s="35"/>
      <c r="AKT10" s="35"/>
      <c r="AKU10" s="35"/>
      <c r="AKV10" s="35"/>
      <c r="AKW10" s="35"/>
      <c r="AKX10" s="35"/>
      <c r="AKY10" s="35"/>
      <c r="AKZ10" s="35"/>
      <c r="ALA10" s="35"/>
      <c r="ALB10" s="35"/>
      <c r="ALC10" s="35"/>
      <c r="ALD10" s="35"/>
      <c r="ALE10" s="35"/>
      <c r="ALF10" s="35"/>
      <c r="ALG10" s="35"/>
      <c r="ALH10" s="35"/>
      <c r="ALI10" s="35"/>
      <c r="ALJ10" s="35"/>
      <c r="ALK10" s="35"/>
      <c r="ALL10" s="35"/>
      <c r="ALM10" s="35"/>
      <c r="ALN10" s="35"/>
      <c r="ALO10" s="35"/>
      <c r="ALP10" s="35"/>
      <c r="ALQ10" s="35"/>
      <c r="ALR10" s="35"/>
      <c r="ALS10" s="35"/>
      <c r="ALT10" s="35"/>
      <c r="ALU10" s="35"/>
      <c r="ALV10" s="35"/>
      <c r="ALW10" s="35"/>
      <c r="ALX10" s="35"/>
      <c r="ALY10" s="35"/>
      <c r="ALZ10" s="35"/>
      <c r="AMA10" s="35"/>
      <c r="AMB10" s="1"/>
    </row>
    <row r="11" customFormat="false" ht="12.8" hidden="true" customHeight="true" outlineLevel="1" collapsed="false">
      <c r="A11" s="40"/>
      <c r="B11" s="40"/>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63"/>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c r="BL11" s="40"/>
      <c r="BM11" s="40"/>
      <c r="BN11" s="40"/>
      <c r="BO11" s="40"/>
      <c r="BP11" s="40"/>
      <c r="BQ11" s="40"/>
      <c r="BR11" s="40"/>
      <c r="BS11" s="40"/>
      <c r="BT11" s="40"/>
      <c r="BU11" s="40"/>
      <c r="BV11" s="40"/>
      <c r="BW11" s="40"/>
      <c r="BX11" s="40"/>
      <c r="BY11" s="40"/>
      <c r="BZ11" s="40"/>
      <c r="CA11" s="40"/>
      <c r="CB11" s="40"/>
      <c r="CC11" s="40"/>
      <c r="CD11" s="40"/>
      <c r="CE11" s="40"/>
      <c r="CF11" s="40"/>
      <c r="CG11" s="40"/>
      <c r="CH11" s="40"/>
      <c r="CI11" s="40"/>
      <c r="CJ11" s="40"/>
      <c r="CK11" s="40"/>
      <c r="CL11" s="40"/>
      <c r="CM11" s="40"/>
      <c r="CN11" s="40"/>
      <c r="CO11" s="40"/>
      <c r="CP11" s="40"/>
      <c r="CQ11" s="40"/>
      <c r="CR11" s="40"/>
      <c r="CS11" s="40"/>
      <c r="CT11" s="40"/>
      <c r="CU11" s="40"/>
      <c r="CV11" s="40"/>
      <c r="CW11" s="40"/>
      <c r="CX11" s="40"/>
      <c r="CY11" s="40"/>
      <c r="CZ11" s="40"/>
      <c r="DA11" s="40"/>
      <c r="DB11" s="40"/>
      <c r="DC11" s="40"/>
      <c r="DD11" s="40"/>
      <c r="DE11" s="40"/>
      <c r="DF11" s="40"/>
      <c r="DG11" s="40"/>
      <c r="DH11" s="40"/>
      <c r="DI11" s="40"/>
      <c r="DJ11" s="40"/>
      <c r="DK11" s="40"/>
      <c r="DL11" s="40"/>
      <c r="DM11" s="40"/>
      <c r="DN11" s="40"/>
      <c r="DO11" s="40"/>
      <c r="DP11" s="40"/>
      <c r="DQ11" s="40"/>
      <c r="DR11" s="40"/>
      <c r="DS11" s="40"/>
      <c r="DT11" s="40"/>
      <c r="DU11" s="40"/>
      <c r="DV11" s="40"/>
      <c r="DW11" s="40"/>
      <c r="DX11" s="40"/>
      <c r="DY11" s="40"/>
      <c r="DZ11" s="40" t="s">
        <v>364</v>
      </c>
      <c r="EA11" s="35"/>
      <c r="EB11" s="81"/>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c r="JI11" s="35"/>
      <c r="JJ11" s="35"/>
      <c r="JK11" s="35"/>
      <c r="JL11" s="35"/>
      <c r="JM11" s="35"/>
      <c r="JN11" s="35"/>
      <c r="JO11" s="35"/>
      <c r="JP11" s="35"/>
      <c r="JQ11" s="35"/>
      <c r="JR11" s="35"/>
      <c r="JS11" s="35"/>
      <c r="JT11" s="35"/>
      <c r="JU11" s="35"/>
      <c r="JV11" s="35"/>
      <c r="JW11" s="35"/>
      <c r="JX11" s="35"/>
      <c r="JY11" s="35"/>
      <c r="JZ11" s="35"/>
      <c r="KA11" s="35"/>
      <c r="KB11" s="35"/>
      <c r="KC11" s="35"/>
      <c r="KD11" s="35"/>
      <c r="KE11" s="35"/>
      <c r="KF11" s="35"/>
      <c r="KG11" s="35"/>
      <c r="KH11" s="35"/>
      <c r="KI11" s="35"/>
      <c r="KJ11" s="35"/>
      <c r="KK11" s="35"/>
      <c r="KL11" s="35"/>
      <c r="KM11" s="35"/>
      <c r="KN11" s="35"/>
      <c r="KO11" s="35"/>
      <c r="KP11" s="35"/>
      <c r="KQ11" s="35"/>
      <c r="KR11" s="35"/>
      <c r="KS11" s="35"/>
      <c r="KT11" s="35"/>
      <c r="KU11" s="35"/>
      <c r="KV11" s="35"/>
      <c r="KW11" s="35"/>
      <c r="KX11" s="35"/>
      <c r="KY11" s="35"/>
      <c r="KZ11" s="35"/>
      <c r="LA11" s="35"/>
      <c r="LB11" s="35"/>
      <c r="LC11" s="35"/>
      <c r="LD11" s="35"/>
      <c r="LE11" s="35"/>
      <c r="LF11" s="35"/>
      <c r="LG11" s="35"/>
      <c r="LH11" s="35"/>
      <c r="LI11" s="35"/>
      <c r="LJ11" s="35"/>
      <c r="LK11" s="35"/>
      <c r="LL11" s="35"/>
      <c r="LM11" s="35"/>
      <c r="LN11" s="35"/>
      <c r="LO11" s="35"/>
      <c r="LP11" s="35"/>
      <c r="LQ11" s="35"/>
      <c r="LR11" s="35"/>
      <c r="LS11" s="35"/>
      <c r="LT11" s="35"/>
      <c r="LU11" s="35"/>
      <c r="LV11" s="35"/>
      <c r="LW11" s="35"/>
      <c r="LX11" s="35"/>
      <c r="LY11" s="35"/>
      <c r="LZ11" s="35"/>
      <c r="MA11" s="35"/>
      <c r="MB11" s="35"/>
      <c r="MC11" s="35"/>
      <c r="MD11" s="35"/>
      <c r="ME11" s="35"/>
      <c r="MF11" s="35"/>
      <c r="MG11" s="35"/>
      <c r="MH11" s="35"/>
      <c r="MI11" s="35"/>
      <c r="MJ11" s="35"/>
      <c r="MK11" s="35"/>
      <c r="ML11" s="35"/>
      <c r="MM11" s="35"/>
      <c r="MN11" s="35"/>
      <c r="MO11" s="35"/>
      <c r="MP11" s="35"/>
      <c r="MQ11" s="35"/>
      <c r="MR11" s="35"/>
      <c r="MS11" s="35"/>
      <c r="MT11" s="35"/>
      <c r="MU11" s="35"/>
      <c r="MV11" s="35"/>
      <c r="MW11" s="35"/>
      <c r="MX11" s="35"/>
      <c r="MY11" s="35"/>
      <c r="MZ11" s="35"/>
      <c r="NA11" s="35"/>
      <c r="NB11" s="35"/>
      <c r="NC11" s="35"/>
      <c r="ND11" s="35"/>
      <c r="NE11" s="35"/>
      <c r="NF11" s="35"/>
      <c r="NG11" s="35"/>
      <c r="NH11" s="35"/>
      <c r="NI11" s="35"/>
      <c r="NJ11" s="35"/>
      <c r="NK11" s="35"/>
      <c r="NL11" s="35"/>
      <c r="NM11" s="35"/>
      <c r="NN11" s="35"/>
      <c r="NO11" s="35"/>
      <c r="NP11" s="35"/>
      <c r="NQ11" s="35"/>
      <c r="NR11" s="35"/>
      <c r="NS11" s="35"/>
      <c r="NT11" s="35"/>
      <c r="NU11" s="35"/>
      <c r="NV11" s="35"/>
      <c r="NW11" s="35"/>
      <c r="NX11" s="35"/>
      <c r="NY11" s="35"/>
      <c r="NZ11" s="35"/>
      <c r="OA11" s="35"/>
      <c r="OB11" s="35"/>
      <c r="OC11" s="35"/>
      <c r="OD11" s="35"/>
      <c r="OE11" s="35"/>
      <c r="OF11" s="35"/>
      <c r="OG11" s="35"/>
      <c r="OH11" s="35"/>
      <c r="OI11" s="35"/>
      <c r="OJ11" s="35"/>
      <c r="OK11" s="35"/>
      <c r="OL11" s="35"/>
      <c r="OM11" s="35"/>
      <c r="ON11" s="35"/>
      <c r="OO11" s="35"/>
      <c r="OP11" s="35"/>
      <c r="OQ11" s="35"/>
      <c r="OR11" s="35"/>
      <c r="OS11" s="35"/>
      <c r="OT11" s="35"/>
      <c r="OU11" s="35"/>
      <c r="OV11" s="35"/>
      <c r="OW11" s="35"/>
      <c r="OX11" s="35"/>
      <c r="OY11" s="35"/>
      <c r="OZ11" s="35"/>
      <c r="PA11" s="35"/>
      <c r="PB11" s="35"/>
      <c r="PC11" s="35"/>
      <c r="PD11" s="35"/>
      <c r="PE11" s="35"/>
      <c r="PF11" s="35"/>
      <c r="PG11" s="35"/>
      <c r="PH11" s="35"/>
      <c r="PI11" s="35"/>
      <c r="PJ11" s="35"/>
      <c r="PK11" s="35"/>
      <c r="PL11" s="35"/>
      <c r="PM11" s="35"/>
      <c r="PN11" s="35"/>
      <c r="PO11" s="35"/>
      <c r="PP11" s="35"/>
      <c r="PQ11" s="35"/>
      <c r="PR11" s="35"/>
      <c r="PS11" s="35"/>
      <c r="PT11" s="35"/>
      <c r="PU11" s="35"/>
      <c r="PV11" s="35"/>
      <c r="PW11" s="35"/>
      <c r="PX11" s="35"/>
      <c r="PY11" s="35"/>
      <c r="PZ11" s="35"/>
      <c r="QA11" s="35"/>
      <c r="QB11" s="35"/>
      <c r="QC11" s="35"/>
      <c r="QD11" s="35"/>
      <c r="QE11" s="35"/>
      <c r="QF11" s="35"/>
      <c r="QG11" s="35"/>
      <c r="QH11" s="35"/>
      <c r="QI11" s="35"/>
      <c r="QJ11" s="35"/>
      <c r="QK11" s="35"/>
      <c r="QL11" s="35"/>
      <c r="QM11" s="35"/>
      <c r="QN11" s="35"/>
      <c r="QO11" s="35"/>
      <c r="QP11" s="35"/>
      <c r="QQ11" s="35"/>
      <c r="QR11" s="35"/>
      <c r="QS11" s="35"/>
      <c r="QT11" s="35"/>
      <c r="QU11" s="35"/>
      <c r="QV11" s="35"/>
      <c r="QW11" s="35"/>
      <c r="QX11" s="35"/>
      <c r="QY11" s="35"/>
      <c r="QZ11" s="35"/>
      <c r="RA11" s="35"/>
      <c r="RB11" s="35"/>
      <c r="RC11" s="35"/>
      <c r="RD11" s="35"/>
      <c r="RE11" s="35"/>
      <c r="RF11" s="35"/>
      <c r="RG11" s="35"/>
      <c r="RH11" s="35"/>
      <c r="RI11" s="35"/>
      <c r="RJ11" s="35"/>
      <c r="RK11" s="35"/>
      <c r="RL11" s="35"/>
      <c r="RM11" s="35"/>
      <c r="RN11" s="35"/>
      <c r="RO11" s="35"/>
      <c r="RP11" s="35"/>
      <c r="RQ11" s="35"/>
      <c r="RR11" s="35"/>
      <c r="RS11" s="35"/>
      <c r="RT11" s="35"/>
      <c r="RU11" s="35"/>
      <c r="RV11" s="35"/>
      <c r="RW11" s="35"/>
      <c r="RX11" s="35"/>
      <c r="RY11" s="35"/>
      <c r="RZ11" s="35"/>
      <c r="SA11" s="35"/>
      <c r="SB11" s="35"/>
      <c r="SC11" s="35"/>
      <c r="SD11" s="35"/>
      <c r="SE11" s="35"/>
      <c r="SF11" s="35"/>
      <c r="SG11" s="35"/>
      <c r="SH11" s="35"/>
      <c r="SI11" s="35"/>
      <c r="SJ11" s="35"/>
      <c r="SK11" s="35"/>
      <c r="SL11" s="35"/>
      <c r="SM11" s="35"/>
      <c r="SN11" s="35"/>
      <c r="SO11" s="35"/>
      <c r="SP11" s="35"/>
      <c r="SQ11" s="35"/>
      <c r="SR11" s="35"/>
      <c r="SS11" s="35"/>
      <c r="ST11" s="35"/>
      <c r="SU11" s="35"/>
      <c r="SV11" s="35"/>
      <c r="SW11" s="35"/>
      <c r="SX11" s="35"/>
      <c r="SY11" s="35"/>
      <c r="SZ11" s="35"/>
      <c r="TA11" s="35"/>
      <c r="TB11" s="35"/>
      <c r="TC11" s="35"/>
      <c r="TD11" s="35"/>
      <c r="TE11" s="35"/>
      <c r="TF11" s="35"/>
      <c r="TG11" s="35"/>
      <c r="TH11" s="35"/>
      <c r="TI11" s="35"/>
      <c r="TJ11" s="35"/>
      <c r="TK11" s="35"/>
      <c r="TL11" s="35"/>
      <c r="TM11" s="35"/>
      <c r="TN11" s="35"/>
      <c r="TO11" s="35"/>
      <c r="TP11" s="35"/>
      <c r="TQ11" s="35"/>
      <c r="TR11" s="35"/>
      <c r="TS11" s="35"/>
      <c r="TT11" s="35"/>
      <c r="TU11" s="35"/>
      <c r="TV11" s="35"/>
      <c r="TW11" s="35"/>
      <c r="TX11" s="35"/>
      <c r="TY11" s="35"/>
      <c r="TZ11" s="35"/>
      <c r="UA11" s="35"/>
      <c r="UB11" s="35"/>
      <c r="UC11" s="35"/>
      <c r="UD11" s="35"/>
      <c r="UE11" s="35"/>
      <c r="UF11" s="35"/>
      <c r="UG11" s="35"/>
      <c r="UH11" s="35"/>
      <c r="UI11" s="35"/>
      <c r="UJ11" s="35"/>
      <c r="UK11" s="35"/>
      <c r="UL11" s="35"/>
      <c r="UM11" s="35"/>
      <c r="UN11" s="35"/>
      <c r="UO11" s="35"/>
      <c r="UP11" s="35"/>
      <c r="UQ11" s="35"/>
      <c r="UR11" s="35"/>
      <c r="US11" s="35"/>
      <c r="UT11" s="35"/>
      <c r="UU11" s="35"/>
      <c r="UV11" s="35"/>
      <c r="UW11" s="35"/>
      <c r="UX11" s="35"/>
      <c r="UY11" s="35"/>
      <c r="UZ11" s="35"/>
      <c r="VA11" s="35"/>
      <c r="VB11" s="35"/>
      <c r="VC11" s="35"/>
      <c r="VD11" s="35"/>
      <c r="VE11" s="35"/>
      <c r="VF11" s="35"/>
      <c r="VG11" s="35"/>
      <c r="VH11" s="35"/>
      <c r="VI11" s="35"/>
      <c r="VJ11" s="35"/>
      <c r="VK11" s="35"/>
      <c r="VL11" s="35"/>
      <c r="VM11" s="35"/>
      <c r="VN11" s="35"/>
      <c r="VO11" s="35"/>
      <c r="VP11" s="35"/>
      <c r="VQ11" s="35"/>
      <c r="VR11" s="35"/>
      <c r="VS11" s="35"/>
      <c r="VT11" s="35"/>
      <c r="VU11" s="35"/>
      <c r="VV11" s="35"/>
      <c r="VW11" s="35"/>
      <c r="VX11" s="35"/>
      <c r="VY11" s="35"/>
      <c r="VZ11" s="35"/>
      <c r="WA11" s="35"/>
      <c r="WB11" s="35"/>
      <c r="WC11" s="35"/>
      <c r="WD11" s="35"/>
      <c r="WE11" s="35"/>
      <c r="WF11" s="35"/>
      <c r="WG11" s="35"/>
      <c r="WH11" s="35"/>
      <c r="WI11" s="35"/>
      <c r="WJ11" s="35"/>
      <c r="WK11" s="35"/>
      <c r="WL11" s="35"/>
      <c r="WM11" s="35"/>
      <c r="WN11" s="35"/>
      <c r="WO11" s="35"/>
      <c r="WP11" s="35"/>
      <c r="WQ11" s="35"/>
      <c r="WR11" s="35"/>
      <c r="WS11" s="35"/>
      <c r="WT11" s="35"/>
      <c r="WU11" s="35"/>
      <c r="WV11" s="35"/>
      <c r="WW11" s="35"/>
      <c r="WX11" s="35"/>
      <c r="WY11" s="35"/>
      <c r="WZ11" s="35"/>
      <c r="XA11" s="35"/>
      <c r="XB11" s="35"/>
      <c r="XC11" s="35"/>
      <c r="XD11" s="35"/>
      <c r="XE11" s="35"/>
      <c r="XF11" s="35"/>
      <c r="XG11" s="35"/>
      <c r="XH11" s="35"/>
      <c r="XI11" s="35"/>
      <c r="XJ11" s="35"/>
      <c r="XK11" s="35"/>
      <c r="XL11" s="35"/>
      <c r="XM11" s="35"/>
      <c r="XN11" s="35"/>
      <c r="XO11" s="35"/>
      <c r="XP11" s="35"/>
      <c r="XQ11" s="35"/>
      <c r="XR11" s="35"/>
      <c r="XS11" s="35"/>
      <c r="XT11" s="35"/>
      <c r="XU11" s="35"/>
      <c r="XV11" s="35"/>
      <c r="XW11" s="35"/>
      <c r="XX11" s="35"/>
      <c r="XY11" s="35"/>
      <c r="XZ11" s="35"/>
      <c r="YA11" s="35"/>
      <c r="YB11" s="35"/>
      <c r="YC11" s="35"/>
      <c r="YD11" s="35"/>
      <c r="YE11" s="35"/>
      <c r="YF11" s="35"/>
      <c r="YG11" s="35"/>
      <c r="YH11" s="35"/>
      <c r="YI11" s="35"/>
      <c r="YJ11" s="35"/>
      <c r="YK11" s="35"/>
      <c r="YL11" s="35"/>
      <c r="YM11" s="35"/>
      <c r="YN11" s="35"/>
      <c r="YO11" s="35"/>
      <c r="YP11" s="35"/>
      <c r="YQ11" s="35"/>
      <c r="YR11" s="35"/>
      <c r="YS11" s="35"/>
      <c r="YT11" s="35"/>
      <c r="YU11" s="35"/>
      <c r="YV11" s="35"/>
      <c r="YW11" s="35"/>
      <c r="YX11" s="35"/>
      <c r="YY11" s="35"/>
      <c r="YZ11" s="35"/>
      <c r="ZA11" s="35"/>
      <c r="ZB11" s="35"/>
      <c r="ZC11" s="35"/>
      <c r="ZD11" s="35"/>
      <c r="ZE11" s="35"/>
      <c r="ZF11" s="35"/>
      <c r="ZG11" s="35"/>
      <c r="ZH11" s="35"/>
      <c r="ZI11" s="35"/>
      <c r="ZJ11" s="35"/>
      <c r="ZK11" s="35"/>
      <c r="ZL11" s="35"/>
      <c r="ZM11" s="35"/>
      <c r="ZN11" s="35"/>
      <c r="ZO11" s="35"/>
      <c r="ZP11" s="35"/>
      <c r="ZQ11" s="35"/>
      <c r="ZR11" s="35"/>
      <c r="ZS11" s="35"/>
      <c r="ZT11" s="35"/>
      <c r="ZU11" s="35"/>
      <c r="ZV11" s="35"/>
      <c r="ZW11" s="35"/>
      <c r="ZX11" s="35"/>
      <c r="ZY11" s="35"/>
      <c r="ZZ11" s="35"/>
      <c r="AAA11" s="35"/>
      <c r="AAB11" s="35"/>
      <c r="AAC11" s="35"/>
      <c r="AAD11" s="35"/>
      <c r="AAE11" s="35"/>
      <c r="AAF11" s="35"/>
      <c r="AAG11" s="35"/>
      <c r="AAH11" s="35"/>
      <c r="AAI11" s="35"/>
      <c r="AAJ11" s="35"/>
      <c r="AAK11" s="35"/>
      <c r="AAL11" s="35"/>
      <c r="AAM11" s="35"/>
      <c r="AAN11" s="35"/>
      <c r="AAO11" s="35"/>
      <c r="AAP11" s="35"/>
      <c r="AAQ11" s="35"/>
      <c r="AAR11" s="35"/>
      <c r="AAS11" s="35"/>
      <c r="AAT11" s="35"/>
      <c r="AAU11" s="35"/>
      <c r="AAV11" s="35"/>
      <c r="AAW11" s="35"/>
      <c r="AAX11" s="35"/>
      <c r="AAY11" s="35"/>
      <c r="AAZ11" s="35"/>
      <c r="ABA11" s="35"/>
      <c r="ABB11" s="35"/>
      <c r="ABC11" s="35"/>
      <c r="ABD11" s="35"/>
      <c r="ABE11" s="35"/>
      <c r="ABF11" s="35"/>
      <c r="ABG11" s="35"/>
      <c r="ABH11" s="35"/>
      <c r="ABI11" s="35"/>
      <c r="ABJ11" s="35"/>
      <c r="ABK11" s="35"/>
      <c r="ABL11" s="35"/>
      <c r="ABM11" s="35"/>
      <c r="ABN11" s="35"/>
      <c r="ABO11" s="35"/>
      <c r="ABP11" s="35"/>
      <c r="ABQ11" s="35"/>
      <c r="ABR11" s="35"/>
      <c r="ABS11" s="35"/>
      <c r="ABT11" s="35"/>
      <c r="ABU11" s="35"/>
      <c r="ABV11" s="35"/>
      <c r="ABW11" s="35"/>
      <c r="ABX11" s="35"/>
      <c r="ABY11" s="35"/>
      <c r="ABZ11" s="35"/>
      <c r="ACA11" s="35"/>
      <c r="ACB11" s="35"/>
      <c r="ACC11" s="35"/>
      <c r="ACD11" s="35"/>
      <c r="ACE11" s="35"/>
      <c r="ACF11" s="35"/>
      <c r="ACG11" s="35"/>
      <c r="ACH11" s="35"/>
      <c r="ACI11" s="35"/>
      <c r="ACJ11" s="35"/>
      <c r="ACK11" s="35"/>
      <c r="ACL11" s="35"/>
      <c r="ACM11" s="35"/>
      <c r="ACN11" s="35"/>
      <c r="ACO11" s="35"/>
      <c r="ACP11" s="35"/>
      <c r="ACQ11" s="35"/>
      <c r="ACR11" s="35"/>
      <c r="ACS11" s="35"/>
      <c r="ACT11" s="35"/>
      <c r="ACU11" s="35"/>
      <c r="ACV11" s="35"/>
      <c r="ACW11" s="35"/>
      <c r="ACX11" s="35"/>
      <c r="ACY11" s="35"/>
      <c r="ACZ11" s="35"/>
      <c r="ADA11" s="35"/>
      <c r="ADB11" s="35"/>
      <c r="ADC11" s="35"/>
      <c r="ADD11" s="35"/>
      <c r="ADE11" s="35"/>
      <c r="ADF11" s="35"/>
      <c r="ADG11" s="35"/>
      <c r="ADH11" s="35"/>
      <c r="ADI11" s="35"/>
      <c r="ADJ11" s="35"/>
      <c r="ADK11" s="35"/>
      <c r="ADL11" s="35"/>
      <c r="ADM11" s="35"/>
      <c r="ADN11" s="35"/>
      <c r="ADO11" s="35"/>
      <c r="ADP11" s="35"/>
      <c r="ADQ11" s="35"/>
      <c r="ADR11" s="35"/>
      <c r="ADS11" s="35"/>
      <c r="ADT11" s="35"/>
      <c r="ADU11" s="35"/>
      <c r="ADV11" s="35"/>
      <c r="ADW11" s="35"/>
      <c r="ADX11" s="35"/>
      <c r="ADY11" s="35"/>
      <c r="ADZ11" s="35"/>
      <c r="AEA11" s="35"/>
      <c r="AEB11" s="35"/>
      <c r="AEC11" s="35"/>
      <c r="AED11" s="35"/>
      <c r="AEE11" s="35"/>
      <c r="AEF11" s="35"/>
      <c r="AEG11" s="35"/>
      <c r="AEH11" s="35"/>
      <c r="AEI11" s="35"/>
      <c r="AEJ11" s="35"/>
      <c r="AEK11" s="35"/>
      <c r="AEL11" s="35"/>
      <c r="AEM11" s="35"/>
      <c r="AEN11" s="35"/>
      <c r="AEO11" s="35"/>
      <c r="AEP11" s="35"/>
      <c r="AEQ11" s="35"/>
      <c r="AER11" s="35"/>
      <c r="AES11" s="35"/>
      <c r="AET11" s="35"/>
      <c r="AEU11" s="35"/>
      <c r="AEV11" s="35"/>
      <c r="AEW11" s="35"/>
      <c r="AEX11" s="35"/>
      <c r="AEY11" s="35"/>
      <c r="AEZ11" s="35"/>
      <c r="AFA11" s="35"/>
      <c r="AFB11" s="35"/>
      <c r="AFC11" s="35"/>
      <c r="AFD11" s="35"/>
      <c r="AFE11" s="35"/>
      <c r="AFF11" s="35"/>
      <c r="AFG11" s="35"/>
      <c r="AFH11" s="35"/>
      <c r="AFI11" s="35"/>
      <c r="AFJ11" s="35"/>
      <c r="AFK11" s="35"/>
      <c r="AFL11" s="35"/>
      <c r="AFM11" s="35"/>
      <c r="AFN11" s="35"/>
      <c r="AFO11" s="35"/>
      <c r="AFP11" s="35"/>
      <c r="AFQ11" s="35"/>
      <c r="AFR11" s="35"/>
      <c r="AFS11" s="35"/>
      <c r="AFT11" s="35"/>
      <c r="AFU11" s="35"/>
      <c r="AFV11" s="35"/>
      <c r="AFW11" s="35"/>
      <c r="AFX11" s="35"/>
      <c r="AFY11" s="35"/>
      <c r="AFZ11" s="35"/>
      <c r="AGA11" s="35"/>
      <c r="AGB11" s="35"/>
      <c r="AGC11" s="35"/>
      <c r="AGD11" s="35"/>
      <c r="AGE11" s="35"/>
      <c r="AGF11" s="35"/>
      <c r="AGG11" s="35"/>
      <c r="AGH11" s="35"/>
      <c r="AGI11" s="35"/>
      <c r="AGJ11" s="35"/>
      <c r="AGK11" s="35"/>
      <c r="AGL11" s="35"/>
      <c r="AGM11" s="35"/>
      <c r="AGN11" s="35"/>
      <c r="AGO11" s="35"/>
      <c r="AGP11" s="35"/>
      <c r="AGQ11" s="35"/>
      <c r="AGR11" s="35"/>
      <c r="AGS11" s="35"/>
      <c r="AGT11" s="35"/>
      <c r="AGU11" s="35"/>
      <c r="AGV11" s="35"/>
      <c r="AGW11" s="35"/>
      <c r="AGX11" s="35"/>
      <c r="AGY11" s="35"/>
      <c r="AGZ11" s="35"/>
      <c r="AHA11" s="35"/>
      <c r="AHB11" s="35"/>
      <c r="AHC11" s="35"/>
      <c r="AHD11" s="35"/>
      <c r="AHE11" s="35"/>
      <c r="AHF11" s="35"/>
      <c r="AHG11" s="35"/>
      <c r="AHH11" s="35"/>
      <c r="AHI11" s="35"/>
      <c r="AHJ11" s="35"/>
      <c r="AHK11" s="35"/>
      <c r="AHL11" s="35"/>
      <c r="AHM11" s="35"/>
      <c r="AHN11" s="35"/>
      <c r="AHO11" s="35"/>
      <c r="AHP11" s="35"/>
      <c r="AHQ11" s="35"/>
      <c r="AHR11" s="35"/>
      <c r="AHS11" s="35"/>
      <c r="AHT11" s="35"/>
      <c r="AHU11" s="35"/>
      <c r="AHV11" s="35"/>
      <c r="AHW11" s="35"/>
      <c r="AHX11" s="35"/>
      <c r="AHY11" s="35"/>
      <c r="AHZ11" s="35"/>
      <c r="AIA11" s="35"/>
      <c r="AIB11" s="35"/>
      <c r="AIC11" s="35"/>
      <c r="AID11" s="35"/>
      <c r="AIE11" s="35"/>
      <c r="AIF11" s="35"/>
      <c r="AIG11" s="35"/>
      <c r="AIH11" s="35"/>
      <c r="AII11" s="35"/>
      <c r="AIJ11" s="35"/>
      <c r="AIK11" s="35"/>
      <c r="AIL11" s="35"/>
      <c r="AIM11" s="35"/>
      <c r="AIN11" s="35"/>
      <c r="AIO11" s="35"/>
      <c r="AIP11" s="35"/>
      <c r="AIQ11" s="35"/>
      <c r="AIR11" s="35"/>
      <c r="AIS11" s="35"/>
      <c r="AIT11" s="35"/>
      <c r="AIU11" s="35"/>
      <c r="AIV11" s="35"/>
      <c r="AIW11" s="35"/>
      <c r="AIX11" s="35"/>
      <c r="AIY11" s="35"/>
      <c r="AIZ11" s="35"/>
      <c r="AJA11" s="35"/>
      <c r="AJB11" s="35"/>
      <c r="AJC11" s="35"/>
      <c r="AJD11" s="35"/>
      <c r="AJE11" s="35"/>
      <c r="AJF11" s="35"/>
      <c r="AJG11" s="35"/>
      <c r="AJH11" s="35"/>
      <c r="AJI11" s="35"/>
      <c r="AJJ11" s="35"/>
      <c r="AJK11" s="35"/>
      <c r="AJL11" s="35"/>
      <c r="AJM11" s="35"/>
      <c r="AJN11" s="35"/>
      <c r="AJO11" s="35"/>
      <c r="AJP11" s="35"/>
      <c r="AJQ11" s="35"/>
      <c r="AJR11" s="35"/>
      <c r="AJS11" s="35"/>
      <c r="AJT11" s="35"/>
      <c r="AJU11" s="35"/>
      <c r="AJV11" s="35"/>
      <c r="AJW11" s="35"/>
      <c r="AJX11" s="35"/>
      <c r="AJY11" s="35"/>
      <c r="AJZ11" s="35"/>
      <c r="AKA11" s="35"/>
      <c r="AKB11" s="35"/>
      <c r="AKC11" s="35"/>
      <c r="AKD11" s="35"/>
      <c r="AKE11" s="35"/>
      <c r="AKF11" s="35"/>
      <c r="AKG11" s="35"/>
      <c r="AKH11" s="35"/>
      <c r="AKI11" s="35"/>
      <c r="AKJ11" s="35"/>
      <c r="AKK11" s="35"/>
      <c r="AKL11" s="35"/>
      <c r="AKM11" s="35"/>
      <c r="AKN11" s="35"/>
      <c r="AKO11" s="35"/>
      <c r="AKP11" s="35"/>
      <c r="AKQ11" s="35"/>
      <c r="AKR11" s="35"/>
      <c r="AKS11" s="35"/>
      <c r="AKT11" s="35"/>
      <c r="AKU11" s="35"/>
      <c r="AKV11" s="35"/>
      <c r="AKW11" s="35"/>
      <c r="AKX11" s="35"/>
      <c r="AKY11" s="35"/>
      <c r="AKZ11" s="35"/>
      <c r="ALA11" s="35"/>
      <c r="ALB11" s="35"/>
      <c r="ALC11" s="35"/>
      <c r="ALD11" s="35"/>
      <c r="ALE11" s="35"/>
      <c r="ALF11" s="35"/>
      <c r="ALG11" s="35"/>
      <c r="ALH11" s="35"/>
      <c r="ALI11" s="35"/>
      <c r="ALJ11" s="35"/>
      <c r="ALK11" s="35"/>
      <c r="ALL11" s="35"/>
      <c r="ALM11" s="35"/>
      <c r="ALN11" s="35"/>
      <c r="ALO11" s="35"/>
      <c r="ALP11" s="35"/>
      <c r="ALQ11" s="35"/>
      <c r="ALR11" s="35"/>
      <c r="ALS11" s="35"/>
      <c r="ALT11" s="35"/>
      <c r="ALU11" s="35"/>
      <c r="ALV11" s="35"/>
      <c r="ALW11" s="35"/>
      <c r="ALX11" s="35"/>
      <c r="ALY11" s="35"/>
      <c r="ALZ11" s="35"/>
      <c r="AMA11" s="35"/>
      <c r="AMB11" s="1"/>
    </row>
    <row r="12" customFormat="false" ht="12.8" hidden="true" customHeight="true" outlineLevel="1" collapsed="false">
      <c r="A12" s="40"/>
      <c r="B12" s="40"/>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63"/>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c r="BL12" s="40"/>
      <c r="BM12" s="40"/>
      <c r="BN12" s="40"/>
      <c r="BO12" s="40"/>
      <c r="BP12" s="40"/>
      <c r="BQ12" s="40"/>
      <c r="BR12" s="40"/>
      <c r="BS12" s="40"/>
      <c r="BT12" s="40"/>
      <c r="BU12" s="40"/>
      <c r="BV12" s="40"/>
      <c r="BW12" s="40"/>
      <c r="BX12" s="40"/>
      <c r="BY12" s="40"/>
      <c r="BZ12" s="40"/>
      <c r="CA12" s="40"/>
      <c r="CB12" s="40"/>
      <c r="CC12" s="40"/>
      <c r="CD12" s="40"/>
      <c r="CE12" s="40"/>
      <c r="CF12" s="40"/>
      <c r="CG12" s="40"/>
      <c r="CH12" s="40"/>
      <c r="CI12" s="40"/>
      <c r="CJ12" s="40"/>
      <c r="CK12" s="40"/>
      <c r="CL12" s="40"/>
      <c r="CM12" s="40"/>
      <c r="CN12" s="40"/>
      <c r="CO12" s="40"/>
      <c r="CP12" s="40"/>
      <c r="CQ12" s="40"/>
      <c r="CR12" s="40"/>
      <c r="CS12" s="40"/>
      <c r="CT12" s="40"/>
      <c r="CU12" s="40"/>
      <c r="CV12" s="40"/>
      <c r="CW12" s="40"/>
      <c r="CX12" s="40"/>
      <c r="CY12" s="40"/>
      <c r="CZ12" s="40"/>
      <c r="DA12" s="40"/>
      <c r="DB12" s="40"/>
      <c r="DC12" s="40"/>
      <c r="DD12" s="40"/>
      <c r="DE12" s="40"/>
      <c r="DF12" s="40"/>
      <c r="DG12" s="40"/>
      <c r="DH12" s="40"/>
      <c r="DI12" s="40"/>
      <c r="DJ12" s="40"/>
      <c r="DK12" s="40"/>
      <c r="DL12" s="40"/>
      <c r="DM12" s="40"/>
      <c r="DN12" s="40"/>
      <c r="DO12" s="40"/>
      <c r="DP12" s="40"/>
      <c r="DQ12" s="40"/>
      <c r="DR12" s="40"/>
      <c r="DS12" s="40"/>
      <c r="DT12" s="40"/>
      <c r="DU12" s="40"/>
      <c r="DV12" s="40"/>
      <c r="DW12" s="40"/>
      <c r="DX12" s="40"/>
      <c r="DY12" s="40"/>
      <c r="DZ12" s="40" t="s">
        <v>364</v>
      </c>
      <c r="EA12" s="35"/>
      <c r="EB12" s="81"/>
      <c r="EC12" s="35"/>
      <c r="ED12" s="35"/>
      <c r="EE12" s="35"/>
      <c r="EF12" s="35"/>
      <c r="EG12" s="35"/>
      <c r="EH12" s="35"/>
      <c r="EI12" s="35"/>
      <c r="EJ12" s="35"/>
      <c r="EK12" s="35"/>
      <c r="EL12" s="35"/>
      <c r="EM12" s="35"/>
      <c r="EN12" s="35"/>
      <c r="EO12" s="35"/>
      <c r="EP12" s="35"/>
      <c r="EQ12" s="35"/>
      <c r="ER12" s="35"/>
      <c r="ES12" s="35"/>
      <c r="ET12" s="35"/>
      <c r="EU12" s="35"/>
      <c r="EV12" s="35"/>
      <c r="EW12" s="35"/>
      <c r="EX12" s="35"/>
      <c r="EY12" s="35"/>
      <c r="EZ12" s="35"/>
      <c r="FA12" s="35"/>
      <c r="FB12" s="35"/>
      <c r="FC12" s="35"/>
      <c r="FD12" s="35"/>
      <c r="FE12" s="35"/>
      <c r="FF12" s="35"/>
      <c r="FG12" s="35"/>
      <c r="FH12" s="35"/>
      <c r="FI12" s="35"/>
      <c r="FJ12" s="35"/>
      <c r="FK12" s="35"/>
      <c r="FL12" s="35"/>
      <c r="FM12" s="35"/>
      <c r="FN12" s="35"/>
      <c r="FO12" s="35"/>
      <c r="FP12" s="35"/>
      <c r="FQ12" s="35"/>
      <c r="FR12" s="35"/>
      <c r="FS12" s="35"/>
      <c r="FT12" s="35"/>
      <c r="FU12" s="35"/>
      <c r="FV12" s="35"/>
      <c r="FW12" s="35"/>
      <c r="FX12" s="35"/>
      <c r="FY12" s="35"/>
      <c r="FZ12" s="35"/>
      <c r="GA12" s="35"/>
      <c r="GB12" s="35"/>
      <c r="GC12" s="35"/>
      <c r="GD12" s="35"/>
      <c r="GE12" s="35"/>
      <c r="GF12" s="35"/>
      <c r="GG12" s="35"/>
      <c r="GH12" s="35"/>
      <c r="GI12" s="35"/>
      <c r="GJ12" s="35"/>
      <c r="GK12" s="35"/>
      <c r="GL12" s="35"/>
      <c r="GM12" s="35"/>
      <c r="GN12" s="35"/>
      <c r="GO12" s="35"/>
      <c r="GP12" s="35"/>
      <c r="GQ12" s="35"/>
      <c r="GR12" s="35"/>
      <c r="GS12" s="35"/>
      <c r="GT12" s="35"/>
      <c r="GU12" s="35"/>
      <c r="GV12" s="35"/>
      <c r="GW12" s="35"/>
      <c r="GX12" s="35"/>
      <c r="GY12" s="35"/>
      <c r="GZ12" s="35"/>
      <c r="HA12" s="35"/>
      <c r="HB12" s="35"/>
      <c r="HC12" s="35"/>
      <c r="HD12" s="35"/>
      <c r="HE12" s="35"/>
      <c r="HF12" s="35"/>
      <c r="HG12" s="35"/>
      <c r="HH12" s="35"/>
      <c r="HI12" s="35"/>
      <c r="HJ12" s="35"/>
      <c r="HK12" s="35"/>
      <c r="HL12" s="35"/>
      <c r="HM12" s="35"/>
      <c r="HN12" s="35"/>
      <c r="HO12" s="35"/>
      <c r="HP12" s="35"/>
      <c r="HQ12" s="35"/>
      <c r="HR12" s="35"/>
      <c r="HS12" s="35"/>
      <c r="HT12" s="35"/>
      <c r="HU12" s="35"/>
      <c r="HV12" s="35"/>
      <c r="HW12" s="35"/>
      <c r="HX12" s="35"/>
      <c r="HY12" s="35"/>
      <c r="HZ12" s="35"/>
      <c r="IA12" s="35"/>
      <c r="IB12" s="35"/>
      <c r="IC12" s="35"/>
      <c r="ID12" s="35"/>
      <c r="IE12" s="35"/>
      <c r="IF12" s="35"/>
      <c r="IG12" s="35"/>
      <c r="IH12" s="35"/>
      <c r="II12" s="35"/>
      <c r="IJ12" s="35"/>
      <c r="IK12" s="35"/>
      <c r="IL12" s="35"/>
      <c r="IM12" s="35"/>
      <c r="IN12" s="35"/>
      <c r="IO12" s="35"/>
      <c r="IP12" s="35"/>
      <c r="IQ12" s="35"/>
      <c r="IR12" s="35"/>
      <c r="IS12" s="35"/>
      <c r="IT12" s="35"/>
      <c r="IU12" s="35"/>
      <c r="IV12" s="35"/>
      <c r="IW12" s="35"/>
      <c r="IX12" s="35"/>
      <c r="IY12" s="35"/>
      <c r="IZ12" s="35"/>
      <c r="JA12" s="35"/>
      <c r="JB12" s="35"/>
      <c r="JC12" s="35"/>
      <c r="JD12" s="35"/>
      <c r="JE12" s="35"/>
      <c r="JF12" s="35"/>
      <c r="JG12" s="35"/>
      <c r="JH12" s="35"/>
      <c r="JI12" s="35"/>
      <c r="JJ12" s="35"/>
      <c r="JK12" s="35"/>
      <c r="JL12" s="35"/>
      <c r="JM12" s="35"/>
      <c r="JN12" s="35"/>
      <c r="JO12" s="35"/>
      <c r="JP12" s="35"/>
      <c r="JQ12" s="35"/>
      <c r="JR12" s="35"/>
      <c r="JS12" s="35"/>
      <c r="JT12" s="35"/>
      <c r="JU12" s="35"/>
      <c r="JV12" s="35"/>
      <c r="JW12" s="35"/>
      <c r="JX12" s="35"/>
      <c r="JY12" s="35"/>
      <c r="JZ12" s="35"/>
      <c r="KA12" s="35"/>
      <c r="KB12" s="35"/>
      <c r="KC12" s="35"/>
      <c r="KD12" s="35"/>
      <c r="KE12" s="35"/>
      <c r="KF12" s="35"/>
      <c r="KG12" s="35"/>
      <c r="KH12" s="35"/>
      <c r="KI12" s="35"/>
      <c r="KJ12" s="35"/>
      <c r="KK12" s="35"/>
      <c r="KL12" s="35"/>
      <c r="KM12" s="35"/>
      <c r="KN12" s="35"/>
      <c r="KO12" s="35"/>
      <c r="KP12" s="35"/>
      <c r="KQ12" s="35"/>
      <c r="KR12" s="35"/>
      <c r="KS12" s="35"/>
      <c r="KT12" s="35"/>
      <c r="KU12" s="35"/>
      <c r="KV12" s="35"/>
      <c r="KW12" s="35"/>
      <c r="KX12" s="35"/>
      <c r="KY12" s="35"/>
      <c r="KZ12" s="35"/>
      <c r="LA12" s="35"/>
      <c r="LB12" s="35"/>
      <c r="LC12" s="35"/>
      <c r="LD12" s="35"/>
      <c r="LE12" s="35"/>
      <c r="LF12" s="35"/>
      <c r="LG12" s="35"/>
      <c r="LH12" s="35"/>
      <c r="LI12" s="35"/>
      <c r="LJ12" s="35"/>
      <c r="LK12" s="35"/>
      <c r="LL12" s="35"/>
      <c r="LM12" s="35"/>
      <c r="LN12" s="35"/>
      <c r="LO12" s="35"/>
      <c r="LP12" s="35"/>
      <c r="LQ12" s="35"/>
      <c r="LR12" s="35"/>
      <c r="LS12" s="35"/>
      <c r="LT12" s="35"/>
      <c r="LU12" s="35"/>
      <c r="LV12" s="35"/>
      <c r="LW12" s="35"/>
      <c r="LX12" s="35"/>
      <c r="LY12" s="35"/>
      <c r="LZ12" s="35"/>
      <c r="MA12" s="35"/>
      <c r="MB12" s="35"/>
      <c r="MC12" s="35"/>
      <c r="MD12" s="35"/>
      <c r="ME12" s="35"/>
      <c r="MF12" s="35"/>
      <c r="MG12" s="35"/>
      <c r="MH12" s="35"/>
      <c r="MI12" s="35"/>
      <c r="MJ12" s="35"/>
      <c r="MK12" s="35"/>
      <c r="ML12" s="35"/>
      <c r="MM12" s="35"/>
      <c r="MN12" s="35"/>
      <c r="MO12" s="35"/>
      <c r="MP12" s="35"/>
      <c r="MQ12" s="35"/>
      <c r="MR12" s="35"/>
      <c r="MS12" s="35"/>
      <c r="MT12" s="35"/>
      <c r="MU12" s="35"/>
      <c r="MV12" s="35"/>
      <c r="MW12" s="35"/>
      <c r="MX12" s="35"/>
      <c r="MY12" s="35"/>
      <c r="MZ12" s="35"/>
      <c r="NA12" s="35"/>
      <c r="NB12" s="35"/>
      <c r="NC12" s="35"/>
      <c r="ND12" s="35"/>
      <c r="NE12" s="35"/>
      <c r="NF12" s="35"/>
      <c r="NG12" s="35"/>
      <c r="NH12" s="35"/>
      <c r="NI12" s="35"/>
      <c r="NJ12" s="35"/>
      <c r="NK12" s="35"/>
      <c r="NL12" s="35"/>
      <c r="NM12" s="35"/>
      <c r="NN12" s="35"/>
      <c r="NO12" s="35"/>
      <c r="NP12" s="35"/>
      <c r="NQ12" s="35"/>
      <c r="NR12" s="35"/>
      <c r="NS12" s="35"/>
      <c r="NT12" s="35"/>
      <c r="NU12" s="35"/>
      <c r="NV12" s="35"/>
      <c r="NW12" s="35"/>
      <c r="NX12" s="35"/>
      <c r="NY12" s="35"/>
      <c r="NZ12" s="35"/>
      <c r="OA12" s="35"/>
      <c r="OB12" s="35"/>
      <c r="OC12" s="35"/>
      <c r="OD12" s="35"/>
      <c r="OE12" s="35"/>
      <c r="OF12" s="35"/>
      <c r="OG12" s="35"/>
      <c r="OH12" s="35"/>
      <c r="OI12" s="35"/>
      <c r="OJ12" s="35"/>
      <c r="OK12" s="35"/>
      <c r="OL12" s="35"/>
      <c r="OM12" s="35"/>
      <c r="ON12" s="35"/>
      <c r="OO12" s="35"/>
      <c r="OP12" s="35"/>
      <c r="OQ12" s="35"/>
      <c r="OR12" s="35"/>
      <c r="OS12" s="35"/>
      <c r="OT12" s="35"/>
      <c r="OU12" s="35"/>
      <c r="OV12" s="35"/>
      <c r="OW12" s="35"/>
      <c r="OX12" s="35"/>
      <c r="OY12" s="35"/>
      <c r="OZ12" s="35"/>
      <c r="PA12" s="35"/>
      <c r="PB12" s="35"/>
      <c r="PC12" s="35"/>
      <c r="PD12" s="35"/>
      <c r="PE12" s="35"/>
      <c r="PF12" s="35"/>
      <c r="PG12" s="35"/>
      <c r="PH12" s="35"/>
      <c r="PI12" s="35"/>
      <c r="PJ12" s="35"/>
      <c r="PK12" s="35"/>
      <c r="PL12" s="35"/>
      <c r="PM12" s="35"/>
      <c r="PN12" s="35"/>
      <c r="PO12" s="35"/>
      <c r="PP12" s="35"/>
      <c r="PQ12" s="35"/>
      <c r="PR12" s="35"/>
      <c r="PS12" s="35"/>
      <c r="PT12" s="35"/>
      <c r="PU12" s="35"/>
      <c r="PV12" s="35"/>
      <c r="PW12" s="35"/>
      <c r="PX12" s="35"/>
      <c r="PY12" s="35"/>
      <c r="PZ12" s="35"/>
      <c r="QA12" s="35"/>
      <c r="QB12" s="35"/>
      <c r="QC12" s="35"/>
      <c r="QD12" s="35"/>
      <c r="QE12" s="35"/>
      <c r="QF12" s="35"/>
      <c r="QG12" s="35"/>
      <c r="QH12" s="35"/>
      <c r="QI12" s="35"/>
      <c r="QJ12" s="35"/>
      <c r="QK12" s="35"/>
      <c r="QL12" s="35"/>
      <c r="QM12" s="35"/>
      <c r="QN12" s="35"/>
      <c r="QO12" s="35"/>
      <c r="QP12" s="35"/>
      <c r="QQ12" s="35"/>
      <c r="QR12" s="35"/>
      <c r="QS12" s="35"/>
      <c r="QT12" s="35"/>
      <c r="QU12" s="35"/>
      <c r="QV12" s="35"/>
      <c r="QW12" s="35"/>
      <c r="QX12" s="35"/>
      <c r="QY12" s="35"/>
      <c r="QZ12" s="35"/>
      <c r="RA12" s="35"/>
      <c r="RB12" s="35"/>
      <c r="RC12" s="35"/>
      <c r="RD12" s="35"/>
      <c r="RE12" s="35"/>
      <c r="RF12" s="35"/>
      <c r="RG12" s="35"/>
      <c r="RH12" s="35"/>
      <c r="RI12" s="35"/>
      <c r="RJ12" s="35"/>
      <c r="RK12" s="35"/>
      <c r="RL12" s="35"/>
      <c r="RM12" s="35"/>
      <c r="RN12" s="35"/>
      <c r="RO12" s="35"/>
      <c r="RP12" s="35"/>
      <c r="RQ12" s="35"/>
      <c r="RR12" s="35"/>
      <c r="RS12" s="35"/>
      <c r="RT12" s="35"/>
      <c r="RU12" s="35"/>
      <c r="RV12" s="35"/>
      <c r="RW12" s="35"/>
      <c r="RX12" s="35"/>
      <c r="RY12" s="35"/>
      <c r="RZ12" s="35"/>
      <c r="SA12" s="35"/>
      <c r="SB12" s="35"/>
      <c r="SC12" s="35"/>
      <c r="SD12" s="35"/>
      <c r="SE12" s="35"/>
      <c r="SF12" s="35"/>
      <c r="SG12" s="35"/>
      <c r="SH12" s="35"/>
      <c r="SI12" s="35"/>
      <c r="SJ12" s="35"/>
      <c r="SK12" s="35"/>
      <c r="SL12" s="35"/>
      <c r="SM12" s="35"/>
      <c r="SN12" s="35"/>
      <c r="SO12" s="35"/>
      <c r="SP12" s="35"/>
      <c r="SQ12" s="35"/>
      <c r="SR12" s="35"/>
      <c r="SS12" s="35"/>
      <c r="ST12" s="35"/>
      <c r="SU12" s="35"/>
      <c r="SV12" s="35"/>
      <c r="SW12" s="35"/>
      <c r="SX12" s="35"/>
      <c r="SY12" s="35"/>
      <c r="SZ12" s="35"/>
      <c r="TA12" s="35"/>
      <c r="TB12" s="35"/>
      <c r="TC12" s="35"/>
      <c r="TD12" s="35"/>
      <c r="TE12" s="35"/>
      <c r="TF12" s="35"/>
      <c r="TG12" s="35"/>
      <c r="TH12" s="35"/>
      <c r="TI12" s="35"/>
      <c r="TJ12" s="35"/>
      <c r="TK12" s="35"/>
      <c r="TL12" s="35"/>
      <c r="TM12" s="35"/>
      <c r="TN12" s="35"/>
      <c r="TO12" s="35"/>
      <c r="TP12" s="35"/>
      <c r="TQ12" s="35"/>
      <c r="TR12" s="35"/>
      <c r="TS12" s="35"/>
      <c r="TT12" s="35"/>
      <c r="TU12" s="35"/>
      <c r="TV12" s="35"/>
      <c r="TW12" s="35"/>
      <c r="TX12" s="35"/>
      <c r="TY12" s="35"/>
      <c r="TZ12" s="35"/>
      <c r="UA12" s="35"/>
      <c r="UB12" s="35"/>
      <c r="UC12" s="35"/>
      <c r="UD12" s="35"/>
      <c r="UE12" s="35"/>
      <c r="UF12" s="35"/>
      <c r="UG12" s="35"/>
      <c r="UH12" s="35"/>
      <c r="UI12" s="35"/>
      <c r="UJ12" s="35"/>
      <c r="UK12" s="35"/>
      <c r="UL12" s="35"/>
      <c r="UM12" s="35"/>
      <c r="UN12" s="35"/>
      <c r="UO12" s="35"/>
      <c r="UP12" s="35"/>
      <c r="UQ12" s="35"/>
      <c r="UR12" s="35"/>
      <c r="US12" s="35"/>
      <c r="UT12" s="35"/>
      <c r="UU12" s="35"/>
      <c r="UV12" s="35"/>
      <c r="UW12" s="35"/>
      <c r="UX12" s="35"/>
      <c r="UY12" s="35"/>
      <c r="UZ12" s="35"/>
      <c r="VA12" s="35"/>
      <c r="VB12" s="35"/>
      <c r="VC12" s="35"/>
      <c r="VD12" s="35"/>
      <c r="VE12" s="35"/>
      <c r="VF12" s="35"/>
      <c r="VG12" s="35"/>
      <c r="VH12" s="35"/>
      <c r="VI12" s="35"/>
      <c r="VJ12" s="35"/>
      <c r="VK12" s="35"/>
      <c r="VL12" s="35"/>
      <c r="VM12" s="35"/>
      <c r="VN12" s="35"/>
      <c r="VO12" s="35"/>
      <c r="VP12" s="35"/>
      <c r="VQ12" s="35"/>
      <c r="VR12" s="35"/>
      <c r="VS12" s="35"/>
      <c r="VT12" s="35"/>
      <c r="VU12" s="35"/>
      <c r="VV12" s="35"/>
      <c r="VW12" s="35"/>
      <c r="VX12" s="35"/>
      <c r="VY12" s="35"/>
      <c r="VZ12" s="35"/>
      <c r="WA12" s="35"/>
      <c r="WB12" s="35"/>
      <c r="WC12" s="35"/>
      <c r="WD12" s="35"/>
      <c r="WE12" s="35"/>
      <c r="WF12" s="35"/>
      <c r="WG12" s="35"/>
      <c r="WH12" s="35"/>
      <c r="WI12" s="35"/>
      <c r="WJ12" s="35"/>
      <c r="WK12" s="35"/>
      <c r="WL12" s="35"/>
      <c r="WM12" s="35"/>
      <c r="WN12" s="35"/>
      <c r="WO12" s="35"/>
      <c r="WP12" s="35"/>
      <c r="WQ12" s="35"/>
      <c r="WR12" s="35"/>
      <c r="WS12" s="35"/>
      <c r="WT12" s="35"/>
      <c r="WU12" s="35"/>
      <c r="WV12" s="35"/>
      <c r="WW12" s="35"/>
      <c r="WX12" s="35"/>
      <c r="WY12" s="35"/>
      <c r="WZ12" s="35"/>
      <c r="XA12" s="35"/>
      <c r="XB12" s="35"/>
      <c r="XC12" s="35"/>
      <c r="XD12" s="35"/>
      <c r="XE12" s="35"/>
      <c r="XF12" s="35"/>
      <c r="XG12" s="35"/>
      <c r="XH12" s="35"/>
      <c r="XI12" s="35"/>
      <c r="XJ12" s="35"/>
      <c r="XK12" s="35"/>
      <c r="XL12" s="35"/>
      <c r="XM12" s="35"/>
      <c r="XN12" s="35"/>
      <c r="XO12" s="35"/>
      <c r="XP12" s="35"/>
      <c r="XQ12" s="35"/>
      <c r="XR12" s="35"/>
      <c r="XS12" s="35"/>
      <c r="XT12" s="35"/>
      <c r="XU12" s="35"/>
      <c r="XV12" s="35"/>
      <c r="XW12" s="35"/>
      <c r="XX12" s="35"/>
      <c r="XY12" s="35"/>
      <c r="XZ12" s="35"/>
      <c r="YA12" s="35"/>
      <c r="YB12" s="35"/>
      <c r="YC12" s="35"/>
      <c r="YD12" s="35"/>
      <c r="YE12" s="35"/>
      <c r="YF12" s="35"/>
      <c r="YG12" s="35"/>
      <c r="YH12" s="35"/>
      <c r="YI12" s="35"/>
      <c r="YJ12" s="35"/>
      <c r="YK12" s="35"/>
      <c r="YL12" s="35"/>
      <c r="YM12" s="35"/>
      <c r="YN12" s="35"/>
      <c r="YO12" s="35"/>
      <c r="YP12" s="35"/>
      <c r="YQ12" s="35"/>
      <c r="YR12" s="35"/>
      <c r="YS12" s="35"/>
      <c r="YT12" s="35"/>
      <c r="YU12" s="35"/>
      <c r="YV12" s="35"/>
      <c r="YW12" s="35"/>
      <c r="YX12" s="35"/>
      <c r="YY12" s="35"/>
      <c r="YZ12" s="35"/>
      <c r="ZA12" s="35"/>
      <c r="ZB12" s="35"/>
      <c r="ZC12" s="35"/>
      <c r="ZD12" s="35"/>
      <c r="ZE12" s="35"/>
      <c r="ZF12" s="35"/>
      <c r="ZG12" s="35"/>
      <c r="ZH12" s="35"/>
      <c r="ZI12" s="35"/>
      <c r="ZJ12" s="35"/>
      <c r="ZK12" s="35"/>
      <c r="ZL12" s="35"/>
      <c r="ZM12" s="35"/>
      <c r="ZN12" s="35"/>
      <c r="ZO12" s="35"/>
      <c r="ZP12" s="35"/>
      <c r="ZQ12" s="35"/>
      <c r="ZR12" s="35"/>
      <c r="ZS12" s="35"/>
      <c r="ZT12" s="35"/>
      <c r="ZU12" s="35"/>
      <c r="ZV12" s="35"/>
      <c r="ZW12" s="35"/>
      <c r="ZX12" s="35"/>
      <c r="ZY12" s="35"/>
      <c r="ZZ12" s="35"/>
      <c r="AAA12" s="35"/>
      <c r="AAB12" s="35"/>
      <c r="AAC12" s="35"/>
      <c r="AAD12" s="35"/>
      <c r="AAE12" s="35"/>
      <c r="AAF12" s="35"/>
      <c r="AAG12" s="35"/>
      <c r="AAH12" s="35"/>
      <c r="AAI12" s="35"/>
      <c r="AAJ12" s="35"/>
      <c r="AAK12" s="35"/>
      <c r="AAL12" s="35"/>
      <c r="AAM12" s="35"/>
      <c r="AAN12" s="35"/>
      <c r="AAO12" s="35"/>
      <c r="AAP12" s="35"/>
      <c r="AAQ12" s="35"/>
      <c r="AAR12" s="35"/>
      <c r="AAS12" s="35"/>
      <c r="AAT12" s="35"/>
      <c r="AAU12" s="35"/>
      <c r="AAV12" s="35"/>
      <c r="AAW12" s="35"/>
      <c r="AAX12" s="35"/>
      <c r="AAY12" s="35"/>
      <c r="AAZ12" s="35"/>
      <c r="ABA12" s="35"/>
      <c r="ABB12" s="35"/>
      <c r="ABC12" s="35"/>
      <c r="ABD12" s="35"/>
      <c r="ABE12" s="35"/>
      <c r="ABF12" s="35"/>
      <c r="ABG12" s="35"/>
      <c r="ABH12" s="35"/>
      <c r="ABI12" s="35"/>
      <c r="ABJ12" s="35"/>
      <c r="ABK12" s="35"/>
      <c r="ABL12" s="35"/>
      <c r="ABM12" s="35"/>
      <c r="ABN12" s="35"/>
      <c r="ABO12" s="35"/>
      <c r="ABP12" s="35"/>
      <c r="ABQ12" s="35"/>
      <c r="ABR12" s="35"/>
      <c r="ABS12" s="35"/>
      <c r="ABT12" s="35"/>
      <c r="ABU12" s="35"/>
      <c r="ABV12" s="35"/>
      <c r="ABW12" s="35"/>
      <c r="ABX12" s="35"/>
      <c r="ABY12" s="35"/>
      <c r="ABZ12" s="35"/>
      <c r="ACA12" s="35"/>
      <c r="ACB12" s="35"/>
      <c r="ACC12" s="35"/>
      <c r="ACD12" s="35"/>
      <c r="ACE12" s="35"/>
      <c r="ACF12" s="35"/>
      <c r="ACG12" s="35"/>
      <c r="ACH12" s="35"/>
      <c r="ACI12" s="35"/>
      <c r="ACJ12" s="35"/>
      <c r="ACK12" s="35"/>
      <c r="ACL12" s="35"/>
      <c r="ACM12" s="35"/>
      <c r="ACN12" s="35"/>
      <c r="ACO12" s="35"/>
      <c r="ACP12" s="35"/>
      <c r="ACQ12" s="35"/>
      <c r="ACR12" s="35"/>
      <c r="ACS12" s="35"/>
      <c r="ACT12" s="35"/>
      <c r="ACU12" s="35"/>
      <c r="ACV12" s="35"/>
      <c r="ACW12" s="35"/>
      <c r="ACX12" s="35"/>
      <c r="ACY12" s="35"/>
      <c r="ACZ12" s="35"/>
      <c r="ADA12" s="35"/>
      <c r="ADB12" s="35"/>
      <c r="ADC12" s="35"/>
      <c r="ADD12" s="35"/>
      <c r="ADE12" s="35"/>
      <c r="ADF12" s="35"/>
      <c r="ADG12" s="35"/>
      <c r="ADH12" s="35"/>
      <c r="ADI12" s="35"/>
      <c r="ADJ12" s="35"/>
      <c r="ADK12" s="35"/>
      <c r="ADL12" s="35"/>
      <c r="ADM12" s="35"/>
      <c r="ADN12" s="35"/>
      <c r="ADO12" s="35"/>
      <c r="ADP12" s="35"/>
      <c r="ADQ12" s="35"/>
      <c r="ADR12" s="35"/>
      <c r="ADS12" s="35"/>
      <c r="ADT12" s="35"/>
      <c r="ADU12" s="35"/>
      <c r="ADV12" s="35"/>
      <c r="ADW12" s="35"/>
      <c r="ADX12" s="35"/>
      <c r="ADY12" s="35"/>
      <c r="ADZ12" s="35"/>
      <c r="AEA12" s="35"/>
      <c r="AEB12" s="35"/>
      <c r="AEC12" s="35"/>
      <c r="AED12" s="35"/>
      <c r="AEE12" s="35"/>
      <c r="AEF12" s="35"/>
      <c r="AEG12" s="35"/>
      <c r="AEH12" s="35"/>
      <c r="AEI12" s="35"/>
      <c r="AEJ12" s="35"/>
      <c r="AEK12" s="35"/>
      <c r="AEL12" s="35"/>
      <c r="AEM12" s="35"/>
      <c r="AEN12" s="35"/>
      <c r="AEO12" s="35"/>
      <c r="AEP12" s="35"/>
      <c r="AEQ12" s="35"/>
      <c r="AER12" s="35"/>
      <c r="AES12" s="35"/>
      <c r="AET12" s="35"/>
      <c r="AEU12" s="35"/>
      <c r="AEV12" s="35"/>
      <c r="AEW12" s="35"/>
      <c r="AEX12" s="35"/>
      <c r="AEY12" s="35"/>
      <c r="AEZ12" s="35"/>
      <c r="AFA12" s="35"/>
      <c r="AFB12" s="35"/>
      <c r="AFC12" s="35"/>
      <c r="AFD12" s="35"/>
      <c r="AFE12" s="35"/>
      <c r="AFF12" s="35"/>
      <c r="AFG12" s="35"/>
      <c r="AFH12" s="35"/>
      <c r="AFI12" s="35"/>
      <c r="AFJ12" s="35"/>
      <c r="AFK12" s="35"/>
      <c r="AFL12" s="35"/>
      <c r="AFM12" s="35"/>
      <c r="AFN12" s="35"/>
      <c r="AFO12" s="35"/>
      <c r="AFP12" s="35"/>
      <c r="AFQ12" s="35"/>
      <c r="AFR12" s="35"/>
      <c r="AFS12" s="35"/>
      <c r="AFT12" s="35"/>
      <c r="AFU12" s="35"/>
      <c r="AFV12" s="35"/>
      <c r="AFW12" s="35"/>
      <c r="AFX12" s="35"/>
      <c r="AFY12" s="35"/>
      <c r="AFZ12" s="35"/>
      <c r="AGA12" s="35"/>
      <c r="AGB12" s="35"/>
      <c r="AGC12" s="35"/>
      <c r="AGD12" s="35"/>
      <c r="AGE12" s="35"/>
      <c r="AGF12" s="35"/>
      <c r="AGG12" s="35"/>
      <c r="AGH12" s="35"/>
      <c r="AGI12" s="35"/>
      <c r="AGJ12" s="35"/>
      <c r="AGK12" s="35"/>
      <c r="AGL12" s="35"/>
      <c r="AGM12" s="35"/>
      <c r="AGN12" s="35"/>
      <c r="AGO12" s="35"/>
      <c r="AGP12" s="35"/>
      <c r="AGQ12" s="35"/>
      <c r="AGR12" s="35"/>
      <c r="AGS12" s="35"/>
      <c r="AGT12" s="35"/>
      <c r="AGU12" s="35"/>
      <c r="AGV12" s="35"/>
      <c r="AGW12" s="35"/>
      <c r="AGX12" s="35"/>
      <c r="AGY12" s="35"/>
      <c r="AGZ12" s="35"/>
      <c r="AHA12" s="35"/>
      <c r="AHB12" s="35"/>
      <c r="AHC12" s="35"/>
      <c r="AHD12" s="35"/>
      <c r="AHE12" s="35"/>
      <c r="AHF12" s="35"/>
      <c r="AHG12" s="35"/>
      <c r="AHH12" s="35"/>
      <c r="AHI12" s="35"/>
      <c r="AHJ12" s="35"/>
      <c r="AHK12" s="35"/>
      <c r="AHL12" s="35"/>
      <c r="AHM12" s="35"/>
      <c r="AHN12" s="35"/>
      <c r="AHO12" s="35"/>
      <c r="AHP12" s="35"/>
      <c r="AHQ12" s="35"/>
      <c r="AHR12" s="35"/>
      <c r="AHS12" s="35"/>
      <c r="AHT12" s="35"/>
      <c r="AHU12" s="35"/>
      <c r="AHV12" s="35"/>
      <c r="AHW12" s="35"/>
      <c r="AHX12" s="35"/>
      <c r="AHY12" s="35"/>
      <c r="AHZ12" s="35"/>
      <c r="AIA12" s="35"/>
      <c r="AIB12" s="35"/>
      <c r="AIC12" s="35"/>
      <c r="AID12" s="35"/>
      <c r="AIE12" s="35"/>
      <c r="AIF12" s="35"/>
      <c r="AIG12" s="35"/>
      <c r="AIH12" s="35"/>
      <c r="AII12" s="35"/>
      <c r="AIJ12" s="35"/>
      <c r="AIK12" s="35"/>
      <c r="AIL12" s="35"/>
      <c r="AIM12" s="35"/>
      <c r="AIN12" s="35"/>
      <c r="AIO12" s="35"/>
      <c r="AIP12" s="35"/>
      <c r="AIQ12" s="35"/>
      <c r="AIR12" s="35"/>
      <c r="AIS12" s="35"/>
      <c r="AIT12" s="35"/>
      <c r="AIU12" s="35"/>
      <c r="AIV12" s="35"/>
      <c r="AIW12" s="35"/>
      <c r="AIX12" s="35"/>
      <c r="AIY12" s="35"/>
      <c r="AIZ12" s="35"/>
      <c r="AJA12" s="35"/>
      <c r="AJB12" s="35"/>
      <c r="AJC12" s="35"/>
      <c r="AJD12" s="35"/>
      <c r="AJE12" s="35"/>
      <c r="AJF12" s="35"/>
      <c r="AJG12" s="35"/>
      <c r="AJH12" s="35"/>
      <c r="AJI12" s="35"/>
      <c r="AJJ12" s="35"/>
      <c r="AJK12" s="35"/>
      <c r="AJL12" s="35"/>
      <c r="AJM12" s="35"/>
      <c r="AJN12" s="35"/>
      <c r="AJO12" s="35"/>
      <c r="AJP12" s="35"/>
      <c r="AJQ12" s="35"/>
      <c r="AJR12" s="35"/>
      <c r="AJS12" s="35"/>
      <c r="AJT12" s="35"/>
      <c r="AJU12" s="35"/>
      <c r="AJV12" s="35"/>
      <c r="AJW12" s="35"/>
      <c r="AJX12" s="35"/>
      <c r="AJY12" s="35"/>
      <c r="AJZ12" s="35"/>
      <c r="AKA12" s="35"/>
      <c r="AKB12" s="35"/>
      <c r="AKC12" s="35"/>
      <c r="AKD12" s="35"/>
      <c r="AKE12" s="35"/>
      <c r="AKF12" s="35"/>
      <c r="AKG12" s="35"/>
      <c r="AKH12" s="35"/>
      <c r="AKI12" s="35"/>
      <c r="AKJ12" s="35"/>
      <c r="AKK12" s="35"/>
      <c r="AKL12" s="35"/>
      <c r="AKM12" s="35"/>
      <c r="AKN12" s="35"/>
      <c r="AKO12" s="35"/>
      <c r="AKP12" s="35"/>
      <c r="AKQ12" s="35"/>
      <c r="AKR12" s="35"/>
      <c r="AKS12" s="35"/>
      <c r="AKT12" s="35"/>
      <c r="AKU12" s="35"/>
      <c r="AKV12" s="35"/>
      <c r="AKW12" s="35"/>
      <c r="AKX12" s="35"/>
      <c r="AKY12" s="35"/>
      <c r="AKZ12" s="35"/>
      <c r="ALA12" s="35"/>
      <c r="ALB12" s="35"/>
      <c r="ALC12" s="35"/>
      <c r="ALD12" s="35"/>
      <c r="ALE12" s="35"/>
      <c r="ALF12" s="35"/>
      <c r="ALG12" s="35"/>
      <c r="ALH12" s="35"/>
      <c r="ALI12" s="35"/>
      <c r="ALJ12" s="35"/>
      <c r="ALK12" s="35"/>
      <c r="ALL12" s="35"/>
      <c r="ALM12" s="35"/>
      <c r="ALN12" s="35"/>
      <c r="ALO12" s="35"/>
      <c r="ALP12" s="35"/>
      <c r="ALQ12" s="35"/>
      <c r="ALR12" s="35"/>
      <c r="ALS12" s="35"/>
      <c r="ALT12" s="35"/>
      <c r="ALU12" s="35"/>
      <c r="ALV12" s="35"/>
      <c r="ALW12" s="35"/>
      <c r="ALX12" s="35"/>
      <c r="ALY12" s="35"/>
      <c r="ALZ12" s="35"/>
      <c r="AMA12" s="35"/>
      <c r="AMB12" s="1"/>
    </row>
    <row r="13" customFormat="false" ht="12.8" hidden="true" customHeight="true" outlineLevel="1" collapsed="false">
      <c r="A13" s="40"/>
      <c r="B13" s="40"/>
      <c r="C13" s="40"/>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63"/>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c r="BL13" s="40"/>
      <c r="BM13" s="40"/>
      <c r="BN13" s="40"/>
      <c r="BO13" s="40"/>
      <c r="BP13" s="40"/>
      <c r="BQ13" s="40"/>
      <c r="BR13" s="40"/>
      <c r="BS13" s="40"/>
      <c r="BT13" s="40"/>
      <c r="BU13" s="40"/>
      <c r="BV13" s="40"/>
      <c r="BW13" s="40"/>
      <c r="BX13" s="40"/>
      <c r="BY13" s="40"/>
      <c r="BZ13" s="40"/>
      <c r="CA13" s="40"/>
      <c r="CB13" s="40"/>
      <c r="CC13" s="40"/>
      <c r="CD13" s="40"/>
      <c r="CE13" s="40"/>
      <c r="CF13" s="40"/>
      <c r="CG13" s="40"/>
      <c r="CH13" s="40"/>
      <c r="CI13" s="40"/>
      <c r="CJ13" s="40"/>
      <c r="CK13" s="40"/>
      <c r="CL13" s="40"/>
      <c r="CM13" s="40"/>
      <c r="CN13" s="40"/>
      <c r="CO13" s="40"/>
      <c r="CP13" s="40"/>
      <c r="CQ13" s="40"/>
      <c r="CR13" s="40"/>
      <c r="CS13" s="40"/>
      <c r="CT13" s="40"/>
      <c r="CU13" s="40"/>
      <c r="CV13" s="40"/>
      <c r="CW13" s="40"/>
      <c r="CX13" s="40"/>
      <c r="CY13" s="40"/>
      <c r="CZ13" s="40"/>
      <c r="DA13" s="40"/>
      <c r="DB13" s="40"/>
      <c r="DC13" s="40"/>
      <c r="DD13" s="40"/>
      <c r="DE13" s="40"/>
      <c r="DF13" s="40"/>
      <c r="DG13" s="40"/>
      <c r="DH13" s="40"/>
      <c r="DI13" s="40"/>
      <c r="DJ13" s="40"/>
      <c r="DK13" s="40"/>
      <c r="DL13" s="40"/>
      <c r="DM13" s="40"/>
      <c r="DN13" s="40"/>
      <c r="DO13" s="40"/>
      <c r="DP13" s="40"/>
      <c r="DQ13" s="40"/>
      <c r="DR13" s="40"/>
      <c r="DS13" s="40"/>
      <c r="DT13" s="40"/>
      <c r="DU13" s="40"/>
      <c r="DV13" s="40"/>
      <c r="DW13" s="40"/>
      <c r="DX13" s="40"/>
      <c r="DY13" s="40"/>
      <c r="DZ13" s="40" t="s">
        <v>364</v>
      </c>
      <c r="EA13" s="35"/>
      <c r="EB13" s="81"/>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5"/>
      <c r="GC13" s="35"/>
      <c r="GD13" s="35"/>
      <c r="GE13" s="35"/>
      <c r="GF13" s="35"/>
      <c r="GG13" s="35"/>
      <c r="GH13" s="35"/>
      <c r="GI13" s="35"/>
      <c r="GJ13" s="35"/>
      <c r="GK13" s="35"/>
      <c r="GL13" s="35"/>
      <c r="GM13" s="35"/>
      <c r="GN13" s="35"/>
      <c r="GO13" s="35"/>
      <c r="GP13" s="35"/>
      <c r="GQ13" s="35"/>
      <c r="GR13" s="35"/>
      <c r="GS13" s="35"/>
      <c r="GT13" s="35"/>
      <c r="GU13" s="35"/>
      <c r="GV13" s="35"/>
      <c r="GW13" s="35"/>
      <c r="GX13" s="35"/>
      <c r="GY13" s="35"/>
      <c r="GZ13" s="35"/>
      <c r="HA13" s="35"/>
      <c r="HB13" s="35"/>
      <c r="HC13" s="35"/>
      <c r="HD13" s="35"/>
      <c r="HE13" s="35"/>
      <c r="HF13" s="35"/>
      <c r="HG13" s="35"/>
      <c r="HH13" s="35"/>
      <c r="HI13" s="35"/>
      <c r="HJ13" s="35"/>
      <c r="HK13" s="35"/>
      <c r="HL13" s="35"/>
      <c r="HM13" s="35"/>
      <c r="HN13" s="35"/>
      <c r="HO13" s="35"/>
      <c r="HP13" s="35"/>
      <c r="HQ13" s="35"/>
      <c r="HR13" s="35"/>
      <c r="HS13" s="35"/>
      <c r="HT13" s="35"/>
      <c r="HU13" s="35"/>
      <c r="HV13" s="35"/>
      <c r="HW13" s="35"/>
      <c r="HX13" s="35"/>
      <c r="HY13" s="35"/>
      <c r="HZ13" s="35"/>
      <c r="IA13" s="35"/>
      <c r="IB13" s="35"/>
      <c r="IC13" s="35"/>
      <c r="ID13" s="35"/>
      <c r="IE13" s="35"/>
      <c r="IF13" s="35"/>
      <c r="IG13" s="35"/>
      <c r="IH13" s="35"/>
      <c r="II13" s="35"/>
      <c r="IJ13" s="35"/>
      <c r="IK13" s="35"/>
      <c r="IL13" s="35"/>
      <c r="IM13" s="35"/>
      <c r="IN13" s="35"/>
      <c r="IO13" s="35"/>
      <c r="IP13" s="35"/>
      <c r="IQ13" s="35"/>
      <c r="IR13" s="35"/>
      <c r="IS13" s="35"/>
      <c r="IT13" s="35"/>
      <c r="IU13" s="35"/>
      <c r="IV13" s="35"/>
      <c r="IW13" s="35"/>
      <c r="IX13" s="35"/>
      <c r="IY13" s="35"/>
      <c r="IZ13" s="35"/>
      <c r="JA13" s="35"/>
      <c r="JB13" s="35"/>
      <c r="JC13" s="35"/>
      <c r="JD13" s="35"/>
      <c r="JE13" s="35"/>
      <c r="JF13" s="35"/>
      <c r="JG13" s="35"/>
      <c r="JH13" s="35"/>
      <c r="JI13" s="35"/>
      <c r="JJ13" s="35"/>
      <c r="JK13" s="35"/>
      <c r="JL13" s="35"/>
      <c r="JM13" s="35"/>
      <c r="JN13" s="35"/>
      <c r="JO13" s="35"/>
      <c r="JP13" s="35"/>
      <c r="JQ13" s="35"/>
      <c r="JR13" s="35"/>
      <c r="JS13" s="35"/>
      <c r="JT13" s="35"/>
      <c r="JU13" s="35"/>
      <c r="JV13" s="35"/>
      <c r="JW13" s="35"/>
      <c r="JX13" s="35"/>
      <c r="JY13" s="35"/>
      <c r="JZ13" s="35"/>
      <c r="KA13" s="35"/>
      <c r="KB13" s="35"/>
      <c r="KC13" s="35"/>
      <c r="KD13" s="35"/>
      <c r="KE13" s="35"/>
      <c r="KF13" s="35"/>
      <c r="KG13" s="35"/>
      <c r="KH13" s="35"/>
      <c r="KI13" s="35"/>
      <c r="KJ13" s="35"/>
      <c r="KK13" s="35"/>
      <c r="KL13" s="35"/>
      <c r="KM13" s="35"/>
      <c r="KN13" s="35"/>
      <c r="KO13" s="35"/>
      <c r="KP13" s="35"/>
      <c r="KQ13" s="35"/>
      <c r="KR13" s="35"/>
      <c r="KS13" s="35"/>
      <c r="KT13" s="35"/>
      <c r="KU13" s="35"/>
      <c r="KV13" s="35"/>
      <c r="KW13" s="35"/>
      <c r="KX13" s="35"/>
      <c r="KY13" s="35"/>
      <c r="KZ13" s="35"/>
      <c r="LA13" s="35"/>
      <c r="LB13" s="35"/>
      <c r="LC13" s="35"/>
      <c r="LD13" s="35"/>
      <c r="LE13" s="35"/>
      <c r="LF13" s="35"/>
      <c r="LG13" s="35"/>
      <c r="LH13" s="35"/>
      <c r="LI13" s="35"/>
      <c r="LJ13" s="35"/>
      <c r="LK13" s="35"/>
      <c r="LL13" s="35"/>
      <c r="LM13" s="35"/>
      <c r="LN13" s="35"/>
      <c r="LO13" s="35"/>
      <c r="LP13" s="35"/>
      <c r="LQ13" s="35"/>
      <c r="LR13" s="35"/>
      <c r="LS13" s="35"/>
      <c r="LT13" s="35"/>
      <c r="LU13" s="35"/>
      <c r="LV13" s="35"/>
      <c r="LW13" s="35"/>
      <c r="LX13" s="35"/>
      <c r="LY13" s="35"/>
      <c r="LZ13" s="35"/>
      <c r="MA13" s="35"/>
      <c r="MB13" s="35"/>
      <c r="MC13" s="35"/>
      <c r="MD13" s="35"/>
      <c r="ME13" s="35"/>
      <c r="MF13" s="35"/>
      <c r="MG13" s="35"/>
      <c r="MH13" s="35"/>
      <c r="MI13" s="35"/>
      <c r="MJ13" s="35"/>
      <c r="MK13" s="35"/>
      <c r="ML13" s="35"/>
      <c r="MM13" s="35"/>
      <c r="MN13" s="35"/>
      <c r="MO13" s="35"/>
      <c r="MP13" s="35"/>
      <c r="MQ13" s="35"/>
      <c r="MR13" s="35"/>
      <c r="MS13" s="35"/>
      <c r="MT13" s="35"/>
      <c r="MU13" s="35"/>
      <c r="MV13" s="35"/>
      <c r="MW13" s="35"/>
      <c r="MX13" s="35"/>
      <c r="MY13" s="35"/>
      <c r="MZ13" s="35"/>
      <c r="NA13" s="35"/>
      <c r="NB13" s="35"/>
      <c r="NC13" s="35"/>
      <c r="ND13" s="35"/>
      <c r="NE13" s="35"/>
      <c r="NF13" s="35"/>
      <c r="NG13" s="35"/>
      <c r="NH13" s="35"/>
      <c r="NI13" s="35"/>
      <c r="NJ13" s="35"/>
      <c r="NK13" s="35"/>
      <c r="NL13" s="35"/>
      <c r="NM13" s="35"/>
      <c r="NN13" s="35"/>
      <c r="NO13" s="35"/>
      <c r="NP13" s="35"/>
      <c r="NQ13" s="35"/>
      <c r="NR13" s="35"/>
      <c r="NS13" s="35"/>
      <c r="NT13" s="35"/>
      <c r="NU13" s="35"/>
      <c r="NV13" s="35"/>
      <c r="NW13" s="35"/>
      <c r="NX13" s="35"/>
      <c r="NY13" s="35"/>
      <c r="NZ13" s="35"/>
      <c r="OA13" s="35"/>
      <c r="OB13" s="35"/>
      <c r="OC13" s="35"/>
      <c r="OD13" s="35"/>
      <c r="OE13" s="35"/>
      <c r="OF13" s="35"/>
      <c r="OG13" s="35"/>
      <c r="OH13" s="35"/>
      <c r="OI13" s="35"/>
      <c r="OJ13" s="35"/>
      <c r="OK13" s="35"/>
      <c r="OL13" s="35"/>
      <c r="OM13" s="35"/>
      <c r="ON13" s="35"/>
      <c r="OO13" s="35"/>
      <c r="OP13" s="35"/>
      <c r="OQ13" s="35"/>
      <c r="OR13" s="35"/>
      <c r="OS13" s="35"/>
      <c r="OT13" s="35"/>
      <c r="OU13" s="35"/>
      <c r="OV13" s="35"/>
      <c r="OW13" s="35"/>
      <c r="OX13" s="35"/>
      <c r="OY13" s="35"/>
      <c r="OZ13" s="35"/>
      <c r="PA13" s="35"/>
      <c r="PB13" s="35"/>
      <c r="PC13" s="35"/>
      <c r="PD13" s="35"/>
      <c r="PE13" s="35"/>
      <c r="PF13" s="35"/>
      <c r="PG13" s="35"/>
      <c r="PH13" s="35"/>
      <c r="PI13" s="35"/>
      <c r="PJ13" s="35"/>
      <c r="PK13" s="35"/>
      <c r="PL13" s="35"/>
      <c r="PM13" s="35"/>
      <c r="PN13" s="35"/>
      <c r="PO13" s="35"/>
      <c r="PP13" s="35"/>
      <c r="PQ13" s="35"/>
      <c r="PR13" s="35"/>
      <c r="PS13" s="35"/>
      <c r="PT13" s="35"/>
      <c r="PU13" s="35"/>
      <c r="PV13" s="35"/>
      <c r="PW13" s="35"/>
      <c r="PX13" s="35"/>
      <c r="PY13" s="35"/>
      <c r="PZ13" s="35"/>
      <c r="QA13" s="35"/>
      <c r="QB13" s="35"/>
      <c r="QC13" s="35"/>
      <c r="QD13" s="35"/>
      <c r="QE13" s="35"/>
      <c r="QF13" s="35"/>
      <c r="QG13" s="35"/>
      <c r="QH13" s="35"/>
      <c r="QI13" s="35"/>
      <c r="QJ13" s="35"/>
      <c r="QK13" s="35"/>
      <c r="QL13" s="35"/>
      <c r="QM13" s="35"/>
      <c r="QN13" s="35"/>
      <c r="QO13" s="35"/>
      <c r="QP13" s="35"/>
      <c r="QQ13" s="35"/>
      <c r="QR13" s="35"/>
      <c r="QS13" s="35"/>
      <c r="QT13" s="35"/>
      <c r="QU13" s="35"/>
      <c r="QV13" s="35"/>
      <c r="QW13" s="35"/>
      <c r="QX13" s="35"/>
      <c r="QY13" s="35"/>
      <c r="QZ13" s="35"/>
      <c r="RA13" s="35"/>
      <c r="RB13" s="35"/>
      <c r="RC13" s="35"/>
      <c r="RD13" s="35"/>
      <c r="RE13" s="35"/>
      <c r="RF13" s="35"/>
      <c r="RG13" s="35"/>
      <c r="RH13" s="35"/>
      <c r="RI13" s="35"/>
      <c r="RJ13" s="35"/>
      <c r="RK13" s="35"/>
      <c r="RL13" s="35"/>
      <c r="RM13" s="35"/>
      <c r="RN13" s="35"/>
      <c r="RO13" s="35"/>
      <c r="RP13" s="35"/>
      <c r="RQ13" s="35"/>
      <c r="RR13" s="35"/>
      <c r="RS13" s="35"/>
      <c r="RT13" s="35"/>
      <c r="RU13" s="35"/>
      <c r="RV13" s="35"/>
      <c r="RW13" s="35"/>
      <c r="RX13" s="35"/>
      <c r="RY13" s="35"/>
      <c r="RZ13" s="35"/>
      <c r="SA13" s="35"/>
      <c r="SB13" s="35"/>
      <c r="SC13" s="35"/>
      <c r="SD13" s="35"/>
      <c r="SE13" s="35"/>
      <c r="SF13" s="35"/>
      <c r="SG13" s="35"/>
      <c r="SH13" s="35"/>
      <c r="SI13" s="35"/>
      <c r="SJ13" s="35"/>
      <c r="SK13" s="35"/>
      <c r="SL13" s="35"/>
      <c r="SM13" s="35"/>
      <c r="SN13" s="35"/>
      <c r="SO13" s="35"/>
      <c r="SP13" s="35"/>
      <c r="SQ13" s="35"/>
      <c r="SR13" s="35"/>
      <c r="SS13" s="35"/>
      <c r="ST13" s="35"/>
      <c r="SU13" s="35"/>
      <c r="SV13" s="35"/>
      <c r="SW13" s="35"/>
      <c r="SX13" s="35"/>
      <c r="SY13" s="35"/>
      <c r="SZ13" s="35"/>
      <c r="TA13" s="35"/>
      <c r="TB13" s="35"/>
      <c r="TC13" s="35"/>
      <c r="TD13" s="35"/>
      <c r="TE13" s="35"/>
      <c r="TF13" s="35"/>
      <c r="TG13" s="35"/>
      <c r="TH13" s="35"/>
      <c r="TI13" s="35"/>
      <c r="TJ13" s="35"/>
      <c r="TK13" s="35"/>
      <c r="TL13" s="35"/>
      <c r="TM13" s="35"/>
      <c r="TN13" s="35"/>
      <c r="TO13" s="35"/>
      <c r="TP13" s="35"/>
      <c r="TQ13" s="35"/>
      <c r="TR13" s="35"/>
      <c r="TS13" s="35"/>
      <c r="TT13" s="35"/>
      <c r="TU13" s="35"/>
      <c r="TV13" s="35"/>
      <c r="TW13" s="35"/>
      <c r="TX13" s="35"/>
      <c r="TY13" s="35"/>
      <c r="TZ13" s="35"/>
      <c r="UA13" s="35"/>
      <c r="UB13" s="35"/>
      <c r="UC13" s="35"/>
      <c r="UD13" s="35"/>
      <c r="UE13" s="35"/>
      <c r="UF13" s="35"/>
      <c r="UG13" s="35"/>
      <c r="UH13" s="35"/>
      <c r="UI13" s="35"/>
      <c r="UJ13" s="35"/>
      <c r="UK13" s="35"/>
      <c r="UL13" s="35"/>
      <c r="UM13" s="35"/>
      <c r="UN13" s="35"/>
      <c r="UO13" s="35"/>
      <c r="UP13" s="35"/>
      <c r="UQ13" s="35"/>
      <c r="UR13" s="35"/>
      <c r="US13" s="35"/>
      <c r="UT13" s="35"/>
      <c r="UU13" s="35"/>
      <c r="UV13" s="35"/>
      <c r="UW13" s="35"/>
      <c r="UX13" s="35"/>
      <c r="UY13" s="35"/>
      <c r="UZ13" s="35"/>
      <c r="VA13" s="35"/>
      <c r="VB13" s="35"/>
      <c r="VC13" s="35"/>
      <c r="VD13" s="35"/>
      <c r="VE13" s="35"/>
      <c r="VF13" s="35"/>
      <c r="VG13" s="35"/>
      <c r="VH13" s="35"/>
      <c r="VI13" s="35"/>
      <c r="VJ13" s="35"/>
      <c r="VK13" s="35"/>
      <c r="VL13" s="35"/>
      <c r="VM13" s="35"/>
      <c r="VN13" s="35"/>
      <c r="VO13" s="35"/>
      <c r="VP13" s="35"/>
      <c r="VQ13" s="35"/>
      <c r="VR13" s="35"/>
      <c r="VS13" s="35"/>
      <c r="VT13" s="35"/>
      <c r="VU13" s="35"/>
      <c r="VV13" s="35"/>
      <c r="VW13" s="35"/>
      <c r="VX13" s="35"/>
      <c r="VY13" s="35"/>
      <c r="VZ13" s="35"/>
      <c r="WA13" s="35"/>
      <c r="WB13" s="35"/>
      <c r="WC13" s="35"/>
      <c r="WD13" s="35"/>
      <c r="WE13" s="35"/>
      <c r="WF13" s="35"/>
      <c r="WG13" s="35"/>
      <c r="WH13" s="35"/>
      <c r="WI13" s="35"/>
      <c r="WJ13" s="35"/>
      <c r="WK13" s="35"/>
      <c r="WL13" s="35"/>
      <c r="WM13" s="35"/>
      <c r="WN13" s="35"/>
      <c r="WO13" s="35"/>
      <c r="WP13" s="35"/>
      <c r="WQ13" s="35"/>
      <c r="WR13" s="35"/>
      <c r="WS13" s="35"/>
      <c r="WT13" s="35"/>
      <c r="WU13" s="35"/>
      <c r="WV13" s="35"/>
      <c r="WW13" s="35"/>
      <c r="WX13" s="35"/>
      <c r="WY13" s="35"/>
      <c r="WZ13" s="35"/>
      <c r="XA13" s="35"/>
      <c r="XB13" s="35"/>
      <c r="XC13" s="35"/>
      <c r="XD13" s="35"/>
      <c r="XE13" s="35"/>
      <c r="XF13" s="35"/>
      <c r="XG13" s="35"/>
      <c r="XH13" s="35"/>
      <c r="XI13" s="35"/>
      <c r="XJ13" s="35"/>
      <c r="XK13" s="35"/>
      <c r="XL13" s="35"/>
      <c r="XM13" s="35"/>
      <c r="XN13" s="35"/>
      <c r="XO13" s="35"/>
      <c r="XP13" s="35"/>
      <c r="XQ13" s="35"/>
      <c r="XR13" s="35"/>
      <c r="XS13" s="35"/>
      <c r="XT13" s="35"/>
      <c r="XU13" s="35"/>
      <c r="XV13" s="35"/>
      <c r="XW13" s="35"/>
      <c r="XX13" s="35"/>
      <c r="XY13" s="35"/>
      <c r="XZ13" s="35"/>
      <c r="YA13" s="35"/>
      <c r="YB13" s="35"/>
      <c r="YC13" s="35"/>
      <c r="YD13" s="35"/>
      <c r="YE13" s="35"/>
      <c r="YF13" s="35"/>
      <c r="YG13" s="35"/>
      <c r="YH13" s="35"/>
      <c r="YI13" s="35"/>
      <c r="YJ13" s="35"/>
      <c r="YK13" s="35"/>
      <c r="YL13" s="35"/>
      <c r="YM13" s="35"/>
      <c r="YN13" s="35"/>
      <c r="YO13" s="35"/>
      <c r="YP13" s="35"/>
      <c r="YQ13" s="35"/>
      <c r="YR13" s="35"/>
      <c r="YS13" s="35"/>
      <c r="YT13" s="35"/>
      <c r="YU13" s="35"/>
      <c r="YV13" s="35"/>
      <c r="YW13" s="35"/>
      <c r="YX13" s="35"/>
      <c r="YY13" s="35"/>
      <c r="YZ13" s="35"/>
      <c r="ZA13" s="35"/>
      <c r="ZB13" s="35"/>
      <c r="ZC13" s="35"/>
      <c r="ZD13" s="35"/>
      <c r="ZE13" s="35"/>
      <c r="ZF13" s="35"/>
      <c r="ZG13" s="35"/>
      <c r="ZH13" s="35"/>
      <c r="ZI13" s="35"/>
      <c r="ZJ13" s="35"/>
      <c r="ZK13" s="35"/>
      <c r="ZL13" s="35"/>
      <c r="ZM13" s="35"/>
      <c r="ZN13" s="35"/>
      <c r="ZO13" s="35"/>
      <c r="ZP13" s="35"/>
      <c r="ZQ13" s="35"/>
      <c r="ZR13" s="35"/>
      <c r="ZS13" s="35"/>
      <c r="ZT13" s="35"/>
      <c r="ZU13" s="35"/>
      <c r="ZV13" s="35"/>
      <c r="ZW13" s="35"/>
      <c r="ZX13" s="35"/>
      <c r="ZY13" s="35"/>
      <c r="ZZ13" s="35"/>
      <c r="AAA13" s="35"/>
      <c r="AAB13" s="35"/>
      <c r="AAC13" s="35"/>
      <c r="AAD13" s="35"/>
      <c r="AAE13" s="35"/>
      <c r="AAF13" s="35"/>
      <c r="AAG13" s="35"/>
      <c r="AAH13" s="35"/>
      <c r="AAI13" s="35"/>
      <c r="AAJ13" s="35"/>
      <c r="AAK13" s="35"/>
      <c r="AAL13" s="35"/>
      <c r="AAM13" s="35"/>
      <c r="AAN13" s="35"/>
      <c r="AAO13" s="35"/>
      <c r="AAP13" s="35"/>
      <c r="AAQ13" s="35"/>
      <c r="AAR13" s="35"/>
      <c r="AAS13" s="35"/>
      <c r="AAT13" s="35"/>
      <c r="AAU13" s="35"/>
      <c r="AAV13" s="35"/>
      <c r="AAW13" s="35"/>
      <c r="AAX13" s="35"/>
      <c r="AAY13" s="35"/>
      <c r="AAZ13" s="35"/>
      <c r="ABA13" s="35"/>
      <c r="ABB13" s="35"/>
      <c r="ABC13" s="35"/>
      <c r="ABD13" s="35"/>
      <c r="ABE13" s="35"/>
      <c r="ABF13" s="35"/>
      <c r="ABG13" s="35"/>
      <c r="ABH13" s="35"/>
      <c r="ABI13" s="35"/>
      <c r="ABJ13" s="35"/>
      <c r="ABK13" s="35"/>
      <c r="ABL13" s="35"/>
      <c r="ABM13" s="35"/>
      <c r="ABN13" s="35"/>
      <c r="ABO13" s="35"/>
      <c r="ABP13" s="35"/>
      <c r="ABQ13" s="35"/>
      <c r="ABR13" s="35"/>
      <c r="ABS13" s="35"/>
      <c r="ABT13" s="35"/>
      <c r="ABU13" s="35"/>
      <c r="ABV13" s="35"/>
      <c r="ABW13" s="35"/>
      <c r="ABX13" s="35"/>
      <c r="ABY13" s="35"/>
      <c r="ABZ13" s="35"/>
      <c r="ACA13" s="35"/>
      <c r="ACB13" s="35"/>
      <c r="ACC13" s="35"/>
      <c r="ACD13" s="35"/>
      <c r="ACE13" s="35"/>
      <c r="ACF13" s="35"/>
      <c r="ACG13" s="35"/>
      <c r="ACH13" s="35"/>
      <c r="ACI13" s="35"/>
      <c r="ACJ13" s="35"/>
      <c r="ACK13" s="35"/>
      <c r="ACL13" s="35"/>
      <c r="ACM13" s="35"/>
      <c r="ACN13" s="35"/>
      <c r="ACO13" s="35"/>
      <c r="ACP13" s="35"/>
      <c r="ACQ13" s="35"/>
      <c r="ACR13" s="35"/>
      <c r="ACS13" s="35"/>
      <c r="ACT13" s="35"/>
      <c r="ACU13" s="35"/>
      <c r="ACV13" s="35"/>
      <c r="ACW13" s="35"/>
      <c r="ACX13" s="35"/>
      <c r="ACY13" s="35"/>
      <c r="ACZ13" s="35"/>
      <c r="ADA13" s="35"/>
      <c r="ADB13" s="35"/>
      <c r="ADC13" s="35"/>
      <c r="ADD13" s="35"/>
      <c r="ADE13" s="35"/>
      <c r="ADF13" s="35"/>
      <c r="ADG13" s="35"/>
      <c r="ADH13" s="35"/>
      <c r="ADI13" s="35"/>
      <c r="ADJ13" s="35"/>
      <c r="ADK13" s="35"/>
      <c r="ADL13" s="35"/>
      <c r="ADM13" s="35"/>
      <c r="ADN13" s="35"/>
      <c r="ADO13" s="35"/>
      <c r="ADP13" s="35"/>
      <c r="ADQ13" s="35"/>
      <c r="ADR13" s="35"/>
      <c r="ADS13" s="35"/>
      <c r="ADT13" s="35"/>
      <c r="ADU13" s="35"/>
      <c r="ADV13" s="35"/>
      <c r="ADW13" s="35"/>
      <c r="ADX13" s="35"/>
      <c r="ADY13" s="35"/>
      <c r="ADZ13" s="35"/>
      <c r="AEA13" s="35"/>
      <c r="AEB13" s="35"/>
      <c r="AEC13" s="35"/>
      <c r="AED13" s="35"/>
      <c r="AEE13" s="35"/>
      <c r="AEF13" s="35"/>
      <c r="AEG13" s="35"/>
      <c r="AEH13" s="35"/>
      <c r="AEI13" s="35"/>
      <c r="AEJ13" s="35"/>
      <c r="AEK13" s="35"/>
      <c r="AEL13" s="35"/>
      <c r="AEM13" s="35"/>
      <c r="AEN13" s="35"/>
      <c r="AEO13" s="35"/>
      <c r="AEP13" s="35"/>
      <c r="AEQ13" s="35"/>
      <c r="AER13" s="35"/>
      <c r="AES13" s="35"/>
      <c r="AET13" s="35"/>
      <c r="AEU13" s="35"/>
      <c r="AEV13" s="35"/>
      <c r="AEW13" s="35"/>
      <c r="AEX13" s="35"/>
      <c r="AEY13" s="35"/>
      <c r="AEZ13" s="35"/>
      <c r="AFA13" s="35"/>
      <c r="AFB13" s="35"/>
      <c r="AFC13" s="35"/>
      <c r="AFD13" s="35"/>
      <c r="AFE13" s="35"/>
      <c r="AFF13" s="35"/>
      <c r="AFG13" s="35"/>
      <c r="AFH13" s="35"/>
      <c r="AFI13" s="35"/>
      <c r="AFJ13" s="35"/>
      <c r="AFK13" s="35"/>
      <c r="AFL13" s="35"/>
      <c r="AFM13" s="35"/>
      <c r="AFN13" s="35"/>
      <c r="AFO13" s="35"/>
      <c r="AFP13" s="35"/>
      <c r="AFQ13" s="35"/>
      <c r="AFR13" s="35"/>
      <c r="AFS13" s="35"/>
      <c r="AFT13" s="35"/>
      <c r="AFU13" s="35"/>
      <c r="AFV13" s="35"/>
      <c r="AFW13" s="35"/>
      <c r="AFX13" s="35"/>
      <c r="AFY13" s="35"/>
      <c r="AFZ13" s="35"/>
      <c r="AGA13" s="35"/>
      <c r="AGB13" s="35"/>
      <c r="AGC13" s="35"/>
      <c r="AGD13" s="35"/>
      <c r="AGE13" s="35"/>
      <c r="AGF13" s="35"/>
      <c r="AGG13" s="35"/>
      <c r="AGH13" s="35"/>
      <c r="AGI13" s="35"/>
      <c r="AGJ13" s="35"/>
      <c r="AGK13" s="35"/>
      <c r="AGL13" s="35"/>
      <c r="AGM13" s="35"/>
      <c r="AGN13" s="35"/>
      <c r="AGO13" s="35"/>
      <c r="AGP13" s="35"/>
      <c r="AGQ13" s="35"/>
      <c r="AGR13" s="35"/>
      <c r="AGS13" s="35"/>
      <c r="AGT13" s="35"/>
      <c r="AGU13" s="35"/>
      <c r="AGV13" s="35"/>
      <c r="AGW13" s="35"/>
      <c r="AGX13" s="35"/>
      <c r="AGY13" s="35"/>
      <c r="AGZ13" s="35"/>
      <c r="AHA13" s="35"/>
      <c r="AHB13" s="35"/>
      <c r="AHC13" s="35"/>
      <c r="AHD13" s="35"/>
      <c r="AHE13" s="35"/>
      <c r="AHF13" s="35"/>
      <c r="AHG13" s="35"/>
      <c r="AHH13" s="35"/>
      <c r="AHI13" s="35"/>
      <c r="AHJ13" s="35"/>
      <c r="AHK13" s="35"/>
      <c r="AHL13" s="35"/>
      <c r="AHM13" s="35"/>
      <c r="AHN13" s="35"/>
      <c r="AHO13" s="35"/>
      <c r="AHP13" s="35"/>
      <c r="AHQ13" s="35"/>
      <c r="AHR13" s="35"/>
      <c r="AHS13" s="35"/>
      <c r="AHT13" s="35"/>
      <c r="AHU13" s="35"/>
      <c r="AHV13" s="35"/>
      <c r="AHW13" s="35"/>
      <c r="AHX13" s="35"/>
      <c r="AHY13" s="35"/>
      <c r="AHZ13" s="35"/>
      <c r="AIA13" s="35"/>
      <c r="AIB13" s="35"/>
      <c r="AIC13" s="35"/>
      <c r="AID13" s="35"/>
      <c r="AIE13" s="35"/>
      <c r="AIF13" s="35"/>
      <c r="AIG13" s="35"/>
      <c r="AIH13" s="35"/>
      <c r="AII13" s="35"/>
      <c r="AIJ13" s="35"/>
      <c r="AIK13" s="35"/>
      <c r="AIL13" s="35"/>
      <c r="AIM13" s="35"/>
      <c r="AIN13" s="35"/>
      <c r="AIO13" s="35"/>
      <c r="AIP13" s="35"/>
      <c r="AIQ13" s="35"/>
      <c r="AIR13" s="35"/>
      <c r="AIS13" s="35"/>
      <c r="AIT13" s="35"/>
      <c r="AIU13" s="35"/>
      <c r="AIV13" s="35"/>
      <c r="AIW13" s="35"/>
      <c r="AIX13" s="35"/>
      <c r="AIY13" s="35"/>
      <c r="AIZ13" s="35"/>
      <c r="AJA13" s="35"/>
      <c r="AJB13" s="35"/>
      <c r="AJC13" s="35"/>
      <c r="AJD13" s="35"/>
      <c r="AJE13" s="35"/>
      <c r="AJF13" s="35"/>
      <c r="AJG13" s="35"/>
      <c r="AJH13" s="35"/>
      <c r="AJI13" s="35"/>
      <c r="AJJ13" s="35"/>
      <c r="AJK13" s="35"/>
      <c r="AJL13" s="35"/>
      <c r="AJM13" s="35"/>
      <c r="AJN13" s="35"/>
      <c r="AJO13" s="35"/>
      <c r="AJP13" s="35"/>
      <c r="AJQ13" s="35"/>
      <c r="AJR13" s="35"/>
      <c r="AJS13" s="35"/>
      <c r="AJT13" s="35"/>
      <c r="AJU13" s="35"/>
      <c r="AJV13" s="35"/>
      <c r="AJW13" s="35"/>
      <c r="AJX13" s="35"/>
      <c r="AJY13" s="35"/>
      <c r="AJZ13" s="35"/>
      <c r="AKA13" s="35"/>
      <c r="AKB13" s="35"/>
      <c r="AKC13" s="35"/>
      <c r="AKD13" s="35"/>
      <c r="AKE13" s="35"/>
      <c r="AKF13" s="35"/>
      <c r="AKG13" s="35"/>
      <c r="AKH13" s="35"/>
      <c r="AKI13" s="35"/>
      <c r="AKJ13" s="35"/>
      <c r="AKK13" s="35"/>
      <c r="AKL13" s="35"/>
      <c r="AKM13" s="35"/>
      <c r="AKN13" s="35"/>
      <c r="AKO13" s="35"/>
      <c r="AKP13" s="35"/>
      <c r="AKQ13" s="35"/>
      <c r="AKR13" s="35"/>
      <c r="AKS13" s="35"/>
      <c r="AKT13" s="35"/>
      <c r="AKU13" s="35"/>
      <c r="AKV13" s="35"/>
      <c r="AKW13" s="35"/>
      <c r="AKX13" s="35"/>
      <c r="AKY13" s="35"/>
      <c r="AKZ13" s="35"/>
      <c r="ALA13" s="35"/>
      <c r="ALB13" s="35"/>
      <c r="ALC13" s="35"/>
      <c r="ALD13" s="35"/>
      <c r="ALE13" s="35"/>
      <c r="ALF13" s="35"/>
      <c r="ALG13" s="35"/>
      <c r="ALH13" s="35"/>
      <c r="ALI13" s="35"/>
      <c r="ALJ13" s="35"/>
      <c r="ALK13" s="35"/>
      <c r="ALL13" s="35"/>
      <c r="ALM13" s="35"/>
      <c r="ALN13" s="35"/>
      <c r="ALO13" s="35"/>
      <c r="ALP13" s="35"/>
      <c r="ALQ13" s="35"/>
      <c r="ALR13" s="35"/>
      <c r="ALS13" s="35"/>
      <c r="ALT13" s="35"/>
      <c r="ALU13" s="35"/>
      <c r="ALV13" s="35"/>
      <c r="ALW13" s="35"/>
      <c r="ALX13" s="35"/>
      <c r="ALY13" s="35"/>
      <c r="ALZ13" s="35"/>
      <c r="AMA13" s="35"/>
      <c r="AMB13" s="1"/>
    </row>
    <row r="14" customFormat="false" ht="12.8" hidden="true" customHeight="true" outlineLevel="1" collapsed="false">
      <c r="A14" s="40"/>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63"/>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c r="CK14" s="40"/>
      <c r="CL14" s="40"/>
      <c r="CM14" s="40"/>
      <c r="CN14" s="40"/>
      <c r="CO14" s="40"/>
      <c r="CP14" s="40"/>
      <c r="CQ14" s="40"/>
      <c r="CR14" s="40"/>
      <c r="CS14" s="40"/>
      <c r="CT14" s="40"/>
      <c r="CU14" s="40"/>
      <c r="CV14" s="40"/>
      <c r="CW14" s="40"/>
      <c r="CX14" s="40"/>
      <c r="CY14" s="40"/>
      <c r="CZ14" s="40"/>
      <c r="DA14" s="40"/>
      <c r="DB14" s="40"/>
      <c r="DC14" s="40"/>
      <c r="DD14" s="40"/>
      <c r="DE14" s="40"/>
      <c r="DF14" s="40"/>
      <c r="DG14" s="40"/>
      <c r="DH14" s="40"/>
      <c r="DI14" s="40"/>
      <c r="DJ14" s="40"/>
      <c r="DK14" s="40"/>
      <c r="DL14" s="40"/>
      <c r="DM14" s="40"/>
      <c r="DN14" s="40"/>
      <c r="DO14" s="40"/>
      <c r="DP14" s="40"/>
      <c r="DQ14" s="40"/>
      <c r="DR14" s="40"/>
      <c r="DS14" s="40"/>
      <c r="DT14" s="40"/>
      <c r="DU14" s="40"/>
      <c r="DV14" s="40"/>
      <c r="DW14" s="40"/>
      <c r="DX14" s="40"/>
      <c r="DY14" s="40"/>
      <c r="DZ14" s="40" t="s">
        <v>364</v>
      </c>
      <c r="EA14" s="35"/>
      <c r="EB14" s="81"/>
      <c r="EC14" s="35"/>
      <c r="ED14" s="35"/>
      <c r="EE14" s="35"/>
      <c r="EF14" s="35"/>
      <c r="EG14" s="35"/>
      <c r="EH14" s="35"/>
      <c r="EI14" s="35"/>
      <c r="EJ14" s="35"/>
      <c r="EK14" s="35"/>
      <c r="EL14" s="35"/>
      <c r="EM14" s="35"/>
      <c r="EN14" s="35"/>
      <c r="EO14" s="35"/>
      <c r="EP14" s="35"/>
      <c r="EQ14" s="35"/>
      <c r="ER14" s="35"/>
      <c r="ES14" s="35"/>
      <c r="ET14" s="35"/>
      <c r="EU14" s="35"/>
      <c r="EV14" s="35"/>
      <c r="EW14" s="35"/>
      <c r="EX14" s="35"/>
      <c r="EY14" s="35"/>
      <c r="EZ14" s="35"/>
      <c r="FA14" s="35"/>
      <c r="FB14" s="35"/>
      <c r="FC14" s="35"/>
      <c r="FD14" s="35"/>
      <c r="FE14" s="35"/>
      <c r="FF14" s="35"/>
      <c r="FG14" s="35"/>
      <c r="FH14" s="35"/>
      <c r="FI14" s="35"/>
      <c r="FJ14" s="35"/>
      <c r="FK14" s="35"/>
      <c r="FL14" s="35"/>
      <c r="FM14" s="35"/>
      <c r="FN14" s="35"/>
      <c r="FO14" s="35"/>
      <c r="FP14" s="35"/>
      <c r="FQ14" s="35"/>
      <c r="FR14" s="35"/>
      <c r="FS14" s="35"/>
      <c r="FT14" s="35"/>
      <c r="FU14" s="35"/>
      <c r="FV14" s="35"/>
      <c r="FW14" s="35"/>
      <c r="FX14" s="35"/>
      <c r="FY14" s="35"/>
      <c r="FZ14" s="35"/>
      <c r="GA14" s="35"/>
      <c r="GB14" s="35"/>
      <c r="GC14" s="35"/>
      <c r="GD14" s="35"/>
      <c r="GE14" s="35"/>
      <c r="GF14" s="35"/>
      <c r="GG14" s="35"/>
      <c r="GH14" s="35"/>
      <c r="GI14" s="35"/>
      <c r="GJ14" s="35"/>
      <c r="GK14" s="35"/>
      <c r="GL14" s="35"/>
      <c r="GM14" s="35"/>
      <c r="GN14" s="35"/>
      <c r="GO14" s="35"/>
      <c r="GP14" s="35"/>
      <c r="GQ14" s="35"/>
      <c r="GR14" s="35"/>
      <c r="GS14" s="35"/>
      <c r="GT14" s="35"/>
      <c r="GU14" s="35"/>
      <c r="GV14" s="35"/>
      <c r="GW14" s="35"/>
      <c r="GX14" s="35"/>
      <c r="GY14" s="35"/>
      <c r="GZ14" s="35"/>
      <c r="HA14" s="35"/>
      <c r="HB14" s="35"/>
      <c r="HC14" s="35"/>
      <c r="HD14" s="35"/>
      <c r="HE14" s="35"/>
      <c r="HF14" s="35"/>
      <c r="HG14" s="35"/>
      <c r="HH14" s="35"/>
      <c r="HI14" s="35"/>
      <c r="HJ14" s="35"/>
      <c r="HK14" s="35"/>
      <c r="HL14" s="35"/>
      <c r="HM14" s="35"/>
      <c r="HN14" s="35"/>
      <c r="HO14" s="35"/>
      <c r="HP14" s="35"/>
      <c r="HQ14" s="35"/>
      <c r="HR14" s="35"/>
      <c r="HS14" s="35"/>
      <c r="HT14" s="35"/>
      <c r="HU14" s="35"/>
      <c r="HV14" s="35"/>
      <c r="HW14" s="35"/>
      <c r="HX14" s="35"/>
      <c r="HY14" s="35"/>
      <c r="HZ14" s="35"/>
      <c r="IA14" s="35"/>
      <c r="IB14" s="35"/>
      <c r="IC14" s="35"/>
      <c r="ID14" s="35"/>
      <c r="IE14" s="35"/>
      <c r="IF14" s="35"/>
      <c r="IG14" s="35"/>
      <c r="IH14" s="35"/>
      <c r="II14" s="35"/>
      <c r="IJ14" s="35"/>
      <c r="IK14" s="35"/>
      <c r="IL14" s="35"/>
      <c r="IM14" s="35"/>
      <c r="IN14" s="35"/>
      <c r="IO14" s="35"/>
      <c r="IP14" s="35"/>
      <c r="IQ14" s="35"/>
      <c r="IR14" s="35"/>
      <c r="IS14" s="35"/>
      <c r="IT14" s="35"/>
      <c r="IU14" s="35"/>
      <c r="IV14" s="35"/>
      <c r="IW14" s="35"/>
      <c r="IX14" s="35"/>
      <c r="IY14" s="35"/>
      <c r="IZ14" s="35"/>
      <c r="JA14" s="35"/>
      <c r="JB14" s="35"/>
      <c r="JC14" s="35"/>
      <c r="JD14" s="35"/>
      <c r="JE14" s="35"/>
      <c r="JF14" s="35"/>
      <c r="JG14" s="35"/>
      <c r="JH14" s="35"/>
      <c r="JI14" s="35"/>
      <c r="JJ14" s="35"/>
      <c r="JK14" s="35"/>
      <c r="JL14" s="35"/>
      <c r="JM14" s="35"/>
      <c r="JN14" s="35"/>
      <c r="JO14" s="35"/>
      <c r="JP14" s="35"/>
      <c r="JQ14" s="35"/>
      <c r="JR14" s="35"/>
      <c r="JS14" s="35"/>
      <c r="JT14" s="35"/>
      <c r="JU14" s="35"/>
      <c r="JV14" s="35"/>
      <c r="JW14" s="35"/>
      <c r="JX14" s="35"/>
      <c r="JY14" s="35"/>
      <c r="JZ14" s="35"/>
      <c r="KA14" s="35"/>
      <c r="KB14" s="35"/>
      <c r="KC14" s="35"/>
      <c r="KD14" s="35"/>
      <c r="KE14" s="35"/>
      <c r="KF14" s="35"/>
      <c r="KG14" s="35"/>
      <c r="KH14" s="35"/>
      <c r="KI14" s="35"/>
      <c r="KJ14" s="35"/>
      <c r="KK14" s="35"/>
      <c r="KL14" s="35"/>
      <c r="KM14" s="35"/>
      <c r="KN14" s="35"/>
      <c r="KO14" s="35"/>
      <c r="KP14" s="35"/>
      <c r="KQ14" s="35"/>
      <c r="KR14" s="35"/>
      <c r="KS14" s="35"/>
      <c r="KT14" s="35"/>
      <c r="KU14" s="35"/>
      <c r="KV14" s="35"/>
      <c r="KW14" s="35"/>
      <c r="KX14" s="35"/>
      <c r="KY14" s="35"/>
      <c r="KZ14" s="35"/>
      <c r="LA14" s="35"/>
      <c r="LB14" s="35"/>
      <c r="LC14" s="35"/>
      <c r="LD14" s="35"/>
      <c r="LE14" s="35"/>
      <c r="LF14" s="35"/>
      <c r="LG14" s="35"/>
      <c r="LH14" s="35"/>
      <c r="LI14" s="35"/>
      <c r="LJ14" s="35"/>
      <c r="LK14" s="35"/>
      <c r="LL14" s="35"/>
      <c r="LM14" s="35"/>
      <c r="LN14" s="35"/>
      <c r="LO14" s="35"/>
      <c r="LP14" s="35"/>
      <c r="LQ14" s="35"/>
      <c r="LR14" s="35"/>
      <c r="LS14" s="35"/>
      <c r="LT14" s="35"/>
      <c r="LU14" s="35"/>
      <c r="LV14" s="35"/>
      <c r="LW14" s="35"/>
      <c r="LX14" s="35"/>
      <c r="LY14" s="35"/>
      <c r="LZ14" s="35"/>
      <c r="MA14" s="35"/>
      <c r="MB14" s="35"/>
      <c r="MC14" s="35"/>
      <c r="MD14" s="35"/>
      <c r="ME14" s="35"/>
      <c r="MF14" s="35"/>
      <c r="MG14" s="35"/>
      <c r="MH14" s="35"/>
      <c r="MI14" s="35"/>
      <c r="MJ14" s="35"/>
      <c r="MK14" s="35"/>
      <c r="ML14" s="35"/>
      <c r="MM14" s="35"/>
      <c r="MN14" s="35"/>
      <c r="MO14" s="35"/>
      <c r="MP14" s="35"/>
      <c r="MQ14" s="35"/>
      <c r="MR14" s="35"/>
      <c r="MS14" s="35"/>
      <c r="MT14" s="35"/>
      <c r="MU14" s="35"/>
      <c r="MV14" s="35"/>
      <c r="MW14" s="35"/>
      <c r="MX14" s="35"/>
      <c r="MY14" s="35"/>
      <c r="MZ14" s="35"/>
      <c r="NA14" s="35"/>
      <c r="NB14" s="35"/>
      <c r="NC14" s="35"/>
      <c r="ND14" s="35"/>
      <c r="NE14" s="35"/>
      <c r="NF14" s="35"/>
      <c r="NG14" s="35"/>
      <c r="NH14" s="35"/>
      <c r="NI14" s="35"/>
      <c r="NJ14" s="35"/>
      <c r="NK14" s="35"/>
      <c r="NL14" s="35"/>
      <c r="NM14" s="35"/>
      <c r="NN14" s="35"/>
      <c r="NO14" s="35"/>
      <c r="NP14" s="35"/>
      <c r="NQ14" s="35"/>
      <c r="NR14" s="35"/>
      <c r="NS14" s="35"/>
      <c r="NT14" s="35"/>
      <c r="NU14" s="35"/>
      <c r="NV14" s="35"/>
      <c r="NW14" s="35"/>
      <c r="NX14" s="35"/>
      <c r="NY14" s="35"/>
      <c r="NZ14" s="35"/>
      <c r="OA14" s="35"/>
      <c r="OB14" s="35"/>
      <c r="OC14" s="35"/>
      <c r="OD14" s="35"/>
      <c r="OE14" s="35"/>
      <c r="OF14" s="35"/>
      <c r="OG14" s="35"/>
      <c r="OH14" s="35"/>
      <c r="OI14" s="35"/>
      <c r="OJ14" s="35"/>
      <c r="OK14" s="35"/>
      <c r="OL14" s="35"/>
      <c r="OM14" s="35"/>
      <c r="ON14" s="35"/>
      <c r="OO14" s="35"/>
      <c r="OP14" s="35"/>
      <c r="OQ14" s="35"/>
      <c r="OR14" s="35"/>
      <c r="OS14" s="35"/>
      <c r="OT14" s="35"/>
      <c r="OU14" s="35"/>
      <c r="OV14" s="35"/>
      <c r="OW14" s="35"/>
      <c r="OX14" s="35"/>
      <c r="OY14" s="35"/>
      <c r="OZ14" s="35"/>
      <c r="PA14" s="35"/>
      <c r="PB14" s="35"/>
      <c r="PC14" s="35"/>
      <c r="PD14" s="35"/>
      <c r="PE14" s="35"/>
      <c r="PF14" s="35"/>
      <c r="PG14" s="35"/>
      <c r="PH14" s="35"/>
      <c r="PI14" s="35"/>
      <c r="PJ14" s="35"/>
      <c r="PK14" s="35"/>
      <c r="PL14" s="35"/>
      <c r="PM14" s="35"/>
      <c r="PN14" s="35"/>
      <c r="PO14" s="35"/>
      <c r="PP14" s="35"/>
      <c r="PQ14" s="35"/>
      <c r="PR14" s="35"/>
      <c r="PS14" s="35"/>
      <c r="PT14" s="35"/>
      <c r="PU14" s="35"/>
      <c r="PV14" s="35"/>
      <c r="PW14" s="35"/>
      <c r="PX14" s="35"/>
      <c r="PY14" s="35"/>
      <c r="PZ14" s="35"/>
      <c r="QA14" s="35"/>
      <c r="QB14" s="35"/>
      <c r="QC14" s="35"/>
      <c r="QD14" s="35"/>
      <c r="QE14" s="35"/>
      <c r="QF14" s="35"/>
      <c r="QG14" s="35"/>
      <c r="QH14" s="35"/>
      <c r="QI14" s="35"/>
      <c r="QJ14" s="35"/>
      <c r="QK14" s="35"/>
      <c r="QL14" s="35"/>
      <c r="QM14" s="35"/>
      <c r="QN14" s="35"/>
      <c r="QO14" s="35"/>
      <c r="QP14" s="35"/>
      <c r="QQ14" s="35"/>
      <c r="QR14" s="35"/>
      <c r="QS14" s="35"/>
      <c r="QT14" s="35"/>
      <c r="QU14" s="35"/>
      <c r="QV14" s="35"/>
      <c r="QW14" s="35"/>
      <c r="QX14" s="35"/>
      <c r="QY14" s="35"/>
      <c r="QZ14" s="35"/>
      <c r="RA14" s="35"/>
      <c r="RB14" s="35"/>
      <c r="RC14" s="35"/>
      <c r="RD14" s="35"/>
      <c r="RE14" s="35"/>
      <c r="RF14" s="35"/>
      <c r="RG14" s="35"/>
      <c r="RH14" s="35"/>
      <c r="RI14" s="35"/>
      <c r="RJ14" s="35"/>
      <c r="RK14" s="35"/>
      <c r="RL14" s="35"/>
      <c r="RM14" s="35"/>
      <c r="RN14" s="35"/>
      <c r="RO14" s="35"/>
      <c r="RP14" s="35"/>
      <c r="RQ14" s="35"/>
      <c r="RR14" s="35"/>
      <c r="RS14" s="35"/>
      <c r="RT14" s="35"/>
      <c r="RU14" s="35"/>
      <c r="RV14" s="35"/>
      <c r="RW14" s="35"/>
      <c r="RX14" s="35"/>
      <c r="RY14" s="35"/>
      <c r="RZ14" s="35"/>
      <c r="SA14" s="35"/>
      <c r="SB14" s="35"/>
      <c r="SC14" s="35"/>
      <c r="SD14" s="35"/>
      <c r="SE14" s="35"/>
      <c r="SF14" s="35"/>
      <c r="SG14" s="35"/>
      <c r="SH14" s="35"/>
      <c r="SI14" s="35"/>
      <c r="SJ14" s="35"/>
      <c r="SK14" s="35"/>
      <c r="SL14" s="35"/>
      <c r="SM14" s="35"/>
      <c r="SN14" s="35"/>
      <c r="SO14" s="35"/>
      <c r="SP14" s="35"/>
      <c r="SQ14" s="35"/>
      <c r="SR14" s="35"/>
      <c r="SS14" s="35"/>
      <c r="ST14" s="35"/>
      <c r="SU14" s="35"/>
      <c r="SV14" s="35"/>
      <c r="SW14" s="35"/>
      <c r="SX14" s="35"/>
      <c r="SY14" s="35"/>
      <c r="SZ14" s="35"/>
      <c r="TA14" s="35"/>
      <c r="TB14" s="35"/>
      <c r="TC14" s="35"/>
      <c r="TD14" s="35"/>
      <c r="TE14" s="35"/>
      <c r="TF14" s="35"/>
      <c r="TG14" s="35"/>
      <c r="TH14" s="35"/>
      <c r="TI14" s="35"/>
      <c r="TJ14" s="35"/>
      <c r="TK14" s="35"/>
      <c r="TL14" s="35"/>
      <c r="TM14" s="35"/>
      <c r="TN14" s="35"/>
      <c r="TO14" s="35"/>
      <c r="TP14" s="35"/>
      <c r="TQ14" s="35"/>
      <c r="TR14" s="35"/>
      <c r="TS14" s="35"/>
      <c r="TT14" s="35"/>
      <c r="TU14" s="35"/>
      <c r="TV14" s="35"/>
      <c r="TW14" s="35"/>
      <c r="TX14" s="35"/>
      <c r="TY14" s="35"/>
      <c r="TZ14" s="35"/>
      <c r="UA14" s="35"/>
      <c r="UB14" s="35"/>
      <c r="UC14" s="35"/>
      <c r="UD14" s="35"/>
      <c r="UE14" s="35"/>
      <c r="UF14" s="35"/>
      <c r="UG14" s="35"/>
      <c r="UH14" s="35"/>
      <c r="UI14" s="35"/>
      <c r="UJ14" s="35"/>
      <c r="UK14" s="35"/>
      <c r="UL14" s="35"/>
      <c r="UM14" s="35"/>
      <c r="UN14" s="35"/>
      <c r="UO14" s="35"/>
      <c r="UP14" s="35"/>
      <c r="UQ14" s="35"/>
      <c r="UR14" s="35"/>
      <c r="US14" s="35"/>
      <c r="UT14" s="35"/>
      <c r="UU14" s="35"/>
      <c r="UV14" s="35"/>
      <c r="UW14" s="35"/>
      <c r="UX14" s="35"/>
      <c r="UY14" s="35"/>
      <c r="UZ14" s="35"/>
      <c r="VA14" s="35"/>
      <c r="VB14" s="35"/>
      <c r="VC14" s="35"/>
      <c r="VD14" s="35"/>
      <c r="VE14" s="35"/>
      <c r="VF14" s="35"/>
      <c r="VG14" s="35"/>
      <c r="VH14" s="35"/>
      <c r="VI14" s="35"/>
      <c r="VJ14" s="35"/>
      <c r="VK14" s="35"/>
      <c r="VL14" s="35"/>
      <c r="VM14" s="35"/>
      <c r="VN14" s="35"/>
      <c r="VO14" s="35"/>
      <c r="VP14" s="35"/>
      <c r="VQ14" s="35"/>
      <c r="VR14" s="35"/>
      <c r="VS14" s="35"/>
      <c r="VT14" s="35"/>
      <c r="VU14" s="35"/>
      <c r="VV14" s="35"/>
      <c r="VW14" s="35"/>
      <c r="VX14" s="35"/>
      <c r="VY14" s="35"/>
      <c r="VZ14" s="35"/>
      <c r="WA14" s="35"/>
      <c r="WB14" s="35"/>
      <c r="WC14" s="35"/>
      <c r="WD14" s="35"/>
      <c r="WE14" s="35"/>
      <c r="WF14" s="35"/>
      <c r="WG14" s="35"/>
      <c r="WH14" s="35"/>
      <c r="WI14" s="35"/>
      <c r="WJ14" s="35"/>
      <c r="WK14" s="35"/>
      <c r="WL14" s="35"/>
      <c r="WM14" s="35"/>
      <c r="WN14" s="35"/>
      <c r="WO14" s="35"/>
      <c r="WP14" s="35"/>
      <c r="WQ14" s="35"/>
      <c r="WR14" s="35"/>
      <c r="WS14" s="35"/>
      <c r="WT14" s="35"/>
      <c r="WU14" s="35"/>
      <c r="WV14" s="35"/>
      <c r="WW14" s="35"/>
      <c r="WX14" s="35"/>
      <c r="WY14" s="35"/>
      <c r="WZ14" s="35"/>
      <c r="XA14" s="35"/>
      <c r="XB14" s="35"/>
      <c r="XC14" s="35"/>
      <c r="XD14" s="35"/>
      <c r="XE14" s="35"/>
      <c r="XF14" s="35"/>
      <c r="XG14" s="35"/>
      <c r="XH14" s="35"/>
      <c r="XI14" s="35"/>
      <c r="XJ14" s="35"/>
      <c r="XK14" s="35"/>
      <c r="XL14" s="35"/>
      <c r="XM14" s="35"/>
      <c r="XN14" s="35"/>
      <c r="XO14" s="35"/>
      <c r="XP14" s="35"/>
      <c r="XQ14" s="35"/>
      <c r="XR14" s="35"/>
      <c r="XS14" s="35"/>
      <c r="XT14" s="35"/>
      <c r="XU14" s="35"/>
      <c r="XV14" s="35"/>
      <c r="XW14" s="35"/>
      <c r="XX14" s="35"/>
      <c r="XY14" s="35"/>
      <c r="XZ14" s="35"/>
      <c r="YA14" s="35"/>
      <c r="YB14" s="35"/>
      <c r="YC14" s="35"/>
      <c r="YD14" s="35"/>
      <c r="YE14" s="35"/>
      <c r="YF14" s="35"/>
      <c r="YG14" s="35"/>
      <c r="YH14" s="35"/>
      <c r="YI14" s="35"/>
      <c r="YJ14" s="35"/>
      <c r="YK14" s="35"/>
      <c r="YL14" s="35"/>
      <c r="YM14" s="35"/>
      <c r="YN14" s="35"/>
      <c r="YO14" s="35"/>
      <c r="YP14" s="35"/>
      <c r="YQ14" s="35"/>
      <c r="YR14" s="35"/>
      <c r="YS14" s="35"/>
      <c r="YT14" s="35"/>
      <c r="YU14" s="35"/>
      <c r="YV14" s="35"/>
      <c r="YW14" s="35"/>
      <c r="YX14" s="35"/>
      <c r="YY14" s="35"/>
      <c r="YZ14" s="35"/>
      <c r="ZA14" s="35"/>
      <c r="ZB14" s="35"/>
      <c r="ZC14" s="35"/>
      <c r="ZD14" s="35"/>
      <c r="ZE14" s="35"/>
      <c r="ZF14" s="35"/>
      <c r="ZG14" s="35"/>
      <c r="ZH14" s="35"/>
      <c r="ZI14" s="35"/>
      <c r="ZJ14" s="35"/>
      <c r="ZK14" s="35"/>
      <c r="ZL14" s="35"/>
      <c r="ZM14" s="35"/>
      <c r="ZN14" s="35"/>
      <c r="ZO14" s="35"/>
      <c r="ZP14" s="35"/>
      <c r="ZQ14" s="35"/>
      <c r="ZR14" s="35"/>
      <c r="ZS14" s="35"/>
      <c r="ZT14" s="35"/>
      <c r="ZU14" s="35"/>
      <c r="ZV14" s="35"/>
      <c r="ZW14" s="35"/>
      <c r="ZX14" s="35"/>
      <c r="ZY14" s="35"/>
      <c r="ZZ14" s="35"/>
      <c r="AAA14" s="35"/>
      <c r="AAB14" s="35"/>
      <c r="AAC14" s="35"/>
      <c r="AAD14" s="35"/>
      <c r="AAE14" s="35"/>
      <c r="AAF14" s="35"/>
      <c r="AAG14" s="35"/>
      <c r="AAH14" s="35"/>
      <c r="AAI14" s="35"/>
      <c r="AAJ14" s="35"/>
      <c r="AAK14" s="35"/>
      <c r="AAL14" s="35"/>
      <c r="AAM14" s="35"/>
      <c r="AAN14" s="35"/>
      <c r="AAO14" s="35"/>
      <c r="AAP14" s="35"/>
      <c r="AAQ14" s="35"/>
      <c r="AAR14" s="35"/>
      <c r="AAS14" s="35"/>
      <c r="AAT14" s="35"/>
      <c r="AAU14" s="35"/>
      <c r="AAV14" s="35"/>
      <c r="AAW14" s="35"/>
      <c r="AAX14" s="35"/>
      <c r="AAY14" s="35"/>
      <c r="AAZ14" s="35"/>
      <c r="ABA14" s="35"/>
      <c r="ABB14" s="35"/>
      <c r="ABC14" s="35"/>
      <c r="ABD14" s="35"/>
      <c r="ABE14" s="35"/>
      <c r="ABF14" s="35"/>
      <c r="ABG14" s="35"/>
      <c r="ABH14" s="35"/>
      <c r="ABI14" s="35"/>
      <c r="ABJ14" s="35"/>
      <c r="ABK14" s="35"/>
      <c r="ABL14" s="35"/>
      <c r="ABM14" s="35"/>
      <c r="ABN14" s="35"/>
      <c r="ABO14" s="35"/>
      <c r="ABP14" s="35"/>
      <c r="ABQ14" s="35"/>
      <c r="ABR14" s="35"/>
      <c r="ABS14" s="35"/>
      <c r="ABT14" s="35"/>
      <c r="ABU14" s="35"/>
      <c r="ABV14" s="35"/>
      <c r="ABW14" s="35"/>
      <c r="ABX14" s="35"/>
      <c r="ABY14" s="35"/>
      <c r="ABZ14" s="35"/>
      <c r="ACA14" s="35"/>
      <c r="ACB14" s="35"/>
      <c r="ACC14" s="35"/>
      <c r="ACD14" s="35"/>
      <c r="ACE14" s="35"/>
      <c r="ACF14" s="35"/>
      <c r="ACG14" s="35"/>
      <c r="ACH14" s="35"/>
      <c r="ACI14" s="35"/>
      <c r="ACJ14" s="35"/>
      <c r="ACK14" s="35"/>
      <c r="ACL14" s="35"/>
      <c r="ACM14" s="35"/>
      <c r="ACN14" s="35"/>
      <c r="ACO14" s="35"/>
      <c r="ACP14" s="35"/>
      <c r="ACQ14" s="35"/>
      <c r="ACR14" s="35"/>
      <c r="ACS14" s="35"/>
      <c r="ACT14" s="35"/>
      <c r="ACU14" s="35"/>
      <c r="ACV14" s="35"/>
      <c r="ACW14" s="35"/>
      <c r="ACX14" s="35"/>
      <c r="ACY14" s="35"/>
      <c r="ACZ14" s="35"/>
      <c r="ADA14" s="35"/>
      <c r="ADB14" s="35"/>
      <c r="ADC14" s="35"/>
      <c r="ADD14" s="35"/>
      <c r="ADE14" s="35"/>
      <c r="ADF14" s="35"/>
      <c r="ADG14" s="35"/>
      <c r="ADH14" s="35"/>
      <c r="ADI14" s="35"/>
      <c r="ADJ14" s="35"/>
      <c r="ADK14" s="35"/>
      <c r="ADL14" s="35"/>
      <c r="ADM14" s="35"/>
      <c r="ADN14" s="35"/>
      <c r="ADO14" s="35"/>
      <c r="ADP14" s="35"/>
      <c r="ADQ14" s="35"/>
      <c r="ADR14" s="35"/>
      <c r="ADS14" s="35"/>
      <c r="ADT14" s="35"/>
      <c r="ADU14" s="35"/>
      <c r="ADV14" s="35"/>
      <c r="ADW14" s="35"/>
      <c r="ADX14" s="35"/>
      <c r="ADY14" s="35"/>
      <c r="ADZ14" s="35"/>
      <c r="AEA14" s="35"/>
      <c r="AEB14" s="35"/>
      <c r="AEC14" s="35"/>
      <c r="AED14" s="35"/>
      <c r="AEE14" s="35"/>
      <c r="AEF14" s="35"/>
      <c r="AEG14" s="35"/>
      <c r="AEH14" s="35"/>
      <c r="AEI14" s="35"/>
      <c r="AEJ14" s="35"/>
      <c r="AEK14" s="35"/>
      <c r="AEL14" s="35"/>
      <c r="AEM14" s="35"/>
      <c r="AEN14" s="35"/>
      <c r="AEO14" s="35"/>
      <c r="AEP14" s="35"/>
      <c r="AEQ14" s="35"/>
      <c r="AER14" s="35"/>
      <c r="AES14" s="35"/>
      <c r="AET14" s="35"/>
      <c r="AEU14" s="35"/>
      <c r="AEV14" s="35"/>
      <c r="AEW14" s="35"/>
      <c r="AEX14" s="35"/>
      <c r="AEY14" s="35"/>
      <c r="AEZ14" s="35"/>
      <c r="AFA14" s="35"/>
      <c r="AFB14" s="35"/>
      <c r="AFC14" s="35"/>
      <c r="AFD14" s="35"/>
      <c r="AFE14" s="35"/>
      <c r="AFF14" s="35"/>
      <c r="AFG14" s="35"/>
      <c r="AFH14" s="35"/>
      <c r="AFI14" s="35"/>
      <c r="AFJ14" s="35"/>
      <c r="AFK14" s="35"/>
      <c r="AFL14" s="35"/>
      <c r="AFM14" s="35"/>
      <c r="AFN14" s="35"/>
      <c r="AFO14" s="35"/>
      <c r="AFP14" s="35"/>
      <c r="AFQ14" s="35"/>
      <c r="AFR14" s="35"/>
      <c r="AFS14" s="35"/>
      <c r="AFT14" s="35"/>
      <c r="AFU14" s="35"/>
      <c r="AFV14" s="35"/>
      <c r="AFW14" s="35"/>
      <c r="AFX14" s="35"/>
      <c r="AFY14" s="35"/>
      <c r="AFZ14" s="35"/>
      <c r="AGA14" s="35"/>
      <c r="AGB14" s="35"/>
      <c r="AGC14" s="35"/>
      <c r="AGD14" s="35"/>
      <c r="AGE14" s="35"/>
      <c r="AGF14" s="35"/>
      <c r="AGG14" s="35"/>
      <c r="AGH14" s="35"/>
      <c r="AGI14" s="35"/>
      <c r="AGJ14" s="35"/>
      <c r="AGK14" s="35"/>
      <c r="AGL14" s="35"/>
      <c r="AGM14" s="35"/>
      <c r="AGN14" s="35"/>
      <c r="AGO14" s="35"/>
      <c r="AGP14" s="35"/>
      <c r="AGQ14" s="35"/>
      <c r="AGR14" s="35"/>
      <c r="AGS14" s="35"/>
      <c r="AGT14" s="35"/>
      <c r="AGU14" s="35"/>
      <c r="AGV14" s="35"/>
      <c r="AGW14" s="35"/>
      <c r="AGX14" s="35"/>
      <c r="AGY14" s="35"/>
      <c r="AGZ14" s="35"/>
      <c r="AHA14" s="35"/>
      <c r="AHB14" s="35"/>
      <c r="AHC14" s="35"/>
      <c r="AHD14" s="35"/>
      <c r="AHE14" s="35"/>
      <c r="AHF14" s="35"/>
      <c r="AHG14" s="35"/>
      <c r="AHH14" s="35"/>
      <c r="AHI14" s="35"/>
      <c r="AHJ14" s="35"/>
      <c r="AHK14" s="35"/>
      <c r="AHL14" s="35"/>
      <c r="AHM14" s="35"/>
      <c r="AHN14" s="35"/>
      <c r="AHO14" s="35"/>
      <c r="AHP14" s="35"/>
      <c r="AHQ14" s="35"/>
      <c r="AHR14" s="35"/>
      <c r="AHS14" s="35"/>
      <c r="AHT14" s="35"/>
      <c r="AHU14" s="35"/>
      <c r="AHV14" s="35"/>
      <c r="AHW14" s="35"/>
      <c r="AHX14" s="35"/>
      <c r="AHY14" s="35"/>
      <c r="AHZ14" s="35"/>
      <c r="AIA14" s="35"/>
      <c r="AIB14" s="35"/>
      <c r="AIC14" s="35"/>
      <c r="AID14" s="35"/>
      <c r="AIE14" s="35"/>
      <c r="AIF14" s="35"/>
      <c r="AIG14" s="35"/>
      <c r="AIH14" s="35"/>
      <c r="AII14" s="35"/>
      <c r="AIJ14" s="35"/>
      <c r="AIK14" s="35"/>
      <c r="AIL14" s="35"/>
      <c r="AIM14" s="35"/>
      <c r="AIN14" s="35"/>
      <c r="AIO14" s="35"/>
      <c r="AIP14" s="35"/>
      <c r="AIQ14" s="35"/>
      <c r="AIR14" s="35"/>
      <c r="AIS14" s="35"/>
      <c r="AIT14" s="35"/>
      <c r="AIU14" s="35"/>
      <c r="AIV14" s="35"/>
      <c r="AIW14" s="35"/>
      <c r="AIX14" s="35"/>
      <c r="AIY14" s="35"/>
      <c r="AIZ14" s="35"/>
      <c r="AJA14" s="35"/>
      <c r="AJB14" s="35"/>
      <c r="AJC14" s="35"/>
      <c r="AJD14" s="35"/>
      <c r="AJE14" s="35"/>
      <c r="AJF14" s="35"/>
      <c r="AJG14" s="35"/>
      <c r="AJH14" s="35"/>
      <c r="AJI14" s="35"/>
      <c r="AJJ14" s="35"/>
      <c r="AJK14" s="35"/>
      <c r="AJL14" s="35"/>
      <c r="AJM14" s="35"/>
      <c r="AJN14" s="35"/>
      <c r="AJO14" s="35"/>
      <c r="AJP14" s="35"/>
      <c r="AJQ14" s="35"/>
      <c r="AJR14" s="35"/>
      <c r="AJS14" s="35"/>
      <c r="AJT14" s="35"/>
      <c r="AJU14" s="35"/>
      <c r="AJV14" s="35"/>
      <c r="AJW14" s="35"/>
      <c r="AJX14" s="35"/>
      <c r="AJY14" s="35"/>
      <c r="AJZ14" s="35"/>
      <c r="AKA14" s="35"/>
      <c r="AKB14" s="35"/>
      <c r="AKC14" s="35"/>
      <c r="AKD14" s="35"/>
      <c r="AKE14" s="35"/>
      <c r="AKF14" s="35"/>
      <c r="AKG14" s="35"/>
      <c r="AKH14" s="35"/>
      <c r="AKI14" s="35"/>
      <c r="AKJ14" s="35"/>
      <c r="AKK14" s="35"/>
      <c r="AKL14" s="35"/>
      <c r="AKM14" s="35"/>
      <c r="AKN14" s="35"/>
      <c r="AKO14" s="35"/>
      <c r="AKP14" s="35"/>
      <c r="AKQ14" s="35"/>
      <c r="AKR14" s="35"/>
      <c r="AKS14" s="35"/>
      <c r="AKT14" s="35"/>
      <c r="AKU14" s="35"/>
      <c r="AKV14" s="35"/>
      <c r="AKW14" s="35"/>
      <c r="AKX14" s="35"/>
      <c r="AKY14" s="35"/>
      <c r="AKZ14" s="35"/>
      <c r="ALA14" s="35"/>
      <c r="ALB14" s="35"/>
      <c r="ALC14" s="35"/>
      <c r="ALD14" s="35"/>
      <c r="ALE14" s="35"/>
      <c r="ALF14" s="35"/>
      <c r="ALG14" s="35"/>
      <c r="ALH14" s="35"/>
      <c r="ALI14" s="35"/>
      <c r="ALJ14" s="35"/>
      <c r="ALK14" s="35"/>
      <c r="ALL14" s="35"/>
      <c r="ALM14" s="35"/>
      <c r="ALN14" s="35"/>
      <c r="ALO14" s="35"/>
      <c r="ALP14" s="35"/>
      <c r="ALQ14" s="35"/>
      <c r="ALR14" s="35"/>
      <c r="ALS14" s="35"/>
      <c r="ALT14" s="35"/>
      <c r="ALU14" s="35"/>
      <c r="ALV14" s="35"/>
      <c r="ALW14" s="35"/>
      <c r="ALX14" s="35"/>
      <c r="ALY14" s="35"/>
      <c r="ALZ14" s="35"/>
      <c r="AMA14" s="35"/>
      <c r="AMB14" s="1"/>
    </row>
    <row r="15" customFormat="false" ht="12.8" hidden="true" customHeight="true" outlineLevel="1" collapsed="false">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63"/>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c r="BQ15" s="40"/>
      <c r="BR15" s="40"/>
      <c r="BS15" s="40"/>
      <c r="BT15" s="40"/>
      <c r="BU15" s="40"/>
      <c r="BV15" s="40"/>
      <c r="BW15" s="40"/>
      <c r="BX15" s="40"/>
      <c r="BY15" s="40"/>
      <c r="BZ15" s="40"/>
      <c r="CA15" s="40"/>
      <c r="CB15" s="40"/>
      <c r="CC15" s="40"/>
      <c r="CD15" s="40"/>
      <c r="CE15" s="40"/>
      <c r="CF15" s="40"/>
      <c r="CG15" s="40"/>
      <c r="CH15" s="40"/>
      <c r="CI15" s="40"/>
      <c r="CJ15" s="40"/>
      <c r="CK15" s="40"/>
      <c r="CL15" s="40"/>
      <c r="CM15" s="40"/>
      <c r="CN15" s="40"/>
      <c r="CO15" s="40"/>
      <c r="CP15" s="40"/>
      <c r="CQ15" s="40"/>
      <c r="CR15" s="40"/>
      <c r="CS15" s="40"/>
      <c r="CT15" s="40"/>
      <c r="CU15" s="40"/>
      <c r="CV15" s="40"/>
      <c r="CW15" s="40"/>
      <c r="CX15" s="40"/>
      <c r="CY15" s="40"/>
      <c r="CZ15" s="40"/>
      <c r="DA15" s="40"/>
      <c r="DB15" s="40"/>
      <c r="DC15" s="40"/>
      <c r="DD15" s="40"/>
      <c r="DE15" s="40"/>
      <c r="DF15" s="40"/>
      <c r="DG15" s="40"/>
      <c r="DH15" s="40"/>
      <c r="DI15" s="40"/>
      <c r="DJ15" s="40"/>
      <c r="DK15" s="40"/>
      <c r="DL15" s="40"/>
      <c r="DM15" s="40"/>
      <c r="DN15" s="40"/>
      <c r="DO15" s="40"/>
      <c r="DP15" s="40"/>
      <c r="DQ15" s="40"/>
      <c r="DR15" s="40"/>
      <c r="DS15" s="40"/>
      <c r="DT15" s="40"/>
      <c r="DU15" s="40"/>
      <c r="DV15" s="40"/>
      <c r="DW15" s="40"/>
      <c r="DX15" s="40"/>
      <c r="DY15" s="40"/>
      <c r="DZ15" s="40" t="s">
        <v>364</v>
      </c>
      <c r="EA15" s="35"/>
      <c r="EB15" s="81"/>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5"/>
      <c r="GC15" s="35"/>
      <c r="GD15" s="35"/>
      <c r="GE15" s="35"/>
      <c r="GF15" s="35"/>
      <c r="GG15" s="35"/>
      <c r="GH15" s="35"/>
      <c r="GI15" s="35"/>
      <c r="GJ15" s="35"/>
      <c r="GK15" s="35"/>
      <c r="GL15" s="35"/>
      <c r="GM15" s="35"/>
      <c r="GN15" s="35"/>
      <c r="GO15" s="35"/>
      <c r="GP15" s="35"/>
      <c r="GQ15" s="35"/>
      <c r="GR15" s="35"/>
      <c r="GS15" s="35"/>
      <c r="GT15" s="35"/>
      <c r="GU15" s="35"/>
      <c r="GV15" s="35"/>
      <c r="GW15" s="35"/>
      <c r="GX15" s="35"/>
      <c r="GY15" s="35"/>
      <c r="GZ15" s="35"/>
      <c r="HA15" s="35"/>
      <c r="HB15" s="35"/>
      <c r="HC15" s="35"/>
      <c r="HD15" s="35"/>
      <c r="HE15" s="35"/>
      <c r="HF15" s="35"/>
      <c r="HG15" s="35"/>
      <c r="HH15" s="35"/>
      <c r="HI15" s="35"/>
      <c r="HJ15" s="35"/>
      <c r="HK15" s="35"/>
      <c r="HL15" s="35"/>
      <c r="HM15" s="35"/>
      <c r="HN15" s="35"/>
      <c r="HO15" s="35"/>
      <c r="HP15" s="35"/>
      <c r="HQ15" s="35"/>
      <c r="HR15" s="35"/>
      <c r="HS15" s="35"/>
      <c r="HT15" s="35"/>
      <c r="HU15" s="35"/>
      <c r="HV15" s="35"/>
      <c r="HW15" s="35"/>
      <c r="HX15" s="35"/>
      <c r="HY15" s="35"/>
      <c r="HZ15" s="35"/>
      <c r="IA15" s="35"/>
      <c r="IB15" s="35"/>
      <c r="IC15" s="35"/>
      <c r="ID15" s="35"/>
      <c r="IE15" s="35"/>
      <c r="IF15" s="35"/>
      <c r="IG15" s="35"/>
      <c r="IH15" s="35"/>
      <c r="II15" s="35"/>
      <c r="IJ15" s="35"/>
      <c r="IK15" s="35"/>
      <c r="IL15" s="35"/>
      <c r="IM15" s="35"/>
      <c r="IN15" s="35"/>
      <c r="IO15" s="35"/>
      <c r="IP15" s="35"/>
      <c r="IQ15" s="35"/>
      <c r="IR15" s="35"/>
      <c r="IS15" s="35"/>
      <c r="IT15" s="35"/>
      <c r="IU15" s="35"/>
      <c r="IV15" s="35"/>
      <c r="IW15" s="35"/>
      <c r="IX15" s="35"/>
      <c r="IY15" s="35"/>
      <c r="IZ15" s="35"/>
      <c r="JA15" s="35"/>
      <c r="JB15" s="35"/>
      <c r="JC15" s="35"/>
      <c r="JD15" s="35"/>
      <c r="JE15" s="35"/>
      <c r="JF15" s="35"/>
      <c r="JG15" s="35"/>
      <c r="JH15" s="35"/>
      <c r="JI15" s="35"/>
      <c r="JJ15" s="35"/>
      <c r="JK15" s="35"/>
      <c r="JL15" s="35"/>
      <c r="JM15" s="35"/>
      <c r="JN15" s="35"/>
      <c r="JO15" s="35"/>
      <c r="JP15" s="35"/>
      <c r="JQ15" s="35"/>
      <c r="JR15" s="35"/>
      <c r="JS15" s="35"/>
      <c r="JT15" s="35"/>
      <c r="JU15" s="35"/>
      <c r="JV15" s="35"/>
      <c r="JW15" s="35"/>
      <c r="JX15" s="35"/>
      <c r="JY15" s="35"/>
      <c r="JZ15" s="35"/>
      <c r="KA15" s="35"/>
      <c r="KB15" s="35"/>
      <c r="KC15" s="35"/>
      <c r="KD15" s="35"/>
      <c r="KE15" s="35"/>
      <c r="KF15" s="35"/>
      <c r="KG15" s="35"/>
      <c r="KH15" s="35"/>
      <c r="KI15" s="35"/>
      <c r="KJ15" s="35"/>
      <c r="KK15" s="35"/>
      <c r="KL15" s="35"/>
      <c r="KM15" s="35"/>
      <c r="KN15" s="35"/>
      <c r="KO15" s="35"/>
      <c r="KP15" s="35"/>
      <c r="KQ15" s="35"/>
      <c r="KR15" s="35"/>
      <c r="KS15" s="35"/>
      <c r="KT15" s="35"/>
      <c r="KU15" s="35"/>
      <c r="KV15" s="35"/>
      <c r="KW15" s="35"/>
      <c r="KX15" s="35"/>
      <c r="KY15" s="35"/>
      <c r="KZ15" s="35"/>
      <c r="LA15" s="35"/>
      <c r="LB15" s="35"/>
      <c r="LC15" s="35"/>
      <c r="LD15" s="35"/>
      <c r="LE15" s="35"/>
      <c r="LF15" s="35"/>
      <c r="LG15" s="35"/>
      <c r="LH15" s="35"/>
      <c r="LI15" s="35"/>
      <c r="LJ15" s="35"/>
      <c r="LK15" s="35"/>
      <c r="LL15" s="35"/>
      <c r="LM15" s="35"/>
      <c r="LN15" s="35"/>
      <c r="LO15" s="35"/>
      <c r="LP15" s="35"/>
      <c r="LQ15" s="35"/>
      <c r="LR15" s="35"/>
      <c r="LS15" s="35"/>
      <c r="LT15" s="35"/>
      <c r="LU15" s="35"/>
      <c r="LV15" s="35"/>
      <c r="LW15" s="35"/>
      <c r="LX15" s="35"/>
      <c r="LY15" s="35"/>
      <c r="LZ15" s="35"/>
      <c r="MA15" s="35"/>
      <c r="MB15" s="35"/>
      <c r="MC15" s="35"/>
      <c r="MD15" s="35"/>
      <c r="ME15" s="35"/>
      <c r="MF15" s="35"/>
      <c r="MG15" s="35"/>
      <c r="MH15" s="35"/>
      <c r="MI15" s="35"/>
      <c r="MJ15" s="35"/>
      <c r="MK15" s="35"/>
      <c r="ML15" s="35"/>
      <c r="MM15" s="35"/>
      <c r="MN15" s="35"/>
      <c r="MO15" s="35"/>
      <c r="MP15" s="35"/>
      <c r="MQ15" s="35"/>
      <c r="MR15" s="35"/>
      <c r="MS15" s="35"/>
      <c r="MT15" s="35"/>
      <c r="MU15" s="35"/>
      <c r="MV15" s="35"/>
      <c r="MW15" s="35"/>
      <c r="MX15" s="35"/>
      <c r="MY15" s="35"/>
      <c r="MZ15" s="35"/>
      <c r="NA15" s="35"/>
      <c r="NB15" s="35"/>
      <c r="NC15" s="35"/>
      <c r="ND15" s="35"/>
      <c r="NE15" s="35"/>
      <c r="NF15" s="35"/>
      <c r="NG15" s="35"/>
      <c r="NH15" s="35"/>
      <c r="NI15" s="35"/>
      <c r="NJ15" s="35"/>
      <c r="NK15" s="35"/>
      <c r="NL15" s="35"/>
      <c r="NM15" s="35"/>
      <c r="NN15" s="35"/>
      <c r="NO15" s="35"/>
      <c r="NP15" s="35"/>
      <c r="NQ15" s="35"/>
      <c r="NR15" s="35"/>
      <c r="NS15" s="35"/>
      <c r="NT15" s="35"/>
      <c r="NU15" s="35"/>
      <c r="NV15" s="35"/>
      <c r="NW15" s="35"/>
      <c r="NX15" s="35"/>
      <c r="NY15" s="35"/>
      <c r="NZ15" s="35"/>
      <c r="OA15" s="35"/>
      <c r="OB15" s="35"/>
      <c r="OC15" s="35"/>
      <c r="OD15" s="35"/>
      <c r="OE15" s="35"/>
      <c r="OF15" s="35"/>
      <c r="OG15" s="35"/>
      <c r="OH15" s="35"/>
      <c r="OI15" s="35"/>
      <c r="OJ15" s="35"/>
      <c r="OK15" s="35"/>
      <c r="OL15" s="35"/>
      <c r="OM15" s="35"/>
      <c r="ON15" s="35"/>
      <c r="OO15" s="35"/>
      <c r="OP15" s="35"/>
      <c r="OQ15" s="35"/>
      <c r="OR15" s="35"/>
      <c r="OS15" s="35"/>
      <c r="OT15" s="35"/>
      <c r="OU15" s="35"/>
      <c r="OV15" s="35"/>
      <c r="OW15" s="35"/>
      <c r="OX15" s="35"/>
      <c r="OY15" s="35"/>
      <c r="OZ15" s="35"/>
      <c r="PA15" s="35"/>
      <c r="PB15" s="35"/>
      <c r="PC15" s="35"/>
      <c r="PD15" s="35"/>
      <c r="PE15" s="35"/>
      <c r="PF15" s="35"/>
      <c r="PG15" s="35"/>
      <c r="PH15" s="35"/>
      <c r="PI15" s="35"/>
      <c r="PJ15" s="35"/>
      <c r="PK15" s="35"/>
      <c r="PL15" s="35"/>
      <c r="PM15" s="35"/>
      <c r="PN15" s="35"/>
      <c r="PO15" s="35"/>
      <c r="PP15" s="35"/>
      <c r="PQ15" s="35"/>
      <c r="PR15" s="35"/>
      <c r="PS15" s="35"/>
      <c r="PT15" s="35"/>
      <c r="PU15" s="35"/>
      <c r="PV15" s="35"/>
      <c r="PW15" s="35"/>
      <c r="PX15" s="35"/>
      <c r="PY15" s="35"/>
      <c r="PZ15" s="35"/>
      <c r="QA15" s="35"/>
      <c r="QB15" s="35"/>
      <c r="QC15" s="35"/>
      <c r="QD15" s="35"/>
      <c r="QE15" s="35"/>
      <c r="QF15" s="35"/>
      <c r="QG15" s="35"/>
      <c r="QH15" s="35"/>
      <c r="QI15" s="35"/>
      <c r="QJ15" s="35"/>
      <c r="QK15" s="35"/>
      <c r="QL15" s="35"/>
      <c r="QM15" s="35"/>
      <c r="QN15" s="35"/>
      <c r="QO15" s="35"/>
      <c r="QP15" s="35"/>
      <c r="QQ15" s="35"/>
      <c r="QR15" s="35"/>
      <c r="QS15" s="35"/>
      <c r="QT15" s="35"/>
      <c r="QU15" s="35"/>
      <c r="QV15" s="35"/>
      <c r="QW15" s="35"/>
      <c r="QX15" s="35"/>
      <c r="QY15" s="35"/>
      <c r="QZ15" s="35"/>
      <c r="RA15" s="35"/>
      <c r="RB15" s="35"/>
      <c r="RC15" s="35"/>
      <c r="RD15" s="35"/>
      <c r="RE15" s="35"/>
      <c r="RF15" s="35"/>
      <c r="RG15" s="35"/>
      <c r="RH15" s="35"/>
      <c r="RI15" s="35"/>
      <c r="RJ15" s="35"/>
      <c r="RK15" s="35"/>
      <c r="RL15" s="35"/>
      <c r="RM15" s="35"/>
      <c r="RN15" s="35"/>
      <c r="RO15" s="35"/>
      <c r="RP15" s="35"/>
      <c r="RQ15" s="35"/>
      <c r="RR15" s="35"/>
      <c r="RS15" s="35"/>
      <c r="RT15" s="35"/>
      <c r="RU15" s="35"/>
      <c r="RV15" s="35"/>
      <c r="RW15" s="35"/>
      <c r="RX15" s="35"/>
      <c r="RY15" s="35"/>
      <c r="RZ15" s="35"/>
      <c r="SA15" s="35"/>
      <c r="SB15" s="35"/>
      <c r="SC15" s="35"/>
      <c r="SD15" s="35"/>
      <c r="SE15" s="35"/>
      <c r="SF15" s="35"/>
      <c r="SG15" s="35"/>
      <c r="SH15" s="35"/>
      <c r="SI15" s="35"/>
      <c r="SJ15" s="35"/>
      <c r="SK15" s="35"/>
      <c r="SL15" s="35"/>
      <c r="SM15" s="35"/>
      <c r="SN15" s="35"/>
      <c r="SO15" s="35"/>
      <c r="SP15" s="35"/>
      <c r="SQ15" s="35"/>
      <c r="SR15" s="35"/>
      <c r="SS15" s="35"/>
      <c r="ST15" s="35"/>
      <c r="SU15" s="35"/>
      <c r="SV15" s="35"/>
      <c r="SW15" s="35"/>
      <c r="SX15" s="35"/>
      <c r="SY15" s="35"/>
      <c r="SZ15" s="35"/>
      <c r="TA15" s="35"/>
      <c r="TB15" s="35"/>
      <c r="TC15" s="35"/>
      <c r="TD15" s="35"/>
      <c r="TE15" s="35"/>
      <c r="TF15" s="35"/>
      <c r="TG15" s="35"/>
      <c r="TH15" s="35"/>
      <c r="TI15" s="35"/>
      <c r="TJ15" s="35"/>
      <c r="TK15" s="35"/>
      <c r="TL15" s="35"/>
      <c r="TM15" s="35"/>
      <c r="TN15" s="35"/>
      <c r="TO15" s="35"/>
      <c r="TP15" s="35"/>
      <c r="TQ15" s="35"/>
      <c r="TR15" s="35"/>
      <c r="TS15" s="35"/>
      <c r="TT15" s="35"/>
      <c r="TU15" s="35"/>
      <c r="TV15" s="35"/>
      <c r="TW15" s="35"/>
      <c r="TX15" s="35"/>
      <c r="TY15" s="35"/>
      <c r="TZ15" s="35"/>
      <c r="UA15" s="35"/>
      <c r="UB15" s="35"/>
      <c r="UC15" s="35"/>
      <c r="UD15" s="35"/>
      <c r="UE15" s="35"/>
      <c r="UF15" s="35"/>
      <c r="UG15" s="35"/>
      <c r="UH15" s="35"/>
      <c r="UI15" s="35"/>
      <c r="UJ15" s="35"/>
      <c r="UK15" s="35"/>
      <c r="UL15" s="35"/>
      <c r="UM15" s="35"/>
      <c r="UN15" s="35"/>
      <c r="UO15" s="35"/>
      <c r="UP15" s="35"/>
      <c r="UQ15" s="35"/>
      <c r="UR15" s="35"/>
      <c r="US15" s="35"/>
      <c r="UT15" s="35"/>
      <c r="UU15" s="35"/>
      <c r="UV15" s="35"/>
      <c r="UW15" s="35"/>
      <c r="UX15" s="35"/>
      <c r="UY15" s="35"/>
      <c r="UZ15" s="35"/>
      <c r="VA15" s="35"/>
      <c r="VB15" s="35"/>
      <c r="VC15" s="35"/>
      <c r="VD15" s="35"/>
      <c r="VE15" s="35"/>
      <c r="VF15" s="35"/>
      <c r="VG15" s="35"/>
      <c r="VH15" s="35"/>
      <c r="VI15" s="35"/>
      <c r="VJ15" s="35"/>
      <c r="VK15" s="35"/>
      <c r="VL15" s="35"/>
      <c r="VM15" s="35"/>
      <c r="VN15" s="35"/>
      <c r="VO15" s="35"/>
      <c r="VP15" s="35"/>
      <c r="VQ15" s="35"/>
      <c r="VR15" s="35"/>
      <c r="VS15" s="35"/>
      <c r="VT15" s="35"/>
      <c r="VU15" s="35"/>
      <c r="VV15" s="35"/>
      <c r="VW15" s="35"/>
      <c r="VX15" s="35"/>
      <c r="VY15" s="35"/>
      <c r="VZ15" s="35"/>
      <c r="WA15" s="35"/>
      <c r="WB15" s="35"/>
      <c r="WC15" s="35"/>
      <c r="WD15" s="35"/>
      <c r="WE15" s="35"/>
      <c r="WF15" s="35"/>
      <c r="WG15" s="35"/>
      <c r="WH15" s="35"/>
      <c r="WI15" s="35"/>
      <c r="WJ15" s="35"/>
      <c r="WK15" s="35"/>
      <c r="WL15" s="35"/>
      <c r="WM15" s="35"/>
      <c r="WN15" s="35"/>
      <c r="WO15" s="35"/>
      <c r="WP15" s="35"/>
      <c r="WQ15" s="35"/>
      <c r="WR15" s="35"/>
      <c r="WS15" s="35"/>
      <c r="WT15" s="35"/>
      <c r="WU15" s="35"/>
      <c r="WV15" s="35"/>
      <c r="WW15" s="35"/>
      <c r="WX15" s="35"/>
      <c r="WY15" s="35"/>
      <c r="WZ15" s="35"/>
      <c r="XA15" s="35"/>
      <c r="XB15" s="35"/>
      <c r="XC15" s="35"/>
      <c r="XD15" s="35"/>
      <c r="XE15" s="35"/>
      <c r="XF15" s="35"/>
      <c r="XG15" s="35"/>
      <c r="XH15" s="35"/>
      <c r="XI15" s="35"/>
      <c r="XJ15" s="35"/>
      <c r="XK15" s="35"/>
      <c r="XL15" s="35"/>
      <c r="XM15" s="35"/>
      <c r="XN15" s="35"/>
      <c r="XO15" s="35"/>
      <c r="XP15" s="35"/>
      <c r="XQ15" s="35"/>
      <c r="XR15" s="35"/>
      <c r="XS15" s="35"/>
      <c r="XT15" s="35"/>
      <c r="XU15" s="35"/>
      <c r="XV15" s="35"/>
      <c r="XW15" s="35"/>
      <c r="XX15" s="35"/>
      <c r="XY15" s="35"/>
      <c r="XZ15" s="35"/>
      <c r="YA15" s="35"/>
      <c r="YB15" s="35"/>
      <c r="YC15" s="35"/>
      <c r="YD15" s="35"/>
      <c r="YE15" s="35"/>
      <c r="YF15" s="35"/>
      <c r="YG15" s="35"/>
      <c r="YH15" s="35"/>
      <c r="YI15" s="35"/>
      <c r="YJ15" s="35"/>
      <c r="YK15" s="35"/>
      <c r="YL15" s="35"/>
      <c r="YM15" s="35"/>
      <c r="YN15" s="35"/>
      <c r="YO15" s="35"/>
      <c r="YP15" s="35"/>
      <c r="YQ15" s="35"/>
      <c r="YR15" s="35"/>
      <c r="YS15" s="35"/>
      <c r="YT15" s="35"/>
      <c r="YU15" s="35"/>
      <c r="YV15" s="35"/>
      <c r="YW15" s="35"/>
      <c r="YX15" s="35"/>
      <c r="YY15" s="35"/>
      <c r="YZ15" s="35"/>
      <c r="ZA15" s="35"/>
      <c r="ZB15" s="35"/>
      <c r="ZC15" s="35"/>
      <c r="ZD15" s="35"/>
      <c r="ZE15" s="35"/>
      <c r="ZF15" s="35"/>
      <c r="ZG15" s="35"/>
      <c r="ZH15" s="35"/>
      <c r="ZI15" s="35"/>
      <c r="ZJ15" s="35"/>
      <c r="ZK15" s="35"/>
      <c r="ZL15" s="35"/>
      <c r="ZM15" s="35"/>
      <c r="ZN15" s="35"/>
      <c r="ZO15" s="35"/>
      <c r="ZP15" s="35"/>
      <c r="ZQ15" s="35"/>
      <c r="ZR15" s="35"/>
      <c r="ZS15" s="35"/>
      <c r="ZT15" s="35"/>
      <c r="ZU15" s="35"/>
      <c r="ZV15" s="35"/>
      <c r="ZW15" s="35"/>
      <c r="ZX15" s="35"/>
      <c r="ZY15" s="35"/>
      <c r="ZZ15" s="35"/>
      <c r="AAA15" s="35"/>
      <c r="AAB15" s="35"/>
      <c r="AAC15" s="35"/>
      <c r="AAD15" s="35"/>
      <c r="AAE15" s="35"/>
      <c r="AAF15" s="35"/>
      <c r="AAG15" s="35"/>
      <c r="AAH15" s="35"/>
      <c r="AAI15" s="35"/>
      <c r="AAJ15" s="35"/>
      <c r="AAK15" s="35"/>
      <c r="AAL15" s="35"/>
      <c r="AAM15" s="35"/>
      <c r="AAN15" s="35"/>
      <c r="AAO15" s="35"/>
      <c r="AAP15" s="35"/>
      <c r="AAQ15" s="35"/>
      <c r="AAR15" s="35"/>
      <c r="AAS15" s="35"/>
      <c r="AAT15" s="35"/>
      <c r="AAU15" s="35"/>
      <c r="AAV15" s="35"/>
      <c r="AAW15" s="35"/>
      <c r="AAX15" s="35"/>
      <c r="AAY15" s="35"/>
      <c r="AAZ15" s="35"/>
      <c r="ABA15" s="35"/>
      <c r="ABB15" s="35"/>
      <c r="ABC15" s="35"/>
      <c r="ABD15" s="35"/>
      <c r="ABE15" s="35"/>
      <c r="ABF15" s="35"/>
      <c r="ABG15" s="35"/>
      <c r="ABH15" s="35"/>
      <c r="ABI15" s="35"/>
      <c r="ABJ15" s="35"/>
      <c r="ABK15" s="35"/>
      <c r="ABL15" s="35"/>
      <c r="ABM15" s="35"/>
      <c r="ABN15" s="35"/>
      <c r="ABO15" s="35"/>
      <c r="ABP15" s="35"/>
      <c r="ABQ15" s="35"/>
      <c r="ABR15" s="35"/>
      <c r="ABS15" s="35"/>
      <c r="ABT15" s="35"/>
      <c r="ABU15" s="35"/>
      <c r="ABV15" s="35"/>
      <c r="ABW15" s="35"/>
      <c r="ABX15" s="35"/>
      <c r="ABY15" s="35"/>
      <c r="ABZ15" s="35"/>
      <c r="ACA15" s="35"/>
      <c r="ACB15" s="35"/>
      <c r="ACC15" s="35"/>
      <c r="ACD15" s="35"/>
      <c r="ACE15" s="35"/>
      <c r="ACF15" s="35"/>
      <c r="ACG15" s="35"/>
      <c r="ACH15" s="35"/>
      <c r="ACI15" s="35"/>
      <c r="ACJ15" s="35"/>
      <c r="ACK15" s="35"/>
      <c r="ACL15" s="35"/>
      <c r="ACM15" s="35"/>
      <c r="ACN15" s="35"/>
      <c r="ACO15" s="35"/>
      <c r="ACP15" s="35"/>
      <c r="ACQ15" s="35"/>
      <c r="ACR15" s="35"/>
      <c r="ACS15" s="35"/>
      <c r="ACT15" s="35"/>
      <c r="ACU15" s="35"/>
      <c r="ACV15" s="35"/>
      <c r="ACW15" s="35"/>
      <c r="ACX15" s="35"/>
      <c r="ACY15" s="35"/>
      <c r="ACZ15" s="35"/>
      <c r="ADA15" s="35"/>
      <c r="ADB15" s="35"/>
      <c r="ADC15" s="35"/>
      <c r="ADD15" s="35"/>
      <c r="ADE15" s="35"/>
      <c r="ADF15" s="35"/>
      <c r="ADG15" s="35"/>
      <c r="ADH15" s="35"/>
      <c r="ADI15" s="35"/>
      <c r="ADJ15" s="35"/>
      <c r="ADK15" s="35"/>
      <c r="ADL15" s="35"/>
      <c r="ADM15" s="35"/>
      <c r="ADN15" s="35"/>
      <c r="ADO15" s="35"/>
      <c r="ADP15" s="35"/>
      <c r="ADQ15" s="35"/>
      <c r="ADR15" s="35"/>
      <c r="ADS15" s="35"/>
      <c r="ADT15" s="35"/>
      <c r="ADU15" s="35"/>
      <c r="ADV15" s="35"/>
      <c r="ADW15" s="35"/>
      <c r="ADX15" s="35"/>
      <c r="ADY15" s="35"/>
      <c r="ADZ15" s="35"/>
      <c r="AEA15" s="35"/>
      <c r="AEB15" s="35"/>
      <c r="AEC15" s="35"/>
      <c r="AED15" s="35"/>
      <c r="AEE15" s="35"/>
      <c r="AEF15" s="35"/>
      <c r="AEG15" s="35"/>
      <c r="AEH15" s="35"/>
      <c r="AEI15" s="35"/>
      <c r="AEJ15" s="35"/>
      <c r="AEK15" s="35"/>
      <c r="AEL15" s="35"/>
      <c r="AEM15" s="35"/>
      <c r="AEN15" s="35"/>
      <c r="AEO15" s="35"/>
      <c r="AEP15" s="35"/>
      <c r="AEQ15" s="35"/>
      <c r="AER15" s="35"/>
      <c r="AES15" s="35"/>
      <c r="AET15" s="35"/>
      <c r="AEU15" s="35"/>
      <c r="AEV15" s="35"/>
      <c r="AEW15" s="35"/>
      <c r="AEX15" s="35"/>
      <c r="AEY15" s="35"/>
      <c r="AEZ15" s="35"/>
      <c r="AFA15" s="35"/>
      <c r="AFB15" s="35"/>
      <c r="AFC15" s="35"/>
      <c r="AFD15" s="35"/>
      <c r="AFE15" s="35"/>
      <c r="AFF15" s="35"/>
      <c r="AFG15" s="35"/>
      <c r="AFH15" s="35"/>
      <c r="AFI15" s="35"/>
      <c r="AFJ15" s="35"/>
      <c r="AFK15" s="35"/>
      <c r="AFL15" s="35"/>
      <c r="AFM15" s="35"/>
      <c r="AFN15" s="35"/>
      <c r="AFO15" s="35"/>
      <c r="AFP15" s="35"/>
      <c r="AFQ15" s="35"/>
      <c r="AFR15" s="35"/>
      <c r="AFS15" s="35"/>
      <c r="AFT15" s="35"/>
      <c r="AFU15" s="35"/>
      <c r="AFV15" s="35"/>
      <c r="AFW15" s="35"/>
      <c r="AFX15" s="35"/>
      <c r="AFY15" s="35"/>
      <c r="AFZ15" s="35"/>
      <c r="AGA15" s="35"/>
      <c r="AGB15" s="35"/>
      <c r="AGC15" s="35"/>
      <c r="AGD15" s="35"/>
      <c r="AGE15" s="35"/>
      <c r="AGF15" s="35"/>
      <c r="AGG15" s="35"/>
      <c r="AGH15" s="35"/>
      <c r="AGI15" s="35"/>
      <c r="AGJ15" s="35"/>
      <c r="AGK15" s="35"/>
      <c r="AGL15" s="35"/>
      <c r="AGM15" s="35"/>
      <c r="AGN15" s="35"/>
      <c r="AGO15" s="35"/>
      <c r="AGP15" s="35"/>
      <c r="AGQ15" s="35"/>
      <c r="AGR15" s="35"/>
      <c r="AGS15" s="35"/>
      <c r="AGT15" s="35"/>
      <c r="AGU15" s="35"/>
      <c r="AGV15" s="35"/>
      <c r="AGW15" s="35"/>
      <c r="AGX15" s="35"/>
      <c r="AGY15" s="35"/>
      <c r="AGZ15" s="35"/>
      <c r="AHA15" s="35"/>
      <c r="AHB15" s="35"/>
      <c r="AHC15" s="35"/>
      <c r="AHD15" s="35"/>
      <c r="AHE15" s="35"/>
      <c r="AHF15" s="35"/>
      <c r="AHG15" s="35"/>
      <c r="AHH15" s="35"/>
      <c r="AHI15" s="35"/>
      <c r="AHJ15" s="35"/>
      <c r="AHK15" s="35"/>
      <c r="AHL15" s="35"/>
      <c r="AHM15" s="35"/>
      <c r="AHN15" s="35"/>
      <c r="AHO15" s="35"/>
      <c r="AHP15" s="35"/>
      <c r="AHQ15" s="35"/>
      <c r="AHR15" s="35"/>
      <c r="AHS15" s="35"/>
      <c r="AHT15" s="35"/>
      <c r="AHU15" s="35"/>
      <c r="AHV15" s="35"/>
      <c r="AHW15" s="35"/>
      <c r="AHX15" s="35"/>
      <c r="AHY15" s="35"/>
      <c r="AHZ15" s="35"/>
      <c r="AIA15" s="35"/>
      <c r="AIB15" s="35"/>
      <c r="AIC15" s="35"/>
      <c r="AID15" s="35"/>
      <c r="AIE15" s="35"/>
      <c r="AIF15" s="35"/>
      <c r="AIG15" s="35"/>
      <c r="AIH15" s="35"/>
      <c r="AII15" s="35"/>
      <c r="AIJ15" s="35"/>
      <c r="AIK15" s="35"/>
      <c r="AIL15" s="35"/>
      <c r="AIM15" s="35"/>
      <c r="AIN15" s="35"/>
      <c r="AIO15" s="35"/>
      <c r="AIP15" s="35"/>
      <c r="AIQ15" s="35"/>
      <c r="AIR15" s="35"/>
      <c r="AIS15" s="35"/>
      <c r="AIT15" s="35"/>
      <c r="AIU15" s="35"/>
      <c r="AIV15" s="35"/>
      <c r="AIW15" s="35"/>
      <c r="AIX15" s="35"/>
      <c r="AIY15" s="35"/>
      <c r="AIZ15" s="35"/>
      <c r="AJA15" s="35"/>
      <c r="AJB15" s="35"/>
      <c r="AJC15" s="35"/>
      <c r="AJD15" s="35"/>
      <c r="AJE15" s="35"/>
      <c r="AJF15" s="35"/>
      <c r="AJG15" s="35"/>
      <c r="AJH15" s="35"/>
      <c r="AJI15" s="35"/>
      <c r="AJJ15" s="35"/>
      <c r="AJK15" s="35"/>
      <c r="AJL15" s="35"/>
      <c r="AJM15" s="35"/>
      <c r="AJN15" s="35"/>
      <c r="AJO15" s="35"/>
      <c r="AJP15" s="35"/>
      <c r="AJQ15" s="35"/>
      <c r="AJR15" s="35"/>
      <c r="AJS15" s="35"/>
      <c r="AJT15" s="35"/>
      <c r="AJU15" s="35"/>
      <c r="AJV15" s="35"/>
      <c r="AJW15" s="35"/>
      <c r="AJX15" s="35"/>
      <c r="AJY15" s="35"/>
      <c r="AJZ15" s="35"/>
      <c r="AKA15" s="35"/>
      <c r="AKB15" s="35"/>
      <c r="AKC15" s="35"/>
      <c r="AKD15" s="35"/>
      <c r="AKE15" s="35"/>
      <c r="AKF15" s="35"/>
      <c r="AKG15" s="35"/>
      <c r="AKH15" s="35"/>
      <c r="AKI15" s="35"/>
      <c r="AKJ15" s="35"/>
      <c r="AKK15" s="35"/>
      <c r="AKL15" s="35"/>
      <c r="AKM15" s="35"/>
      <c r="AKN15" s="35"/>
      <c r="AKO15" s="35"/>
      <c r="AKP15" s="35"/>
      <c r="AKQ15" s="35"/>
      <c r="AKR15" s="35"/>
      <c r="AKS15" s="35"/>
      <c r="AKT15" s="35"/>
      <c r="AKU15" s="35"/>
      <c r="AKV15" s="35"/>
      <c r="AKW15" s="35"/>
      <c r="AKX15" s="35"/>
      <c r="AKY15" s="35"/>
      <c r="AKZ15" s="35"/>
      <c r="ALA15" s="35"/>
      <c r="ALB15" s="35"/>
      <c r="ALC15" s="35"/>
      <c r="ALD15" s="35"/>
      <c r="ALE15" s="35"/>
      <c r="ALF15" s="35"/>
      <c r="ALG15" s="35"/>
      <c r="ALH15" s="35"/>
      <c r="ALI15" s="35"/>
      <c r="ALJ15" s="35"/>
      <c r="ALK15" s="35"/>
      <c r="ALL15" s="35"/>
      <c r="ALM15" s="35"/>
      <c r="ALN15" s="35"/>
      <c r="ALO15" s="35"/>
      <c r="ALP15" s="35"/>
      <c r="ALQ15" s="35"/>
      <c r="ALR15" s="35"/>
      <c r="ALS15" s="35"/>
      <c r="ALT15" s="35"/>
      <c r="ALU15" s="35"/>
      <c r="ALV15" s="35"/>
      <c r="ALW15" s="35"/>
      <c r="ALX15" s="35"/>
      <c r="ALY15" s="35"/>
      <c r="ALZ15" s="35"/>
      <c r="AMA15" s="35"/>
      <c r="AMB15" s="1"/>
    </row>
    <row r="16" customFormat="false" ht="12.8" hidden="true" customHeight="true" outlineLevel="1" collapsed="false">
      <c r="A16" s="40"/>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63"/>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c r="CE16" s="40"/>
      <c r="CF16" s="40"/>
      <c r="CG16" s="40"/>
      <c r="CH16" s="40"/>
      <c r="CI16" s="40"/>
      <c r="CJ16" s="40"/>
      <c r="CK16" s="40"/>
      <c r="CL16" s="40"/>
      <c r="CM16" s="40"/>
      <c r="CN16" s="40"/>
      <c r="CO16" s="40"/>
      <c r="CP16" s="40"/>
      <c r="CQ16" s="40"/>
      <c r="CR16" s="40"/>
      <c r="CS16" s="40"/>
      <c r="CT16" s="40"/>
      <c r="CU16" s="40"/>
      <c r="CV16" s="40"/>
      <c r="CW16" s="40"/>
      <c r="CX16" s="40"/>
      <c r="CY16" s="40"/>
      <c r="CZ16" s="40"/>
      <c r="DA16" s="40"/>
      <c r="DB16" s="40"/>
      <c r="DC16" s="40"/>
      <c r="DD16" s="40"/>
      <c r="DE16" s="40"/>
      <c r="DF16" s="40"/>
      <c r="DG16" s="40"/>
      <c r="DH16" s="40"/>
      <c r="DI16" s="40"/>
      <c r="DJ16" s="40"/>
      <c r="DK16" s="40"/>
      <c r="DL16" s="40"/>
      <c r="DM16" s="40"/>
      <c r="DN16" s="40"/>
      <c r="DO16" s="40"/>
      <c r="DP16" s="40"/>
      <c r="DQ16" s="40"/>
      <c r="DR16" s="40"/>
      <c r="DS16" s="40"/>
      <c r="DT16" s="40"/>
      <c r="DU16" s="40"/>
      <c r="DV16" s="40"/>
      <c r="DW16" s="40"/>
      <c r="DX16" s="40"/>
      <c r="DY16" s="40"/>
      <c r="DZ16" s="40" t="s">
        <v>364</v>
      </c>
      <c r="EA16" s="35"/>
      <c r="EB16" s="81"/>
      <c r="EC16" s="35"/>
      <c r="ED16" s="35"/>
      <c r="EE16" s="35"/>
      <c r="EF16" s="35"/>
      <c r="EG16" s="35"/>
      <c r="EH16" s="35"/>
      <c r="EI16" s="35"/>
      <c r="EJ16" s="35"/>
      <c r="EK16" s="35"/>
      <c r="EL16" s="35"/>
      <c r="EM16" s="35"/>
      <c r="EN16" s="35"/>
      <c r="EO16" s="35"/>
      <c r="EP16" s="35"/>
      <c r="EQ16" s="35"/>
      <c r="ER16" s="35"/>
      <c r="ES16" s="35"/>
      <c r="ET16" s="35"/>
      <c r="EU16" s="35"/>
      <c r="EV16" s="35"/>
      <c r="EW16" s="35"/>
      <c r="EX16" s="35"/>
      <c r="EY16" s="35"/>
      <c r="EZ16" s="35"/>
      <c r="FA16" s="35"/>
      <c r="FB16" s="35"/>
      <c r="FC16" s="35"/>
      <c r="FD16" s="35"/>
      <c r="FE16" s="35"/>
      <c r="FF16" s="35"/>
      <c r="FG16" s="35"/>
      <c r="FH16" s="35"/>
      <c r="FI16" s="35"/>
      <c r="FJ16" s="35"/>
      <c r="FK16" s="35"/>
      <c r="FL16" s="35"/>
      <c r="FM16" s="35"/>
      <c r="FN16" s="35"/>
      <c r="FO16" s="35"/>
      <c r="FP16" s="35"/>
      <c r="FQ16" s="35"/>
      <c r="FR16" s="35"/>
      <c r="FS16" s="35"/>
      <c r="FT16" s="35"/>
      <c r="FU16" s="35"/>
      <c r="FV16" s="35"/>
      <c r="FW16" s="35"/>
      <c r="FX16" s="35"/>
      <c r="FY16" s="35"/>
      <c r="FZ16" s="35"/>
      <c r="GA16" s="35"/>
      <c r="GB16" s="35"/>
      <c r="GC16" s="35"/>
      <c r="GD16" s="35"/>
      <c r="GE16" s="35"/>
      <c r="GF16" s="35"/>
      <c r="GG16" s="35"/>
      <c r="GH16" s="35"/>
      <c r="GI16" s="35"/>
      <c r="GJ16" s="35"/>
      <c r="GK16" s="35"/>
      <c r="GL16" s="35"/>
      <c r="GM16" s="35"/>
      <c r="GN16" s="35"/>
      <c r="GO16" s="35"/>
      <c r="GP16" s="35"/>
      <c r="GQ16" s="35"/>
      <c r="GR16" s="35"/>
      <c r="GS16" s="35"/>
      <c r="GT16" s="35"/>
      <c r="GU16" s="35"/>
      <c r="GV16" s="35"/>
      <c r="GW16" s="35"/>
      <c r="GX16" s="35"/>
      <c r="GY16" s="35"/>
      <c r="GZ16" s="35"/>
      <c r="HA16" s="35"/>
      <c r="HB16" s="35"/>
      <c r="HC16" s="35"/>
      <c r="HD16" s="35"/>
      <c r="HE16" s="35"/>
      <c r="HF16" s="35"/>
      <c r="HG16" s="35"/>
      <c r="HH16" s="35"/>
      <c r="HI16" s="35"/>
      <c r="HJ16" s="35"/>
      <c r="HK16" s="35"/>
      <c r="HL16" s="35"/>
      <c r="HM16" s="35"/>
      <c r="HN16" s="35"/>
      <c r="HO16" s="35"/>
      <c r="HP16" s="35"/>
      <c r="HQ16" s="35"/>
      <c r="HR16" s="35"/>
      <c r="HS16" s="35"/>
      <c r="HT16" s="35"/>
      <c r="HU16" s="35"/>
      <c r="HV16" s="35"/>
      <c r="HW16" s="35"/>
      <c r="HX16" s="35"/>
      <c r="HY16" s="35"/>
      <c r="HZ16" s="35"/>
      <c r="IA16" s="35"/>
      <c r="IB16" s="35"/>
      <c r="IC16" s="35"/>
      <c r="ID16" s="35"/>
      <c r="IE16" s="35"/>
      <c r="IF16" s="35"/>
      <c r="IG16" s="35"/>
      <c r="IH16" s="35"/>
      <c r="II16" s="35"/>
      <c r="IJ16" s="35"/>
      <c r="IK16" s="35"/>
      <c r="IL16" s="35"/>
      <c r="IM16" s="35"/>
      <c r="IN16" s="35"/>
      <c r="IO16" s="35"/>
      <c r="IP16" s="35"/>
      <c r="IQ16" s="35"/>
      <c r="IR16" s="35"/>
      <c r="IS16" s="35"/>
      <c r="IT16" s="35"/>
      <c r="IU16" s="35"/>
      <c r="IV16" s="35"/>
      <c r="IW16" s="35"/>
      <c r="IX16" s="35"/>
      <c r="IY16" s="35"/>
      <c r="IZ16" s="35"/>
      <c r="JA16" s="35"/>
      <c r="JB16" s="35"/>
      <c r="JC16" s="35"/>
      <c r="JD16" s="35"/>
      <c r="JE16" s="35"/>
      <c r="JF16" s="35"/>
      <c r="JG16" s="35"/>
      <c r="JH16" s="35"/>
      <c r="JI16" s="35"/>
      <c r="JJ16" s="35"/>
      <c r="JK16" s="35"/>
      <c r="JL16" s="35"/>
      <c r="JM16" s="35"/>
      <c r="JN16" s="35"/>
      <c r="JO16" s="35"/>
      <c r="JP16" s="35"/>
      <c r="JQ16" s="35"/>
      <c r="JR16" s="35"/>
      <c r="JS16" s="35"/>
      <c r="JT16" s="35"/>
      <c r="JU16" s="35"/>
      <c r="JV16" s="35"/>
      <c r="JW16" s="35"/>
      <c r="JX16" s="35"/>
      <c r="JY16" s="35"/>
      <c r="JZ16" s="35"/>
      <c r="KA16" s="35"/>
      <c r="KB16" s="35"/>
      <c r="KC16" s="35"/>
      <c r="KD16" s="35"/>
      <c r="KE16" s="35"/>
      <c r="KF16" s="35"/>
      <c r="KG16" s="35"/>
      <c r="KH16" s="35"/>
      <c r="KI16" s="35"/>
      <c r="KJ16" s="35"/>
      <c r="KK16" s="35"/>
      <c r="KL16" s="35"/>
      <c r="KM16" s="35"/>
      <c r="KN16" s="35"/>
      <c r="KO16" s="35"/>
      <c r="KP16" s="35"/>
      <c r="KQ16" s="35"/>
      <c r="KR16" s="35"/>
      <c r="KS16" s="35"/>
      <c r="KT16" s="35"/>
      <c r="KU16" s="35"/>
      <c r="KV16" s="35"/>
      <c r="KW16" s="35"/>
      <c r="KX16" s="35"/>
      <c r="KY16" s="35"/>
      <c r="KZ16" s="35"/>
      <c r="LA16" s="35"/>
      <c r="LB16" s="35"/>
      <c r="LC16" s="35"/>
      <c r="LD16" s="35"/>
      <c r="LE16" s="35"/>
      <c r="LF16" s="35"/>
      <c r="LG16" s="35"/>
      <c r="LH16" s="35"/>
      <c r="LI16" s="35"/>
      <c r="LJ16" s="35"/>
      <c r="LK16" s="35"/>
      <c r="LL16" s="35"/>
      <c r="LM16" s="35"/>
      <c r="LN16" s="35"/>
      <c r="LO16" s="35"/>
      <c r="LP16" s="35"/>
      <c r="LQ16" s="35"/>
      <c r="LR16" s="35"/>
      <c r="LS16" s="35"/>
      <c r="LT16" s="35"/>
      <c r="LU16" s="35"/>
      <c r="LV16" s="35"/>
      <c r="LW16" s="35"/>
      <c r="LX16" s="35"/>
      <c r="LY16" s="35"/>
      <c r="LZ16" s="35"/>
      <c r="MA16" s="35"/>
      <c r="MB16" s="35"/>
      <c r="MC16" s="35"/>
      <c r="MD16" s="35"/>
      <c r="ME16" s="35"/>
      <c r="MF16" s="35"/>
      <c r="MG16" s="35"/>
      <c r="MH16" s="35"/>
      <c r="MI16" s="35"/>
      <c r="MJ16" s="35"/>
      <c r="MK16" s="35"/>
      <c r="ML16" s="35"/>
      <c r="MM16" s="35"/>
      <c r="MN16" s="35"/>
      <c r="MO16" s="35"/>
      <c r="MP16" s="35"/>
      <c r="MQ16" s="35"/>
      <c r="MR16" s="35"/>
      <c r="MS16" s="35"/>
      <c r="MT16" s="35"/>
      <c r="MU16" s="35"/>
      <c r="MV16" s="35"/>
      <c r="MW16" s="35"/>
      <c r="MX16" s="35"/>
      <c r="MY16" s="35"/>
      <c r="MZ16" s="35"/>
      <c r="NA16" s="35"/>
      <c r="NB16" s="35"/>
      <c r="NC16" s="35"/>
      <c r="ND16" s="35"/>
      <c r="NE16" s="35"/>
      <c r="NF16" s="35"/>
      <c r="NG16" s="35"/>
      <c r="NH16" s="35"/>
      <c r="NI16" s="35"/>
      <c r="NJ16" s="35"/>
      <c r="NK16" s="35"/>
      <c r="NL16" s="35"/>
      <c r="NM16" s="35"/>
      <c r="NN16" s="35"/>
      <c r="NO16" s="35"/>
      <c r="NP16" s="35"/>
      <c r="NQ16" s="35"/>
      <c r="NR16" s="35"/>
      <c r="NS16" s="35"/>
      <c r="NT16" s="35"/>
      <c r="NU16" s="35"/>
      <c r="NV16" s="35"/>
      <c r="NW16" s="35"/>
      <c r="NX16" s="35"/>
      <c r="NY16" s="35"/>
      <c r="NZ16" s="35"/>
      <c r="OA16" s="35"/>
      <c r="OB16" s="35"/>
      <c r="OC16" s="35"/>
      <c r="OD16" s="35"/>
      <c r="OE16" s="35"/>
      <c r="OF16" s="35"/>
      <c r="OG16" s="35"/>
      <c r="OH16" s="35"/>
      <c r="OI16" s="35"/>
      <c r="OJ16" s="35"/>
      <c r="OK16" s="35"/>
      <c r="OL16" s="35"/>
      <c r="OM16" s="35"/>
      <c r="ON16" s="35"/>
      <c r="OO16" s="35"/>
      <c r="OP16" s="35"/>
      <c r="OQ16" s="35"/>
      <c r="OR16" s="35"/>
      <c r="OS16" s="35"/>
      <c r="OT16" s="35"/>
      <c r="OU16" s="35"/>
      <c r="OV16" s="35"/>
      <c r="OW16" s="35"/>
      <c r="OX16" s="35"/>
      <c r="OY16" s="35"/>
      <c r="OZ16" s="35"/>
      <c r="PA16" s="35"/>
      <c r="PB16" s="35"/>
      <c r="PC16" s="35"/>
      <c r="PD16" s="35"/>
      <c r="PE16" s="35"/>
      <c r="PF16" s="35"/>
      <c r="PG16" s="35"/>
      <c r="PH16" s="35"/>
      <c r="PI16" s="35"/>
      <c r="PJ16" s="35"/>
      <c r="PK16" s="35"/>
      <c r="PL16" s="35"/>
      <c r="PM16" s="35"/>
      <c r="PN16" s="35"/>
      <c r="PO16" s="35"/>
      <c r="PP16" s="35"/>
      <c r="PQ16" s="35"/>
      <c r="PR16" s="35"/>
      <c r="PS16" s="35"/>
      <c r="PT16" s="35"/>
      <c r="PU16" s="35"/>
      <c r="PV16" s="35"/>
      <c r="PW16" s="35"/>
      <c r="PX16" s="35"/>
      <c r="PY16" s="35"/>
      <c r="PZ16" s="35"/>
      <c r="QA16" s="35"/>
      <c r="QB16" s="35"/>
      <c r="QC16" s="35"/>
      <c r="QD16" s="35"/>
      <c r="QE16" s="35"/>
      <c r="QF16" s="35"/>
      <c r="QG16" s="35"/>
      <c r="QH16" s="35"/>
      <c r="QI16" s="35"/>
      <c r="QJ16" s="35"/>
      <c r="QK16" s="35"/>
      <c r="QL16" s="35"/>
      <c r="QM16" s="35"/>
      <c r="QN16" s="35"/>
      <c r="QO16" s="35"/>
      <c r="QP16" s="35"/>
      <c r="QQ16" s="35"/>
      <c r="QR16" s="35"/>
      <c r="QS16" s="35"/>
      <c r="QT16" s="35"/>
      <c r="QU16" s="35"/>
      <c r="QV16" s="35"/>
      <c r="QW16" s="35"/>
      <c r="QX16" s="35"/>
      <c r="QY16" s="35"/>
      <c r="QZ16" s="35"/>
      <c r="RA16" s="35"/>
      <c r="RB16" s="35"/>
      <c r="RC16" s="35"/>
      <c r="RD16" s="35"/>
      <c r="RE16" s="35"/>
      <c r="RF16" s="35"/>
      <c r="RG16" s="35"/>
      <c r="RH16" s="35"/>
      <c r="RI16" s="35"/>
      <c r="RJ16" s="35"/>
      <c r="RK16" s="35"/>
      <c r="RL16" s="35"/>
      <c r="RM16" s="35"/>
      <c r="RN16" s="35"/>
      <c r="RO16" s="35"/>
      <c r="RP16" s="35"/>
      <c r="RQ16" s="35"/>
      <c r="RR16" s="35"/>
      <c r="RS16" s="35"/>
      <c r="RT16" s="35"/>
      <c r="RU16" s="35"/>
      <c r="RV16" s="35"/>
      <c r="RW16" s="35"/>
      <c r="RX16" s="35"/>
      <c r="RY16" s="35"/>
      <c r="RZ16" s="35"/>
      <c r="SA16" s="35"/>
      <c r="SB16" s="35"/>
      <c r="SC16" s="35"/>
      <c r="SD16" s="35"/>
      <c r="SE16" s="35"/>
      <c r="SF16" s="35"/>
      <c r="SG16" s="35"/>
      <c r="SH16" s="35"/>
      <c r="SI16" s="35"/>
      <c r="SJ16" s="35"/>
      <c r="SK16" s="35"/>
      <c r="SL16" s="35"/>
      <c r="SM16" s="35"/>
      <c r="SN16" s="35"/>
      <c r="SO16" s="35"/>
      <c r="SP16" s="35"/>
      <c r="SQ16" s="35"/>
      <c r="SR16" s="35"/>
      <c r="SS16" s="35"/>
      <c r="ST16" s="35"/>
      <c r="SU16" s="35"/>
      <c r="SV16" s="35"/>
      <c r="SW16" s="35"/>
      <c r="SX16" s="35"/>
      <c r="SY16" s="35"/>
      <c r="SZ16" s="35"/>
      <c r="TA16" s="35"/>
      <c r="TB16" s="35"/>
      <c r="TC16" s="35"/>
      <c r="TD16" s="35"/>
      <c r="TE16" s="35"/>
      <c r="TF16" s="35"/>
      <c r="TG16" s="35"/>
      <c r="TH16" s="35"/>
      <c r="TI16" s="35"/>
      <c r="TJ16" s="35"/>
      <c r="TK16" s="35"/>
      <c r="TL16" s="35"/>
      <c r="TM16" s="35"/>
      <c r="TN16" s="35"/>
      <c r="TO16" s="35"/>
      <c r="TP16" s="35"/>
      <c r="TQ16" s="35"/>
      <c r="TR16" s="35"/>
      <c r="TS16" s="35"/>
      <c r="TT16" s="35"/>
      <c r="TU16" s="35"/>
      <c r="TV16" s="35"/>
      <c r="TW16" s="35"/>
      <c r="TX16" s="35"/>
      <c r="TY16" s="35"/>
      <c r="TZ16" s="35"/>
      <c r="UA16" s="35"/>
      <c r="UB16" s="35"/>
      <c r="UC16" s="35"/>
      <c r="UD16" s="35"/>
      <c r="UE16" s="35"/>
      <c r="UF16" s="35"/>
      <c r="UG16" s="35"/>
      <c r="UH16" s="35"/>
      <c r="UI16" s="35"/>
      <c r="UJ16" s="35"/>
      <c r="UK16" s="35"/>
      <c r="UL16" s="35"/>
      <c r="UM16" s="35"/>
      <c r="UN16" s="35"/>
      <c r="UO16" s="35"/>
      <c r="UP16" s="35"/>
      <c r="UQ16" s="35"/>
      <c r="UR16" s="35"/>
      <c r="US16" s="35"/>
      <c r="UT16" s="35"/>
      <c r="UU16" s="35"/>
      <c r="UV16" s="35"/>
      <c r="UW16" s="35"/>
      <c r="UX16" s="35"/>
      <c r="UY16" s="35"/>
      <c r="UZ16" s="35"/>
      <c r="VA16" s="35"/>
      <c r="VB16" s="35"/>
      <c r="VC16" s="35"/>
      <c r="VD16" s="35"/>
      <c r="VE16" s="35"/>
      <c r="VF16" s="35"/>
      <c r="VG16" s="35"/>
      <c r="VH16" s="35"/>
      <c r="VI16" s="35"/>
      <c r="VJ16" s="35"/>
      <c r="VK16" s="35"/>
      <c r="VL16" s="35"/>
      <c r="VM16" s="35"/>
      <c r="VN16" s="35"/>
      <c r="VO16" s="35"/>
      <c r="VP16" s="35"/>
      <c r="VQ16" s="35"/>
      <c r="VR16" s="35"/>
      <c r="VS16" s="35"/>
      <c r="VT16" s="35"/>
      <c r="VU16" s="35"/>
      <c r="VV16" s="35"/>
      <c r="VW16" s="35"/>
      <c r="VX16" s="35"/>
      <c r="VY16" s="35"/>
      <c r="VZ16" s="35"/>
      <c r="WA16" s="35"/>
      <c r="WB16" s="35"/>
      <c r="WC16" s="35"/>
      <c r="WD16" s="35"/>
      <c r="WE16" s="35"/>
      <c r="WF16" s="35"/>
      <c r="WG16" s="35"/>
      <c r="WH16" s="35"/>
      <c r="WI16" s="35"/>
      <c r="WJ16" s="35"/>
      <c r="WK16" s="35"/>
      <c r="WL16" s="35"/>
      <c r="WM16" s="35"/>
      <c r="WN16" s="35"/>
      <c r="WO16" s="35"/>
      <c r="WP16" s="35"/>
      <c r="WQ16" s="35"/>
      <c r="WR16" s="35"/>
      <c r="WS16" s="35"/>
      <c r="WT16" s="35"/>
      <c r="WU16" s="35"/>
      <c r="WV16" s="35"/>
      <c r="WW16" s="35"/>
      <c r="WX16" s="35"/>
      <c r="WY16" s="35"/>
      <c r="WZ16" s="35"/>
      <c r="XA16" s="35"/>
      <c r="XB16" s="35"/>
      <c r="XC16" s="35"/>
      <c r="XD16" s="35"/>
      <c r="XE16" s="35"/>
      <c r="XF16" s="35"/>
      <c r="XG16" s="35"/>
      <c r="XH16" s="35"/>
      <c r="XI16" s="35"/>
      <c r="XJ16" s="35"/>
      <c r="XK16" s="35"/>
      <c r="XL16" s="35"/>
      <c r="XM16" s="35"/>
      <c r="XN16" s="35"/>
      <c r="XO16" s="35"/>
      <c r="XP16" s="35"/>
      <c r="XQ16" s="35"/>
      <c r="XR16" s="35"/>
      <c r="XS16" s="35"/>
      <c r="XT16" s="35"/>
      <c r="XU16" s="35"/>
      <c r="XV16" s="35"/>
      <c r="XW16" s="35"/>
      <c r="XX16" s="35"/>
      <c r="XY16" s="35"/>
      <c r="XZ16" s="35"/>
      <c r="YA16" s="35"/>
      <c r="YB16" s="35"/>
      <c r="YC16" s="35"/>
      <c r="YD16" s="35"/>
      <c r="YE16" s="35"/>
      <c r="YF16" s="35"/>
      <c r="YG16" s="35"/>
      <c r="YH16" s="35"/>
      <c r="YI16" s="35"/>
      <c r="YJ16" s="35"/>
      <c r="YK16" s="35"/>
      <c r="YL16" s="35"/>
      <c r="YM16" s="35"/>
      <c r="YN16" s="35"/>
      <c r="YO16" s="35"/>
      <c r="YP16" s="35"/>
      <c r="YQ16" s="35"/>
      <c r="YR16" s="35"/>
      <c r="YS16" s="35"/>
      <c r="YT16" s="35"/>
      <c r="YU16" s="35"/>
      <c r="YV16" s="35"/>
      <c r="YW16" s="35"/>
      <c r="YX16" s="35"/>
      <c r="YY16" s="35"/>
      <c r="YZ16" s="35"/>
      <c r="ZA16" s="35"/>
      <c r="ZB16" s="35"/>
      <c r="ZC16" s="35"/>
      <c r="ZD16" s="35"/>
      <c r="ZE16" s="35"/>
      <c r="ZF16" s="35"/>
      <c r="ZG16" s="35"/>
      <c r="ZH16" s="35"/>
      <c r="ZI16" s="35"/>
      <c r="ZJ16" s="35"/>
      <c r="ZK16" s="35"/>
      <c r="ZL16" s="35"/>
      <c r="ZM16" s="35"/>
      <c r="ZN16" s="35"/>
      <c r="ZO16" s="35"/>
      <c r="ZP16" s="35"/>
      <c r="ZQ16" s="35"/>
      <c r="ZR16" s="35"/>
      <c r="ZS16" s="35"/>
      <c r="ZT16" s="35"/>
      <c r="ZU16" s="35"/>
      <c r="ZV16" s="35"/>
      <c r="ZW16" s="35"/>
      <c r="ZX16" s="35"/>
      <c r="ZY16" s="35"/>
      <c r="ZZ16" s="35"/>
      <c r="AAA16" s="35"/>
      <c r="AAB16" s="35"/>
      <c r="AAC16" s="35"/>
      <c r="AAD16" s="35"/>
      <c r="AAE16" s="35"/>
      <c r="AAF16" s="35"/>
      <c r="AAG16" s="35"/>
      <c r="AAH16" s="35"/>
      <c r="AAI16" s="35"/>
      <c r="AAJ16" s="35"/>
      <c r="AAK16" s="35"/>
      <c r="AAL16" s="35"/>
      <c r="AAM16" s="35"/>
      <c r="AAN16" s="35"/>
      <c r="AAO16" s="35"/>
      <c r="AAP16" s="35"/>
      <c r="AAQ16" s="35"/>
      <c r="AAR16" s="35"/>
      <c r="AAS16" s="35"/>
      <c r="AAT16" s="35"/>
      <c r="AAU16" s="35"/>
      <c r="AAV16" s="35"/>
      <c r="AAW16" s="35"/>
      <c r="AAX16" s="35"/>
      <c r="AAY16" s="35"/>
      <c r="AAZ16" s="35"/>
      <c r="ABA16" s="35"/>
      <c r="ABB16" s="35"/>
      <c r="ABC16" s="35"/>
      <c r="ABD16" s="35"/>
      <c r="ABE16" s="35"/>
      <c r="ABF16" s="35"/>
      <c r="ABG16" s="35"/>
      <c r="ABH16" s="35"/>
      <c r="ABI16" s="35"/>
      <c r="ABJ16" s="35"/>
      <c r="ABK16" s="35"/>
      <c r="ABL16" s="35"/>
      <c r="ABM16" s="35"/>
      <c r="ABN16" s="35"/>
      <c r="ABO16" s="35"/>
      <c r="ABP16" s="35"/>
      <c r="ABQ16" s="35"/>
      <c r="ABR16" s="35"/>
      <c r="ABS16" s="35"/>
      <c r="ABT16" s="35"/>
      <c r="ABU16" s="35"/>
      <c r="ABV16" s="35"/>
      <c r="ABW16" s="35"/>
      <c r="ABX16" s="35"/>
      <c r="ABY16" s="35"/>
      <c r="ABZ16" s="35"/>
      <c r="ACA16" s="35"/>
      <c r="ACB16" s="35"/>
      <c r="ACC16" s="35"/>
      <c r="ACD16" s="35"/>
      <c r="ACE16" s="35"/>
      <c r="ACF16" s="35"/>
      <c r="ACG16" s="35"/>
      <c r="ACH16" s="35"/>
      <c r="ACI16" s="35"/>
      <c r="ACJ16" s="35"/>
      <c r="ACK16" s="35"/>
      <c r="ACL16" s="35"/>
      <c r="ACM16" s="35"/>
      <c r="ACN16" s="35"/>
      <c r="ACO16" s="35"/>
      <c r="ACP16" s="35"/>
      <c r="ACQ16" s="35"/>
      <c r="ACR16" s="35"/>
      <c r="ACS16" s="35"/>
      <c r="ACT16" s="35"/>
      <c r="ACU16" s="35"/>
      <c r="ACV16" s="35"/>
      <c r="ACW16" s="35"/>
      <c r="ACX16" s="35"/>
      <c r="ACY16" s="35"/>
      <c r="ACZ16" s="35"/>
      <c r="ADA16" s="35"/>
      <c r="ADB16" s="35"/>
      <c r="ADC16" s="35"/>
      <c r="ADD16" s="35"/>
      <c r="ADE16" s="35"/>
      <c r="ADF16" s="35"/>
      <c r="ADG16" s="35"/>
      <c r="ADH16" s="35"/>
      <c r="ADI16" s="35"/>
      <c r="ADJ16" s="35"/>
      <c r="ADK16" s="35"/>
      <c r="ADL16" s="35"/>
      <c r="ADM16" s="35"/>
      <c r="ADN16" s="35"/>
      <c r="ADO16" s="35"/>
      <c r="ADP16" s="35"/>
      <c r="ADQ16" s="35"/>
      <c r="ADR16" s="35"/>
      <c r="ADS16" s="35"/>
      <c r="ADT16" s="35"/>
      <c r="ADU16" s="35"/>
      <c r="ADV16" s="35"/>
      <c r="ADW16" s="35"/>
      <c r="ADX16" s="35"/>
      <c r="ADY16" s="35"/>
      <c r="ADZ16" s="35"/>
      <c r="AEA16" s="35"/>
      <c r="AEB16" s="35"/>
      <c r="AEC16" s="35"/>
      <c r="AED16" s="35"/>
      <c r="AEE16" s="35"/>
      <c r="AEF16" s="35"/>
      <c r="AEG16" s="35"/>
      <c r="AEH16" s="35"/>
      <c r="AEI16" s="35"/>
      <c r="AEJ16" s="35"/>
      <c r="AEK16" s="35"/>
      <c r="AEL16" s="35"/>
      <c r="AEM16" s="35"/>
      <c r="AEN16" s="35"/>
      <c r="AEO16" s="35"/>
      <c r="AEP16" s="35"/>
      <c r="AEQ16" s="35"/>
      <c r="AER16" s="35"/>
      <c r="AES16" s="35"/>
      <c r="AET16" s="35"/>
      <c r="AEU16" s="35"/>
      <c r="AEV16" s="35"/>
      <c r="AEW16" s="35"/>
      <c r="AEX16" s="35"/>
      <c r="AEY16" s="35"/>
      <c r="AEZ16" s="35"/>
      <c r="AFA16" s="35"/>
      <c r="AFB16" s="35"/>
      <c r="AFC16" s="35"/>
      <c r="AFD16" s="35"/>
      <c r="AFE16" s="35"/>
      <c r="AFF16" s="35"/>
      <c r="AFG16" s="35"/>
      <c r="AFH16" s="35"/>
      <c r="AFI16" s="35"/>
      <c r="AFJ16" s="35"/>
      <c r="AFK16" s="35"/>
      <c r="AFL16" s="35"/>
      <c r="AFM16" s="35"/>
      <c r="AFN16" s="35"/>
      <c r="AFO16" s="35"/>
      <c r="AFP16" s="35"/>
      <c r="AFQ16" s="35"/>
      <c r="AFR16" s="35"/>
      <c r="AFS16" s="35"/>
      <c r="AFT16" s="35"/>
      <c r="AFU16" s="35"/>
      <c r="AFV16" s="35"/>
      <c r="AFW16" s="35"/>
      <c r="AFX16" s="35"/>
      <c r="AFY16" s="35"/>
      <c r="AFZ16" s="35"/>
      <c r="AGA16" s="35"/>
      <c r="AGB16" s="35"/>
      <c r="AGC16" s="35"/>
      <c r="AGD16" s="35"/>
      <c r="AGE16" s="35"/>
      <c r="AGF16" s="35"/>
      <c r="AGG16" s="35"/>
      <c r="AGH16" s="35"/>
      <c r="AGI16" s="35"/>
      <c r="AGJ16" s="35"/>
      <c r="AGK16" s="35"/>
      <c r="AGL16" s="35"/>
      <c r="AGM16" s="35"/>
      <c r="AGN16" s="35"/>
      <c r="AGO16" s="35"/>
      <c r="AGP16" s="35"/>
      <c r="AGQ16" s="35"/>
      <c r="AGR16" s="35"/>
      <c r="AGS16" s="35"/>
      <c r="AGT16" s="35"/>
      <c r="AGU16" s="35"/>
      <c r="AGV16" s="35"/>
      <c r="AGW16" s="35"/>
      <c r="AGX16" s="35"/>
      <c r="AGY16" s="35"/>
      <c r="AGZ16" s="35"/>
      <c r="AHA16" s="35"/>
      <c r="AHB16" s="35"/>
      <c r="AHC16" s="35"/>
      <c r="AHD16" s="35"/>
      <c r="AHE16" s="35"/>
      <c r="AHF16" s="35"/>
      <c r="AHG16" s="35"/>
      <c r="AHH16" s="35"/>
      <c r="AHI16" s="35"/>
      <c r="AHJ16" s="35"/>
      <c r="AHK16" s="35"/>
      <c r="AHL16" s="35"/>
      <c r="AHM16" s="35"/>
      <c r="AHN16" s="35"/>
      <c r="AHO16" s="35"/>
      <c r="AHP16" s="35"/>
      <c r="AHQ16" s="35"/>
      <c r="AHR16" s="35"/>
      <c r="AHS16" s="35"/>
      <c r="AHT16" s="35"/>
      <c r="AHU16" s="35"/>
      <c r="AHV16" s="35"/>
      <c r="AHW16" s="35"/>
      <c r="AHX16" s="35"/>
      <c r="AHY16" s="35"/>
      <c r="AHZ16" s="35"/>
      <c r="AIA16" s="35"/>
      <c r="AIB16" s="35"/>
      <c r="AIC16" s="35"/>
      <c r="AID16" s="35"/>
      <c r="AIE16" s="35"/>
      <c r="AIF16" s="35"/>
      <c r="AIG16" s="35"/>
      <c r="AIH16" s="35"/>
      <c r="AII16" s="35"/>
      <c r="AIJ16" s="35"/>
      <c r="AIK16" s="35"/>
      <c r="AIL16" s="35"/>
      <c r="AIM16" s="35"/>
      <c r="AIN16" s="35"/>
      <c r="AIO16" s="35"/>
      <c r="AIP16" s="35"/>
      <c r="AIQ16" s="35"/>
      <c r="AIR16" s="35"/>
      <c r="AIS16" s="35"/>
      <c r="AIT16" s="35"/>
      <c r="AIU16" s="35"/>
      <c r="AIV16" s="35"/>
      <c r="AIW16" s="35"/>
      <c r="AIX16" s="35"/>
      <c r="AIY16" s="35"/>
      <c r="AIZ16" s="35"/>
      <c r="AJA16" s="35"/>
      <c r="AJB16" s="35"/>
      <c r="AJC16" s="35"/>
      <c r="AJD16" s="35"/>
      <c r="AJE16" s="35"/>
      <c r="AJF16" s="35"/>
      <c r="AJG16" s="35"/>
      <c r="AJH16" s="35"/>
      <c r="AJI16" s="35"/>
      <c r="AJJ16" s="35"/>
      <c r="AJK16" s="35"/>
      <c r="AJL16" s="35"/>
      <c r="AJM16" s="35"/>
      <c r="AJN16" s="35"/>
      <c r="AJO16" s="35"/>
      <c r="AJP16" s="35"/>
      <c r="AJQ16" s="35"/>
      <c r="AJR16" s="35"/>
      <c r="AJS16" s="35"/>
      <c r="AJT16" s="35"/>
      <c r="AJU16" s="35"/>
      <c r="AJV16" s="35"/>
      <c r="AJW16" s="35"/>
      <c r="AJX16" s="35"/>
      <c r="AJY16" s="35"/>
      <c r="AJZ16" s="35"/>
      <c r="AKA16" s="35"/>
      <c r="AKB16" s="35"/>
      <c r="AKC16" s="35"/>
      <c r="AKD16" s="35"/>
      <c r="AKE16" s="35"/>
      <c r="AKF16" s="35"/>
      <c r="AKG16" s="35"/>
      <c r="AKH16" s="35"/>
      <c r="AKI16" s="35"/>
      <c r="AKJ16" s="35"/>
      <c r="AKK16" s="35"/>
      <c r="AKL16" s="35"/>
      <c r="AKM16" s="35"/>
      <c r="AKN16" s="35"/>
      <c r="AKO16" s="35"/>
      <c r="AKP16" s="35"/>
      <c r="AKQ16" s="35"/>
      <c r="AKR16" s="35"/>
      <c r="AKS16" s="35"/>
      <c r="AKT16" s="35"/>
      <c r="AKU16" s="35"/>
      <c r="AKV16" s="35"/>
      <c r="AKW16" s="35"/>
      <c r="AKX16" s="35"/>
      <c r="AKY16" s="35"/>
      <c r="AKZ16" s="35"/>
      <c r="ALA16" s="35"/>
      <c r="ALB16" s="35"/>
      <c r="ALC16" s="35"/>
      <c r="ALD16" s="35"/>
      <c r="ALE16" s="35"/>
      <c r="ALF16" s="35"/>
      <c r="ALG16" s="35"/>
      <c r="ALH16" s="35"/>
      <c r="ALI16" s="35"/>
      <c r="ALJ16" s="35"/>
      <c r="ALK16" s="35"/>
      <c r="ALL16" s="35"/>
      <c r="ALM16" s="35"/>
      <c r="ALN16" s="35"/>
      <c r="ALO16" s="35"/>
      <c r="ALP16" s="35"/>
      <c r="ALQ16" s="35"/>
      <c r="ALR16" s="35"/>
      <c r="ALS16" s="35"/>
      <c r="ALT16" s="35"/>
      <c r="ALU16" s="35"/>
      <c r="ALV16" s="35"/>
      <c r="ALW16" s="35"/>
      <c r="ALX16" s="35"/>
      <c r="ALY16" s="35"/>
      <c r="ALZ16" s="35"/>
      <c r="AMA16" s="35"/>
      <c r="AMB16" s="1"/>
    </row>
    <row r="17" customFormat="false" ht="110.25" hidden="true" customHeight="true" outlineLevel="1" collapsed="false">
      <c r="A17" s="30" t="n">
        <f aca="true">TODAY()</f>
        <v>46321</v>
      </c>
      <c r="B17" s="33" t="s">
        <v>620</v>
      </c>
      <c r="C17" s="33" t="s">
        <v>621</v>
      </c>
      <c r="D17" s="33" t="s">
        <v>622</v>
      </c>
      <c r="E17" s="31" t="s">
        <v>623</v>
      </c>
      <c r="F17" s="33" t="s">
        <v>624</v>
      </c>
      <c r="G17" s="33" t="s">
        <v>625</v>
      </c>
      <c r="H17" s="33" t="s">
        <v>626</v>
      </c>
      <c r="I17" s="33" t="s">
        <v>627</v>
      </c>
      <c r="J17" s="33" t="s">
        <v>628</v>
      </c>
      <c r="K17" s="33" t="s">
        <v>629</v>
      </c>
      <c r="L17" s="33"/>
      <c r="M17" s="33" t="s">
        <v>630</v>
      </c>
      <c r="N17" s="33" t="s">
        <v>631</v>
      </c>
      <c r="O17" s="33" t="s">
        <v>371</v>
      </c>
      <c r="P17" s="33" t="s">
        <v>371</v>
      </c>
      <c r="Q17" s="33" t="s">
        <v>371</v>
      </c>
      <c r="R17" s="33" t="s">
        <v>371</v>
      </c>
      <c r="S17" s="33" t="s">
        <v>371</v>
      </c>
      <c r="T17" s="33" t="s">
        <v>372</v>
      </c>
      <c r="U17" s="33"/>
      <c r="V17" s="33" t="s">
        <v>632</v>
      </c>
      <c r="W17" s="33" t="s">
        <v>633</v>
      </c>
      <c r="X17" s="33" t="s">
        <v>634</v>
      </c>
      <c r="Y17" s="33"/>
      <c r="Z17" s="33" t="s">
        <v>635</v>
      </c>
      <c r="AA17" s="33" t="s">
        <v>636</v>
      </c>
      <c r="AB17" s="33" t="s">
        <v>637</v>
      </c>
      <c r="AC17" s="82" t="s">
        <v>638</v>
      </c>
      <c r="AD17" s="31" t="s">
        <v>639</v>
      </c>
      <c r="AE17" s="31"/>
      <c r="AF17" s="33" t="s">
        <v>640</v>
      </c>
      <c r="AG17" s="33" t="s">
        <v>641</v>
      </c>
      <c r="AH17" s="31"/>
      <c r="AI17" s="33" t="s">
        <v>642</v>
      </c>
      <c r="AJ17" s="34" t="s">
        <v>643</v>
      </c>
      <c r="AK17" s="34" t="s">
        <v>644</v>
      </c>
      <c r="AL17" s="83" t="s">
        <v>645</v>
      </c>
      <c r="AM17" s="83" t="s">
        <v>646</v>
      </c>
      <c r="AN17" s="83" t="s">
        <v>647</v>
      </c>
      <c r="AO17" s="83" t="s">
        <v>648</v>
      </c>
      <c r="AP17" s="83" t="s">
        <v>649</v>
      </c>
      <c r="AQ17" s="83" t="s">
        <v>650</v>
      </c>
      <c r="AR17" s="33" t="s">
        <v>651</v>
      </c>
      <c r="AS17" s="33" t="s">
        <v>652</v>
      </c>
      <c r="AT17" s="31" t="s">
        <v>653</v>
      </c>
      <c r="AU17" s="33" t="s">
        <v>654</v>
      </c>
      <c r="AV17" s="31" t="s">
        <v>655</v>
      </c>
      <c r="AW17" s="33" t="s">
        <v>656</v>
      </c>
      <c r="AX17" s="33" t="s">
        <v>657</v>
      </c>
      <c r="AY17" s="33" t="s">
        <v>658</v>
      </c>
      <c r="AZ17" s="33" t="s">
        <v>659</v>
      </c>
      <c r="BA17" s="33" t="s">
        <v>660</v>
      </c>
      <c r="BB17" s="31" t="s">
        <v>661</v>
      </c>
      <c r="BC17" s="31" t="s">
        <v>662</v>
      </c>
      <c r="BD17" s="31" t="s">
        <v>384</v>
      </c>
      <c r="BE17" s="33" t="s">
        <v>385</v>
      </c>
      <c r="BF17" s="31" t="s">
        <v>386</v>
      </c>
      <c r="BG17" s="33" t="s">
        <v>663</v>
      </c>
      <c r="BH17" s="33" t="s">
        <v>664</v>
      </c>
      <c r="BI17" s="33" t="s">
        <v>665</v>
      </c>
      <c r="BJ17" s="31" t="s">
        <v>666</v>
      </c>
      <c r="BK17" s="31" t="s">
        <v>667</v>
      </c>
      <c r="BL17" s="31" t="s">
        <v>667</v>
      </c>
      <c r="BM17" s="31" t="s">
        <v>667</v>
      </c>
      <c r="BN17" s="31" t="s">
        <v>667</v>
      </c>
      <c r="BO17" s="31" t="s">
        <v>667</v>
      </c>
      <c r="BP17" s="31" t="s">
        <v>667</v>
      </c>
      <c r="BQ17" s="31" t="s">
        <v>667</v>
      </c>
      <c r="BR17" s="31" t="s">
        <v>667</v>
      </c>
      <c r="BS17" s="31" t="s">
        <v>667</v>
      </c>
      <c r="BT17" s="31" t="s">
        <v>667</v>
      </c>
      <c r="BU17" s="31" t="s">
        <v>667</v>
      </c>
      <c r="BV17" s="31" t="s">
        <v>667</v>
      </c>
      <c r="BW17" s="31" t="s">
        <v>667</v>
      </c>
      <c r="BX17" s="31" t="s">
        <v>667</v>
      </c>
      <c r="BY17" s="31" t="s">
        <v>667</v>
      </c>
      <c r="BZ17" s="31" t="s">
        <v>667</v>
      </c>
      <c r="CA17" s="31" t="s">
        <v>667</v>
      </c>
      <c r="CB17" s="31" t="s">
        <v>667</v>
      </c>
      <c r="CC17" s="31" t="s">
        <v>667</v>
      </c>
      <c r="CD17" s="31" t="s">
        <v>667</v>
      </c>
      <c r="CE17" s="31" t="s">
        <v>667</v>
      </c>
      <c r="CF17" s="31" t="s">
        <v>667</v>
      </c>
      <c r="CG17" s="31" t="s">
        <v>667</v>
      </c>
      <c r="CH17" s="31" t="s">
        <v>667</v>
      </c>
      <c r="CI17" s="31" t="s">
        <v>667</v>
      </c>
      <c r="CJ17" s="31" t="s">
        <v>667</v>
      </c>
      <c r="CK17" s="31" t="s">
        <v>667</v>
      </c>
      <c r="CL17" s="31" t="s">
        <v>667</v>
      </c>
      <c r="CM17" s="31" t="s">
        <v>667</v>
      </c>
      <c r="CN17" s="31" t="s">
        <v>667</v>
      </c>
      <c r="CO17" s="31" t="s">
        <v>667</v>
      </c>
      <c r="CP17" s="31" t="s">
        <v>667</v>
      </c>
      <c r="CQ17" s="31" t="s">
        <v>667</v>
      </c>
      <c r="CR17" s="31" t="s">
        <v>667</v>
      </c>
      <c r="CS17" s="31" t="s">
        <v>667</v>
      </c>
      <c r="CT17" s="31" t="s">
        <v>667</v>
      </c>
      <c r="CU17" s="31" t="s">
        <v>667</v>
      </c>
      <c r="CV17" s="31" t="s">
        <v>667</v>
      </c>
      <c r="CW17" s="31" t="s">
        <v>667</v>
      </c>
      <c r="CX17" s="31" t="s">
        <v>667</v>
      </c>
      <c r="CY17" s="31" t="s">
        <v>667</v>
      </c>
      <c r="CZ17" s="31" t="s">
        <v>667</v>
      </c>
      <c r="DA17" s="31" t="s">
        <v>667</v>
      </c>
      <c r="DB17" s="31" t="s">
        <v>667</v>
      </c>
      <c r="DC17" s="31" t="s">
        <v>667</v>
      </c>
      <c r="DD17" s="31" t="s">
        <v>667</v>
      </c>
      <c r="DE17" s="31" t="s">
        <v>667</v>
      </c>
      <c r="DF17" s="31" t="s">
        <v>667</v>
      </c>
      <c r="DG17" s="31" t="s">
        <v>667</v>
      </c>
      <c r="DH17" s="31" t="s">
        <v>667</v>
      </c>
      <c r="DI17" s="31" t="n">
        <f aca="false">(DI19-BJ19)/52</f>
        <v>14.0192307692308</v>
      </c>
      <c r="DJ17" s="31" t="s">
        <v>668</v>
      </c>
      <c r="DK17" s="31" t="s">
        <v>669</v>
      </c>
      <c r="DL17" s="31" t="s">
        <v>670</v>
      </c>
      <c r="DM17" s="84" t="s">
        <v>671</v>
      </c>
      <c r="DN17" s="84" t="s">
        <v>672</v>
      </c>
      <c r="DO17" s="84" t="s">
        <v>673</v>
      </c>
      <c r="DP17" s="84" t="s">
        <v>674</v>
      </c>
      <c r="DQ17" s="84" t="s">
        <v>675</v>
      </c>
      <c r="DR17" s="84" t="s">
        <v>676</v>
      </c>
      <c r="DS17" s="33" t="s">
        <v>677</v>
      </c>
      <c r="DT17" s="84" t="s">
        <v>678</v>
      </c>
      <c r="DU17" s="84" t="s">
        <v>679</v>
      </c>
      <c r="DV17" s="33" t="s">
        <v>680</v>
      </c>
      <c r="DW17" s="33" t="s">
        <v>681</v>
      </c>
      <c r="DX17" s="33" t="s">
        <v>682</v>
      </c>
      <c r="DY17" s="33" t="s">
        <v>682</v>
      </c>
      <c r="DZ17" s="33" t="s">
        <v>683</v>
      </c>
      <c r="EA17" s="35"/>
      <c r="EB17" s="81" t="s">
        <v>677</v>
      </c>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5"/>
      <c r="GC17" s="35"/>
      <c r="GD17" s="35"/>
      <c r="GE17" s="35"/>
      <c r="GF17" s="35"/>
      <c r="GG17" s="35"/>
      <c r="GH17" s="35"/>
      <c r="GI17" s="35"/>
      <c r="GJ17" s="35"/>
      <c r="GK17" s="35"/>
      <c r="GL17" s="35"/>
      <c r="GM17" s="35"/>
      <c r="GN17" s="35"/>
      <c r="GO17" s="35"/>
      <c r="GP17" s="35"/>
      <c r="GQ17" s="35"/>
      <c r="GR17" s="35"/>
      <c r="GS17" s="35"/>
      <c r="GT17" s="35"/>
      <c r="GU17" s="35"/>
      <c r="GV17" s="35"/>
      <c r="GW17" s="35"/>
      <c r="GX17" s="35"/>
      <c r="GY17" s="35"/>
      <c r="GZ17" s="35"/>
      <c r="HA17" s="35"/>
      <c r="HB17" s="35"/>
      <c r="HC17" s="35"/>
      <c r="HD17" s="35"/>
      <c r="HE17" s="35"/>
      <c r="HF17" s="35"/>
      <c r="HG17" s="35"/>
      <c r="HH17" s="35"/>
      <c r="HI17" s="35"/>
      <c r="HJ17" s="35"/>
      <c r="HK17" s="35"/>
      <c r="HL17" s="35"/>
      <c r="HM17" s="35"/>
      <c r="HN17" s="35"/>
      <c r="HO17" s="35"/>
      <c r="HP17" s="35"/>
      <c r="HQ17" s="35"/>
      <c r="HR17" s="35"/>
      <c r="HS17" s="35"/>
      <c r="HT17" s="35"/>
      <c r="HU17" s="35"/>
      <c r="HV17" s="35"/>
      <c r="HW17" s="35"/>
      <c r="HX17" s="35"/>
      <c r="HY17" s="35"/>
      <c r="HZ17" s="35"/>
      <c r="IA17" s="35"/>
      <c r="IB17" s="35"/>
      <c r="IC17" s="35"/>
      <c r="ID17" s="35"/>
      <c r="IE17" s="35"/>
      <c r="IF17" s="35"/>
      <c r="IG17" s="35"/>
      <c r="IH17" s="35"/>
      <c r="II17" s="35"/>
      <c r="IJ17" s="35"/>
      <c r="IK17" s="35"/>
      <c r="IL17" s="35"/>
      <c r="IM17" s="35"/>
      <c r="IN17" s="35"/>
      <c r="IO17" s="35"/>
      <c r="IP17" s="35"/>
      <c r="IQ17" s="35"/>
      <c r="IR17" s="35"/>
      <c r="IS17" s="35"/>
      <c r="IT17" s="35"/>
      <c r="IU17" s="35"/>
      <c r="IV17" s="35"/>
      <c r="IW17" s="35"/>
      <c r="IX17" s="35"/>
      <c r="IY17" s="35"/>
      <c r="IZ17" s="35"/>
      <c r="JA17" s="35"/>
      <c r="JB17" s="35"/>
      <c r="JC17" s="35"/>
      <c r="JD17" s="35"/>
      <c r="JE17" s="35"/>
      <c r="JF17" s="35"/>
      <c r="JG17" s="35"/>
      <c r="JH17" s="35"/>
      <c r="JI17" s="35"/>
      <c r="JJ17" s="35"/>
      <c r="JK17" s="35"/>
      <c r="JL17" s="35"/>
      <c r="JM17" s="35"/>
      <c r="JN17" s="35"/>
      <c r="JO17" s="35"/>
      <c r="JP17" s="35"/>
      <c r="JQ17" s="35"/>
      <c r="JR17" s="35"/>
      <c r="JS17" s="35"/>
      <c r="JT17" s="35"/>
      <c r="JU17" s="35"/>
      <c r="JV17" s="35"/>
      <c r="JW17" s="35"/>
      <c r="JX17" s="35"/>
      <c r="JY17" s="35"/>
      <c r="JZ17" s="35"/>
      <c r="KA17" s="35"/>
      <c r="KB17" s="35"/>
      <c r="KC17" s="35"/>
      <c r="KD17" s="35"/>
      <c r="KE17" s="35"/>
      <c r="KF17" s="35"/>
      <c r="KG17" s="35"/>
      <c r="KH17" s="35"/>
      <c r="KI17" s="35"/>
      <c r="KJ17" s="35"/>
      <c r="KK17" s="35"/>
      <c r="KL17" s="35"/>
      <c r="KM17" s="35"/>
      <c r="KN17" s="35"/>
      <c r="KO17" s="35"/>
      <c r="KP17" s="35"/>
      <c r="KQ17" s="35"/>
      <c r="KR17" s="35"/>
      <c r="KS17" s="35"/>
      <c r="KT17" s="35"/>
      <c r="KU17" s="35"/>
      <c r="KV17" s="35"/>
      <c r="KW17" s="35"/>
      <c r="KX17" s="35"/>
      <c r="KY17" s="35"/>
      <c r="KZ17" s="35"/>
      <c r="LA17" s="35"/>
      <c r="LB17" s="35"/>
      <c r="LC17" s="35"/>
      <c r="LD17" s="35"/>
      <c r="LE17" s="35"/>
      <c r="LF17" s="35"/>
      <c r="LG17" s="35"/>
      <c r="LH17" s="35"/>
      <c r="LI17" s="35"/>
      <c r="LJ17" s="35"/>
      <c r="LK17" s="35"/>
      <c r="LL17" s="35"/>
      <c r="LM17" s="35"/>
      <c r="LN17" s="35"/>
      <c r="LO17" s="35"/>
      <c r="LP17" s="35"/>
      <c r="LQ17" s="35"/>
      <c r="LR17" s="35"/>
      <c r="LS17" s="35"/>
      <c r="LT17" s="35"/>
      <c r="LU17" s="35"/>
      <c r="LV17" s="35"/>
      <c r="LW17" s="35"/>
      <c r="LX17" s="35"/>
      <c r="LY17" s="35"/>
      <c r="LZ17" s="35"/>
      <c r="MA17" s="35"/>
      <c r="MB17" s="35"/>
      <c r="MC17" s="35"/>
      <c r="MD17" s="35"/>
      <c r="ME17" s="35"/>
      <c r="MF17" s="35"/>
      <c r="MG17" s="35"/>
      <c r="MH17" s="35"/>
      <c r="MI17" s="35"/>
      <c r="MJ17" s="35"/>
      <c r="MK17" s="35"/>
      <c r="ML17" s="35"/>
      <c r="MM17" s="35"/>
      <c r="MN17" s="35"/>
      <c r="MO17" s="35"/>
      <c r="MP17" s="35"/>
      <c r="MQ17" s="35"/>
      <c r="MR17" s="35"/>
      <c r="MS17" s="35"/>
      <c r="MT17" s="35"/>
      <c r="MU17" s="35"/>
      <c r="MV17" s="35"/>
      <c r="MW17" s="35"/>
      <c r="MX17" s="35"/>
      <c r="MY17" s="35"/>
      <c r="MZ17" s="35"/>
      <c r="NA17" s="35"/>
      <c r="NB17" s="35"/>
      <c r="NC17" s="35"/>
      <c r="ND17" s="35"/>
      <c r="NE17" s="35"/>
      <c r="NF17" s="35"/>
      <c r="NG17" s="35"/>
      <c r="NH17" s="35"/>
      <c r="NI17" s="35"/>
      <c r="NJ17" s="35"/>
      <c r="NK17" s="35"/>
      <c r="NL17" s="35"/>
      <c r="NM17" s="35"/>
      <c r="NN17" s="35"/>
      <c r="NO17" s="35"/>
      <c r="NP17" s="35"/>
      <c r="NQ17" s="35"/>
      <c r="NR17" s="35"/>
      <c r="NS17" s="35"/>
      <c r="NT17" s="35"/>
      <c r="NU17" s="35"/>
      <c r="NV17" s="35"/>
      <c r="NW17" s="35"/>
      <c r="NX17" s="35"/>
      <c r="NY17" s="35"/>
      <c r="NZ17" s="35"/>
      <c r="OA17" s="35"/>
      <c r="OB17" s="35"/>
      <c r="OC17" s="35"/>
      <c r="OD17" s="35"/>
      <c r="OE17" s="35"/>
      <c r="OF17" s="35"/>
      <c r="OG17" s="35"/>
      <c r="OH17" s="35"/>
      <c r="OI17" s="35"/>
      <c r="OJ17" s="35"/>
      <c r="OK17" s="35"/>
      <c r="OL17" s="35"/>
      <c r="OM17" s="35"/>
      <c r="ON17" s="35"/>
      <c r="OO17" s="35"/>
      <c r="OP17" s="35"/>
      <c r="OQ17" s="35"/>
      <c r="OR17" s="35"/>
      <c r="OS17" s="35"/>
      <c r="OT17" s="35"/>
      <c r="OU17" s="35"/>
      <c r="OV17" s="35"/>
      <c r="OW17" s="35"/>
      <c r="OX17" s="35"/>
      <c r="OY17" s="35"/>
      <c r="OZ17" s="35"/>
      <c r="PA17" s="35"/>
      <c r="PB17" s="35"/>
      <c r="PC17" s="35"/>
      <c r="PD17" s="35"/>
      <c r="PE17" s="35"/>
      <c r="PF17" s="35"/>
      <c r="PG17" s="35"/>
      <c r="PH17" s="35"/>
      <c r="PI17" s="35"/>
      <c r="PJ17" s="35"/>
      <c r="PK17" s="35"/>
      <c r="PL17" s="35"/>
      <c r="PM17" s="35"/>
      <c r="PN17" s="35"/>
      <c r="PO17" s="35"/>
      <c r="PP17" s="35"/>
      <c r="PQ17" s="35"/>
      <c r="PR17" s="35"/>
      <c r="PS17" s="35"/>
      <c r="PT17" s="35"/>
      <c r="PU17" s="35"/>
      <c r="PV17" s="35"/>
      <c r="PW17" s="35"/>
      <c r="PX17" s="35"/>
      <c r="PY17" s="35"/>
      <c r="PZ17" s="35"/>
      <c r="QA17" s="35"/>
      <c r="QB17" s="35"/>
      <c r="QC17" s="35"/>
      <c r="QD17" s="35"/>
      <c r="QE17" s="35"/>
      <c r="QF17" s="35"/>
      <c r="QG17" s="35"/>
      <c r="QH17" s="35"/>
      <c r="QI17" s="35"/>
      <c r="QJ17" s="35"/>
      <c r="QK17" s="35"/>
      <c r="QL17" s="35"/>
      <c r="QM17" s="35"/>
      <c r="QN17" s="35"/>
      <c r="QO17" s="35"/>
      <c r="QP17" s="35"/>
      <c r="QQ17" s="35"/>
      <c r="QR17" s="35"/>
      <c r="QS17" s="35"/>
      <c r="QT17" s="35"/>
      <c r="QU17" s="35"/>
      <c r="QV17" s="35"/>
      <c r="QW17" s="35"/>
      <c r="QX17" s="35"/>
      <c r="QY17" s="35"/>
      <c r="QZ17" s="35"/>
      <c r="RA17" s="35"/>
      <c r="RB17" s="35"/>
      <c r="RC17" s="35"/>
      <c r="RD17" s="35"/>
      <c r="RE17" s="35"/>
      <c r="RF17" s="35"/>
      <c r="RG17" s="35"/>
      <c r="RH17" s="35"/>
      <c r="RI17" s="35"/>
      <c r="RJ17" s="35"/>
      <c r="RK17" s="35"/>
      <c r="RL17" s="35"/>
      <c r="RM17" s="35"/>
      <c r="RN17" s="35"/>
      <c r="RO17" s="35"/>
      <c r="RP17" s="35"/>
      <c r="RQ17" s="35"/>
      <c r="RR17" s="35"/>
      <c r="RS17" s="35"/>
      <c r="RT17" s="35"/>
      <c r="RU17" s="35"/>
      <c r="RV17" s="35"/>
      <c r="RW17" s="35"/>
      <c r="RX17" s="35"/>
      <c r="RY17" s="35"/>
      <c r="RZ17" s="35"/>
      <c r="SA17" s="35"/>
      <c r="SB17" s="35"/>
      <c r="SC17" s="35"/>
      <c r="SD17" s="35"/>
      <c r="SE17" s="35"/>
      <c r="SF17" s="35"/>
      <c r="SG17" s="35"/>
      <c r="SH17" s="35"/>
      <c r="SI17" s="35"/>
      <c r="SJ17" s="35"/>
      <c r="SK17" s="35"/>
      <c r="SL17" s="35"/>
      <c r="SM17" s="35"/>
      <c r="SN17" s="35"/>
      <c r="SO17" s="35"/>
      <c r="SP17" s="35"/>
      <c r="SQ17" s="35"/>
      <c r="SR17" s="35"/>
      <c r="SS17" s="35"/>
      <c r="ST17" s="35"/>
      <c r="SU17" s="35"/>
      <c r="SV17" s="35"/>
      <c r="SW17" s="35"/>
      <c r="SX17" s="35"/>
      <c r="SY17" s="35"/>
      <c r="SZ17" s="35"/>
      <c r="TA17" s="35"/>
      <c r="TB17" s="35"/>
      <c r="TC17" s="35"/>
      <c r="TD17" s="35"/>
      <c r="TE17" s="35"/>
      <c r="TF17" s="35"/>
      <c r="TG17" s="35"/>
      <c r="TH17" s="35"/>
      <c r="TI17" s="35"/>
      <c r="TJ17" s="35"/>
      <c r="TK17" s="35"/>
      <c r="TL17" s="35"/>
      <c r="TM17" s="35"/>
      <c r="TN17" s="35"/>
      <c r="TO17" s="35"/>
      <c r="TP17" s="35"/>
      <c r="TQ17" s="35"/>
      <c r="TR17" s="35"/>
      <c r="TS17" s="35"/>
      <c r="TT17" s="35"/>
      <c r="TU17" s="35"/>
      <c r="TV17" s="35"/>
      <c r="TW17" s="35"/>
      <c r="TX17" s="35"/>
      <c r="TY17" s="35"/>
      <c r="TZ17" s="35"/>
      <c r="UA17" s="35"/>
      <c r="UB17" s="35"/>
      <c r="UC17" s="35"/>
      <c r="UD17" s="35"/>
      <c r="UE17" s="35"/>
      <c r="UF17" s="35"/>
      <c r="UG17" s="35"/>
      <c r="UH17" s="35"/>
      <c r="UI17" s="35"/>
      <c r="UJ17" s="35"/>
      <c r="UK17" s="35"/>
      <c r="UL17" s="35"/>
      <c r="UM17" s="35"/>
      <c r="UN17" s="35"/>
      <c r="UO17" s="35"/>
      <c r="UP17" s="35"/>
      <c r="UQ17" s="35"/>
      <c r="UR17" s="35"/>
      <c r="US17" s="35"/>
      <c r="UT17" s="35"/>
      <c r="UU17" s="35"/>
      <c r="UV17" s="35"/>
      <c r="UW17" s="35"/>
      <c r="UX17" s="35"/>
      <c r="UY17" s="35"/>
      <c r="UZ17" s="35"/>
      <c r="VA17" s="35"/>
      <c r="VB17" s="35"/>
      <c r="VC17" s="35"/>
      <c r="VD17" s="35"/>
      <c r="VE17" s="35"/>
      <c r="VF17" s="35"/>
      <c r="VG17" s="35"/>
      <c r="VH17" s="35"/>
      <c r="VI17" s="35"/>
      <c r="VJ17" s="35"/>
      <c r="VK17" s="35"/>
      <c r="VL17" s="35"/>
      <c r="VM17" s="35"/>
      <c r="VN17" s="35"/>
      <c r="VO17" s="35"/>
      <c r="VP17" s="35"/>
      <c r="VQ17" s="35"/>
      <c r="VR17" s="35"/>
      <c r="VS17" s="35"/>
      <c r="VT17" s="35"/>
      <c r="VU17" s="35"/>
      <c r="VV17" s="35"/>
      <c r="VW17" s="35"/>
      <c r="VX17" s="35"/>
      <c r="VY17" s="35"/>
      <c r="VZ17" s="35"/>
      <c r="WA17" s="35"/>
      <c r="WB17" s="35"/>
      <c r="WC17" s="35"/>
      <c r="WD17" s="35"/>
      <c r="WE17" s="35"/>
      <c r="WF17" s="35"/>
      <c r="WG17" s="35"/>
      <c r="WH17" s="35"/>
      <c r="WI17" s="35"/>
      <c r="WJ17" s="35"/>
      <c r="WK17" s="35"/>
      <c r="WL17" s="35"/>
      <c r="WM17" s="35"/>
      <c r="WN17" s="35"/>
      <c r="WO17" s="35"/>
      <c r="WP17" s="35"/>
      <c r="WQ17" s="35"/>
      <c r="WR17" s="35"/>
      <c r="WS17" s="35"/>
      <c r="WT17" s="35"/>
      <c r="WU17" s="35"/>
      <c r="WV17" s="35"/>
      <c r="WW17" s="35"/>
      <c r="WX17" s="35"/>
      <c r="WY17" s="35"/>
      <c r="WZ17" s="35"/>
      <c r="XA17" s="35"/>
      <c r="XB17" s="35"/>
      <c r="XC17" s="35"/>
      <c r="XD17" s="35"/>
      <c r="XE17" s="35"/>
      <c r="XF17" s="35"/>
      <c r="XG17" s="35"/>
      <c r="XH17" s="35"/>
      <c r="XI17" s="35"/>
      <c r="XJ17" s="35"/>
      <c r="XK17" s="35"/>
      <c r="XL17" s="35"/>
      <c r="XM17" s="35"/>
      <c r="XN17" s="35"/>
      <c r="XO17" s="35"/>
      <c r="XP17" s="35"/>
      <c r="XQ17" s="35"/>
      <c r="XR17" s="35"/>
      <c r="XS17" s="35"/>
      <c r="XT17" s="35"/>
      <c r="XU17" s="35"/>
      <c r="XV17" s="35"/>
      <c r="XW17" s="35"/>
      <c r="XX17" s="35"/>
      <c r="XY17" s="35"/>
      <c r="XZ17" s="35"/>
      <c r="YA17" s="35"/>
      <c r="YB17" s="35"/>
      <c r="YC17" s="35"/>
      <c r="YD17" s="35"/>
      <c r="YE17" s="35"/>
      <c r="YF17" s="35"/>
      <c r="YG17" s="35"/>
      <c r="YH17" s="35"/>
      <c r="YI17" s="35"/>
      <c r="YJ17" s="35"/>
      <c r="YK17" s="35"/>
      <c r="YL17" s="35"/>
      <c r="YM17" s="35"/>
      <c r="YN17" s="35"/>
      <c r="YO17" s="35"/>
      <c r="YP17" s="35"/>
      <c r="YQ17" s="35"/>
      <c r="YR17" s="35"/>
      <c r="YS17" s="35"/>
      <c r="YT17" s="35"/>
      <c r="YU17" s="35"/>
      <c r="YV17" s="35"/>
      <c r="YW17" s="35"/>
      <c r="YX17" s="35"/>
      <c r="YY17" s="35"/>
      <c r="YZ17" s="35"/>
      <c r="ZA17" s="35"/>
      <c r="ZB17" s="35"/>
      <c r="ZC17" s="35"/>
      <c r="ZD17" s="35"/>
      <c r="ZE17" s="35"/>
      <c r="ZF17" s="35"/>
      <c r="ZG17" s="35"/>
      <c r="ZH17" s="35"/>
      <c r="ZI17" s="35"/>
      <c r="ZJ17" s="35"/>
      <c r="ZK17" s="35"/>
      <c r="ZL17" s="35"/>
      <c r="ZM17" s="35"/>
      <c r="ZN17" s="35"/>
      <c r="ZO17" s="35"/>
      <c r="ZP17" s="35"/>
      <c r="ZQ17" s="35"/>
      <c r="ZR17" s="35"/>
      <c r="ZS17" s="35"/>
      <c r="ZT17" s="35"/>
      <c r="ZU17" s="35"/>
      <c r="ZV17" s="35"/>
      <c r="ZW17" s="35"/>
      <c r="ZX17" s="35"/>
      <c r="ZY17" s="35"/>
      <c r="ZZ17" s="35"/>
      <c r="AAA17" s="35"/>
      <c r="AAB17" s="35"/>
      <c r="AAC17" s="35"/>
      <c r="AAD17" s="35"/>
      <c r="AAE17" s="35"/>
      <c r="AAF17" s="35"/>
      <c r="AAG17" s="35"/>
      <c r="AAH17" s="35"/>
      <c r="AAI17" s="35"/>
      <c r="AAJ17" s="35"/>
      <c r="AAK17" s="35"/>
      <c r="AAL17" s="35"/>
      <c r="AAM17" s="35"/>
      <c r="AAN17" s="35"/>
      <c r="AAO17" s="35"/>
      <c r="AAP17" s="35"/>
      <c r="AAQ17" s="35"/>
      <c r="AAR17" s="35"/>
      <c r="AAS17" s="35"/>
      <c r="AAT17" s="35"/>
      <c r="AAU17" s="35"/>
      <c r="AAV17" s="35"/>
      <c r="AAW17" s="35"/>
      <c r="AAX17" s="35"/>
      <c r="AAY17" s="35"/>
      <c r="AAZ17" s="35"/>
      <c r="ABA17" s="35"/>
      <c r="ABB17" s="35"/>
      <c r="ABC17" s="35"/>
      <c r="ABD17" s="35"/>
      <c r="ABE17" s="35"/>
      <c r="ABF17" s="35"/>
      <c r="ABG17" s="35"/>
      <c r="ABH17" s="35"/>
      <c r="ABI17" s="35"/>
      <c r="ABJ17" s="35"/>
      <c r="ABK17" s="35"/>
      <c r="ABL17" s="35"/>
      <c r="ABM17" s="35"/>
      <c r="ABN17" s="35"/>
      <c r="ABO17" s="35"/>
      <c r="ABP17" s="35"/>
      <c r="ABQ17" s="35"/>
      <c r="ABR17" s="35"/>
      <c r="ABS17" s="35"/>
      <c r="ABT17" s="35"/>
      <c r="ABU17" s="35"/>
      <c r="ABV17" s="35"/>
      <c r="ABW17" s="35"/>
      <c r="ABX17" s="35"/>
      <c r="ABY17" s="35"/>
      <c r="ABZ17" s="35"/>
      <c r="ACA17" s="35"/>
      <c r="ACB17" s="35"/>
      <c r="ACC17" s="35"/>
      <c r="ACD17" s="35"/>
      <c r="ACE17" s="35"/>
      <c r="ACF17" s="35"/>
      <c r="ACG17" s="35"/>
      <c r="ACH17" s="35"/>
      <c r="ACI17" s="35"/>
      <c r="ACJ17" s="35"/>
      <c r="ACK17" s="35"/>
      <c r="ACL17" s="35"/>
      <c r="ACM17" s="35"/>
      <c r="ACN17" s="35"/>
      <c r="ACO17" s="35"/>
      <c r="ACP17" s="35"/>
      <c r="ACQ17" s="35"/>
      <c r="ACR17" s="35"/>
      <c r="ACS17" s="35"/>
      <c r="ACT17" s="35"/>
      <c r="ACU17" s="35"/>
      <c r="ACV17" s="35"/>
      <c r="ACW17" s="35"/>
      <c r="ACX17" s="35"/>
      <c r="ACY17" s="35"/>
      <c r="ACZ17" s="35"/>
      <c r="ADA17" s="35"/>
      <c r="ADB17" s="35"/>
      <c r="ADC17" s="35"/>
      <c r="ADD17" s="35"/>
      <c r="ADE17" s="35"/>
      <c r="ADF17" s="35"/>
      <c r="ADG17" s="35"/>
      <c r="ADH17" s="35"/>
      <c r="ADI17" s="35"/>
      <c r="ADJ17" s="35"/>
      <c r="ADK17" s="35"/>
      <c r="ADL17" s="35"/>
      <c r="ADM17" s="35"/>
      <c r="ADN17" s="35"/>
      <c r="ADO17" s="35"/>
      <c r="ADP17" s="35"/>
      <c r="ADQ17" s="35"/>
      <c r="ADR17" s="35"/>
      <c r="ADS17" s="35"/>
      <c r="ADT17" s="35"/>
      <c r="ADU17" s="35"/>
      <c r="ADV17" s="35"/>
      <c r="ADW17" s="35"/>
      <c r="ADX17" s="35"/>
      <c r="ADY17" s="35"/>
      <c r="ADZ17" s="35"/>
      <c r="AEA17" s="35"/>
      <c r="AEB17" s="35"/>
      <c r="AEC17" s="35"/>
      <c r="AED17" s="35"/>
      <c r="AEE17" s="35"/>
      <c r="AEF17" s="35"/>
      <c r="AEG17" s="35"/>
      <c r="AEH17" s="35"/>
      <c r="AEI17" s="35"/>
      <c r="AEJ17" s="35"/>
      <c r="AEK17" s="35"/>
      <c r="AEL17" s="35"/>
      <c r="AEM17" s="35"/>
      <c r="AEN17" s="35"/>
      <c r="AEO17" s="35"/>
      <c r="AEP17" s="35"/>
      <c r="AEQ17" s="35"/>
      <c r="AER17" s="35"/>
      <c r="AES17" s="35"/>
      <c r="AET17" s="35"/>
      <c r="AEU17" s="35"/>
      <c r="AEV17" s="35"/>
      <c r="AEW17" s="35"/>
      <c r="AEX17" s="35"/>
      <c r="AEY17" s="35"/>
      <c r="AEZ17" s="35"/>
      <c r="AFA17" s="35"/>
      <c r="AFB17" s="35"/>
      <c r="AFC17" s="35"/>
      <c r="AFD17" s="35"/>
      <c r="AFE17" s="35"/>
      <c r="AFF17" s="35"/>
      <c r="AFG17" s="35"/>
      <c r="AFH17" s="35"/>
      <c r="AFI17" s="35"/>
      <c r="AFJ17" s="35"/>
      <c r="AFK17" s="35"/>
      <c r="AFL17" s="35"/>
      <c r="AFM17" s="35"/>
      <c r="AFN17" s="35"/>
      <c r="AFO17" s="35"/>
      <c r="AFP17" s="35"/>
      <c r="AFQ17" s="35"/>
      <c r="AFR17" s="35"/>
      <c r="AFS17" s="35"/>
      <c r="AFT17" s="35"/>
      <c r="AFU17" s="35"/>
      <c r="AFV17" s="35"/>
      <c r="AFW17" s="35"/>
      <c r="AFX17" s="35"/>
      <c r="AFY17" s="35"/>
      <c r="AFZ17" s="35"/>
      <c r="AGA17" s="35"/>
      <c r="AGB17" s="35"/>
      <c r="AGC17" s="35"/>
      <c r="AGD17" s="35"/>
      <c r="AGE17" s="35"/>
      <c r="AGF17" s="35"/>
      <c r="AGG17" s="35"/>
      <c r="AGH17" s="35"/>
      <c r="AGI17" s="35"/>
      <c r="AGJ17" s="35"/>
      <c r="AGK17" s="35"/>
      <c r="AGL17" s="35"/>
      <c r="AGM17" s="35"/>
      <c r="AGN17" s="35"/>
      <c r="AGO17" s="35"/>
      <c r="AGP17" s="35"/>
      <c r="AGQ17" s="35"/>
      <c r="AGR17" s="35"/>
      <c r="AGS17" s="35"/>
      <c r="AGT17" s="35"/>
      <c r="AGU17" s="35"/>
      <c r="AGV17" s="35"/>
      <c r="AGW17" s="35"/>
      <c r="AGX17" s="35"/>
      <c r="AGY17" s="35"/>
      <c r="AGZ17" s="35"/>
      <c r="AHA17" s="35"/>
      <c r="AHB17" s="35"/>
      <c r="AHC17" s="35"/>
      <c r="AHD17" s="35"/>
      <c r="AHE17" s="35"/>
      <c r="AHF17" s="35"/>
      <c r="AHG17" s="35"/>
      <c r="AHH17" s="35"/>
      <c r="AHI17" s="35"/>
      <c r="AHJ17" s="35"/>
      <c r="AHK17" s="35"/>
      <c r="AHL17" s="35"/>
      <c r="AHM17" s="35"/>
      <c r="AHN17" s="35"/>
      <c r="AHO17" s="35"/>
      <c r="AHP17" s="35"/>
      <c r="AHQ17" s="35"/>
      <c r="AHR17" s="35"/>
      <c r="AHS17" s="35"/>
      <c r="AHT17" s="35"/>
      <c r="AHU17" s="35"/>
      <c r="AHV17" s="35"/>
      <c r="AHW17" s="35"/>
      <c r="AHX17" s="35"/>
      <c r="AHY17" s="35"/>
      <c r="AHZ17" s="35"/>
      <c r="AIA17" s="35"/>
      <c r="AIB17" s="35"/>
      <c r="AIC17" s="35"/>
      <c r="AID17" s="35"/>
      <c r="AIE17" s="35"/>
      <c r="AIF17" s="35"/>
      <c r="AIG17" s="35"/>
      <c r="AIH17" s="35"/>
      <c r="AII17" s="35"/>
      <c r="AIJ17" s="35"/>
      <c r="AIK17" s="35"/>
      <c r="AIL17" s="35"/>
      <c r="AIM17" s="35"/>
      <c r="AIN17" s="35"/>
      <c r="AIO17" s="35"/>
      <c r="AIP17" s="35"/>
      <c r="AIQ17" s="35"/>
      <c r="AIR17" s="35"/>
      <c r="AIS17" s="35"/>
      <c r="AIT17" s="35"/>
      <c r="AIU17" s="35"/>
      <c r="AIV17" s="35"/>
      <c r="AIW17" s="35"/>
      <c r="AIX17" s="35"/>
      <c r="AIY17" s="35"/>
      <c r="AIZ17" s="35"/>
      <c r="AJA17" s="35"/>
      <c r="AJB17" s="35"/>
      <c r="AJC17" s="35"/>
      <c r="AJD17" s="35"/>
      <c r="AJE17" s="35"/>
      <c r="AJF17" s="35"/>
      <c r="AJG17" s="35"/>
      <c r="AJH17" s="35"/>
      <c r="AJI17" s="35"/>
      <c r="AJJ17" s="35"/>
      <c r="AJK17" s="35"/>
      <c r="AJL17" s="35"/>
      <c r="AJM17" s="35"/>
      <c r="AJN17" s="35"/>
      <c r="AJO17" s="35"/>
      <c r="AJP17" s="35"/>
      <c r="AJQ17" s="35"/>
      <c r="AJR17" s="35"/>
      <c r="AJS17" s="35"/>
      <c r="AJT17" s="35"/>
      <c r="AJU17" s="35"/>
      <c r="AJV17" s="35"/>
      <c r="AJW17" s="35"/>
      <c r="AJX17" s="35"/>
      <c r="AJY17" s="35"/>
      <c r="AJZ17" s="35"/>
      <c r="AKA17" s="35"/>
      <c r="AKB17" s="35"/>
      <c r="AKC17" s="35"/>
      <c r="AKD17" s="35"/>
      <c r="AKE17" s="35"/>
      <c r="AKF17" s="35"/>
      <c r="AKG17" s="35"/>
      <c r="AKH17" s="35"/>
      <c r="AKI17" s="35"/>
      <c r="AKJ17" s="35"/>
      <c r="AKK17" s="35"/>
      <c r="AKL17" s="35"/>
      <c r="AKM17" s="35"/>
      <c r="AKN17" s="35"/>
      <c r="AKO17" s="35"/>
      <c r="AKP17" s="35"/>
      <c r="AKQ17" s="35"/>
      <c r="AKR17" s="35"/>
      <c r="AKS17" s="35"/>
      <c r="AKT17" s="35"/>
      <c r="AKU17" s="35"/>
      <c r="AKV17" s="35"/>
      <c r="AKW17" s="35"/>
      <c r="AKX17" s="35"/>
      <c r="AKY17" s="35"/>
      <c r="AKZ17" s="35"/>
      <c r="ALA17" s="35"/>
      <c r="ALB17" s="35"/>
      <c r="ALC17" s="35"/>
      <c r="ALD17" s="35"/>
      <c r="ALE17" s="35"/>
      <c r="ALF17" s="35"/>
      <c r="ALG17" s="35"/>
      <c r="ALH17" s="35"/>
      <c r="ALI17" s="35"/>
      <c r="ALJ17" s="35"/>
      <c r="ALK17" s="35"/>
      <c r="ALL17" s="35"/>
      <c r="ALM17" s="35"/>
      <c r="ALN17" s="35"/>
      <c r="ALO17" s="35"/>
      <c r="ALP17" s="35"/>
      <c r="ALQ17" s="35"/>
      <c r="ALR17" s="35"/>
      <c r="ALS17" s="35"/>
      <c r="ALT17" s="35"/>
      <c r="ALU17" s="35"/>
      <c r="ALV17" s="35"/>
      <c r="ALW17" s="35"/>
      <c r="ALX17" s="35"/>
      <c r="ALY17" s="35"/>
      <c r="ALZ17" s="35"/>
      <c r="AMA17" s="35"/>
      <c r="AMB17" s="1"/>
    </row>
    <row r="18" customFormat="false" ht="14.15" hidden="true" customHeight="true" outlineLevel="1" collapsed="false">
      <c r="A18" s="85"/>
      <c r="B18" s="86"/>
      <c r="C18" s="86"/>
      <c r="D18" s="86"/>
      <c r="E18" s="87"/>
      <c r="F18" s="86"/>
      <c r="G18" s="86"/>
      <c r="H18" s="86"/>
      <c r="I18" s="86"/>
      <c r="J18" s="86"/>
      <c r="K18" s="86"/>
      <c r="L18" s="86"/>
      <c r="M18" s="86"/>
      <c r="N18" s="86"/>
      <c r="O18" s="33"/>
      <c r="P18" s="33"/>
      <c r="Q18" s="33"/>
      <c r="R18" s="33"/>
      <c r="S18" s="33"/>
      <c r="T18" s="33"/>
      <c r="U18" s="86"/>
      <c r="V18" s="86"/>
      <c r="W18" s="86"/>
      <c r="X18" s="86"/>
      <c r="Y18" s="86"/>
      <c r="Z18" s="86"/>
      <c r="AA18" s="86"/>
      <c r="AB18" s="86"/>
      <c r="AC18" s="88"/>
      <c r="AD18" s="87"/>
      <c r="AE18" s="87"/>
      <c r="AF18" s="86" t="n">
        <v>1</v>
      </c>
      <c r="AG18" s="86"/>
      <c r="AH18" s="87"/>
      <c r="AI18" s="86"/>
      <c r="AJ18" s="89"/>
      <c r="AK18" s="89"/>
      <c r="AL18" s="90"/>
      <c r="AM18" s="90"/>
      <c r="AN18" s="90"/>
      <c r="AO18" s="90"/>
      <c r="AP18" s="90"/>
      <c r="AQ18" s="90"/>
      <c r="AR18" s="86"/>
      <c r="AS18" s="86"/>
      <c r="AT18" s="87"/>
      <c r="AU18" s="86"/>
      <c r="AV18" s="86"/>
      <c r="AW18" s="86"/>
      <c r="AX18" s="86"/>
      <c r="AY18" s="86"/>
      <c r="AZ18" s="86"/>
      <c r="BA18" s="86"/>
      <c r="BB18" s="87"/>
      <c r="BC18" s="87"/>
      <c r="BD18" s="87"/>
      <c r="BE18" s="33"/>
      <c r="BF18" s="31"/>
      <c r="BG18" s="86"/>
      <c r="BH18" s="86"/>
      <c r="BI18" s="86"/>
      <c r="BJ18" s="87"/>
      <c r="BK18" s="87"/>
      <c r="BL18" s="87"/>
      <c r="BM18" s="87"/>
      <c r="BN18" s="87"/>
      <c r="BO18" s="87"/>
      <c r="BP18" s="87" t="s">
        <v>684</v>
      </c>
      <c r="BQ18" s="87" t="n">
        <v>1</v>
      </c>
      <c r="BR18" s="87"/>
      <c r="BS18" s="87"/>
      <c r="BT18" s="87"/>
      <c r="BU18" s="87"/>
      <c r="BV18" s="87"/>
      <c r="BW18" s="91"/>
      <c r="BX18" s="91"/>
      <c r="BY18" s="91"/>
      <c r="BZ18" s="91"/>
      <c r="CA18" s="91"/>
      <c r="CB18" s="91"/>
      <c r="CC18" s="91" t="s">
        <v>684</v>
      </c>
      <c r="CD18" s="91" t="n">
        <v>2</v>
      </c>
      <c r="CE18" s="91"/>
      <c r="CF18" s="91"/>
      <c r="CG18" s="91"/>
      <c r="CH18" s="91"/>
      <c r="CI18" s="91"/>
      <c r="CJ18" s="87"/>
      <c r="CK18" s="87"/>
      <c r="CL18" s="87"/>
      <c r="CM18" s="87"/>
      <c r="CN18" s="87"/>
      <c r="CO18" s="87"/>
      <c r="CP18" s="87" t="s">
        <v>684</v>
      </c>
      <c r="CQ18" s="87" t="n">
        <v>3</v>
      </c>
      <c r="CR18" s="87"/>
      <c r="CS18" s="87"/>
      <c r="CT18" s="87"/>
      <c r="CU18" s="87"/>
      <c r="CV18" s="87"/>
      <c r="CW18" s="91"/>
      <c r="CX18" s="91"/>
      <c r="CY18" s="91"/>
      <c r="CZ18" s="91"/>
      <c r="DA18" s="91"/>
      <c r="DB18" s="91"/>
      <c r="DC18" s="91" t="s">
        <v>684</v>
      </c>
      <c r="DD18" s="91" t="n">
        <v>4</v>
      </c>
      <c r="DE18" s="91"/>
      <c r="DF18" s="91"/>
      <c r="DG18" s="91"/>
      <c r="DH18" s="91"/>
      <c r="DI18" s="91"/>
      <c r="DJ18" s="87"/>
      <c r="DK18" s="87"/>
      <c r="DL18" s="87"/>
      <c r="DM18" s="92"/>
      <c r="DN18" s="92"/>
      <c r="DO18" s="92"/>
      <c r="DP18" s="92"/>
      <c r="DQ18" s="92"/>
      <c r="DR18" s="92"/>
      <c r="DS18" s="86"/>
      <c r="DT18" s="92"/>
      <c r="DU18" s="92"/>
      <c r="DV18" s="86"/>
      <c r="DW18" s="86"/>
      <c r="DX18" s="86"/>
      <c r="DY18" s="86"/>
      <c r="DZ18" s="86"/>
      <c r="EA18" s="93"/>
      <c r="EB18" s="94"/>
      <c r="EC18" s="93"/>
      <c r="ED18" s="93"/>
      <c r="EE18" s="93"/>
      <c r="EF18" s="93"/>
      <c r="EG18" s="93"/>
      <c r="EH18" s="93"/>
      <c r="EI18" s="93"/>
      <c r="EJ18" s="93"/>
      <c r="EK18" s="93"/>
      <c r="EL18" s="93"/>
      <c r="EM18" s="93"/>
      <c r="EN18" s="93"/>
      <c r="EO18" s="93"/>
      <c r="EP18" s="93"/>
      <c r="EQ18" s="93"/>
      <c r="ER18" s="93"/>
      <c r="ES18" s="93"/>
      <c r="ET18" s="93"/>
      <c r="EU18" s="93"/>
      <c r="EV18" s="93"/>
      <c r="EW18" s="93"/>
      <c r="EX18" s="93"/>
      <c r="EY18" s="93"/>
      <c r="EZ18" s="93"/>
      <c r="FA18" s="93"/>
      <c r="FB18" s="93"/>
      <c r="FC18" s="93"/>
      <c r="FD18" s="93"/>
      <c r="FE18" s="93"/>
      <c r="FF18" s="93"/>
      <c r="FG18" s="93"/>
      <c r="FH18" s="93"/>
      <c r="FI18" s="93"/>
      <c r="FJ18" s="93"/>
      <c r="FK18" s="93"/>
      <c r="FL18" s="93"/>
      <c r="FM18" s="93"/>
      <c r="FN18" s="93"/>
      <c r="FO18" s="93"/>
      <c r="FP18" s="93"/>
      <c r="FQ18" s="93"/>
      <c r="FR18" s="93"/>
      <c r="FS18" s="93"/>
      <c r="FT18" s="93"/>
      <c r="FU18" s="93"/>
      <c r="FV18" s="93"/>
      <c r="FW18" s="93"/>
      <c r="FX18" s="93"/>
      <c r="FY18" s="93"/>
      <c r="FZ18" s="93"/>
      <c r="GA18" s="93"/>
      <c r="GB18" s="93"/>
      <c r="GC18" s="93"/>
      <c r="GD18" s="93"/>
      <c r="GE18" s="93"/>
      <c r="GF18" s="93"/>
      <c r="GG18" s="93"/>
      <c r="GH18" s="93"/>
      <c r="GI18" s="93"/>
      <c r="GJ18" s="93"/>
      <c r="GK18" s="93"/>
      <c r="GL18" s="93"/>
      <c r="GM18" s="93"/>
      <c r="GN18" s="93"/>
      <c r="GO18" s="93"/>
      <c r="GP18" s="93"/>
      <c r="GQ18" s="93"/>
      <c r="GR18" s="93"/>
      <c r="GS18" s="93"/>
      <c r="GT18" s="93"/>
      <c r="GU18" s="93"/>
      <c r="GV18" s="93"/>
      <c r="GW18" s="93"/>
      <c r="GX18" s="93"/>
      <c r="GY18" s="93"/>
      <c r="GZ18" s="93"/>
      <c r="HA18" s="93"/>
      <c r="HB18" s="93"/>
      <c r="HC18" s="93"/>
      <c r="HD18" s="93"/>
      <c r="HE18" s="93"/>
      <c r="HF18" s="93"/>
      <c r="HG18" s="93"/>
      <c r="HH18" s="93"/>
      <c r="HI18" s="93"/>
      <c r="HJ18" s="93"/>
      <c r="HK18" s="93"/>
      <c r="HL18" s="93"/>
      <c r="HM18" s="93"/>
      <c r="HN18" s="93"/>
      <c r="HO18" s="93"/>
      <c r="HP18" s="93"/>
      <c r="HQ18" s="93"/>
      <c r="HR18" s="93"/>
      <c r="HS18" s="93"/>
      <c r="HT18" s="93"/>
      <c r="HU18" s="93"/>
      <c r="HV18" s="93"/>
      <c r="HW18" s="93"/>
      <c r="HX18" s="93"/>
      <c r="HY18" s="93"/>
      <c r="HZ18" s="93"/>
      <c r="IA18" s="93"/>
      <c r="IB18" s="93"/>
      <c r="IC18" s="93"/>
      <c r="ID18" s="93"/>
      <c r="IE18" s="93"/>
      <c r="IF18" s="93"/>
      <c r="IG18" s="93"/>
      <c r="IH18" s="93"/>
      <c r="II18" s="93"/>
      <c r="IJ18" s="93"/>
      <c r="IK18" s="93"/>
      <c r="IL18" s="93"/>
      <c r="IM18" s="93"/>
      <c r="IN18" s="93"/>
      <c r="IO18" s="93"/>
      <c r="IP18" s="93"/>
      <c r="IQ18" s="93"/>
      <c r="IR18" s="93"/>
      <c r="IS18" s="93"/>
      <c r="IT18" s="93"/>
      <c r="IU18" s="93"/>
      <c r="IV18" s="93"/>
      <c r="IW18" s="93"/>
      <c r="IX18" s="93"/>
      <c r="IY18" s="93"/>
      <c r="IZ18" s="93"/>
      <c r="JA18" s="93"/>
      <c r="JB18" s="93"/>
      <c r="JC18" s="93"/>
      <c r="JD18" s="93"/>
      <c r="JE18" s="93"/>
      <c r="JF18" s="93"/>
      <c r="JG18" s="93"/>
      <c r="JH18" s="93"/>
      <c r="JI18" s="93"/>
      <c r="JJ18" s="93"/>
      <c r="JK18" s="93"/>
      <c r="JL18" s="93"/>
      <c r="JM18" s="93"/>
      <c r="JN18" s="93"/>
      <c r="JO18" s="93"/>
      <c r="JP18" s="93"/>
      <c r="JQ18" s="93"/>
      <c r="JR18" s="93"/>
      <c r="JS18" s="93"/>
      <c r="JT18" s="93"/>
      <c r="JU18" s="93"/>
      <c r="JV18" s="93"/>
      <c r="JW18" s="93"/>
      <c r="JX18" s="93"/>
      <c r="JY18" s="93"/>
      <c r="JZ18" s="93"/>
      <c r="KA18" s="93"/>
      <c r="KB18" s="93"/>
      <c r="KC18" s="93"/>
      <c r="KD18" s="93"/>
      <c r="KE18" s="93"/>
      <c r="KF18" s="93"/>
      <c r="KG18" s="93"/>
      <c r="KH18" s="93"/>
      <c r="KI18" s="93"/>
      <c r="KJ18" s="93"/>
      <c r="KK18" s="93"/>
      <c r="KL18" s="93"/>
      <c r="KM18" s="93"/>
      <c r="KN18" s="93"/>
      <c r="KO18" s="93"/>
      <c r="KP18" s="93"/>
      <c r="KQ18" s="93"/>
      <c r="KR18" s="93"/>
      <c r="KS18" s="93"/>
      <c r="KT18" s="93"/>
      <c r="KU18" s="93"/>
      <c r="KV18" s="93"/>
      <c r="KW18" s="93"/>
      <c r="KX18" s="93"/>
      <c r="KY18" s="93"/>
      <c r="KZ18" s="93"/>
      <c r="LA18" s="93"/>
      <c r="LB18" s="93"/>
      <c r="LC18" s="93"/>
      <c r="LD18" s="93"/>
      <c r="LE18" s="93"/>
      <c r="LF18" s="93"/>
      <c r="LG18" s="93"/>
      <c r="LH18" s="93"/>
      <c r="LI18" s="93"/>
      <c r="LJ18" s="93"/>
      <c r="LK18" s="93"/>
      <c r="LL18" s="93"/>
      <c r="LM18" s="93"/>
      <c r="LN18" s="93"/>
      <c r="LO18" s="93"/>
      <c r="LP18" s="93"/>
      <c r="LQ18" s="93"/>
      <c r="LR18" s="93"/>
      <c r="LS18" s="93"/>
      <c r="LT18" s="93"/>
      <c r="LU18" s="93"/>
      <c r="LV18" s="93"/>
      <c r="LW18" s="93"/>
      <c r="LX18" s="93"/>
      <c r="LY18" s="93"/>
      <c r="LZ18" s="93"/>
      <c r="MA18" s="93"/>
      <c r="MB18" s="93"/>
      <c r="MC18" s="93"/>
      <c r="MD18" s="93"/>
      <c r="ME18" s="93"/>
      <c r="MF18" s="93"/>
      <c r="MG18" s="93"/>
      <c r="MH18" s="93"/>
      <c r="MI18" s="93"/>
      <c r="MJ18" s="93"/>
      <c r="MK18" s="93"/>
      <c r="ML18" s="93"/>
      <c r="MM18" s="93"/>
      <c r="MN18" s="93"/>
      <c r="MO18" s="93"/>
      <c r="MP18" s="93"/>
      <c r="MQ18" s="93"/>
      <c r="MR18" s="93"/>
      <c r="MS18" s="93"/>
      <c r="MT18" s="93"/>
      <c r="MU18" s="93"/>
      <c r="MV18" s="93"/>
      <c r="MW18" s="93"/>
      <c r="MX18" s="93"/>
      <c r="MY18" s="93"/>
      <c r="MZ18" s="93"/>
      <c r="NA18" s="93"/>
      <c r="NB18" s="93"/>
      <c r="NC18" s="93"/>
      <c r="ND18" s="93"/>
      <c r="NE18" s="93"/>
      <c r="NF18" s="93"/>
      <c r="NG18" s="93"/>
      <c r="NH18" s="93"/>
      <c r="NI18" s="93"/>
      <c r="NJ18" s="93"/>
      <c r="NK18" s="93"/>
      <c r="NL18" s="93"/>
      <c r="NM18" s="93"/>
      <c r="NN18" s="93"/>
      <c r="NO18" s="93"/>
      <c r="NP18" s="93"/>
      <c r="NQ18" s="93"/>
      <c r="NR18" s="93"/>
      <c r="NS18" s="93"/>
      <c r="NT18" s="93"/>
      <c r="NU18" s="93"/>
      <c r="NV18" s="93"/>
      <c r="NW18" s="93"/>
      <c r="NX18" s="93"/>
      <c r="NY18" s="93"/>
      <c r="NZ18" s="93"/>
      <c r="OA18" s="93"/>
      <c r="OB18" s="93"/>
      <c r="OC18" s="93"/>
      <c r="OD18" s="93"/>
      <c r="OE18" s="93"/>
      <c r="OF18" s="93"/>
      <c r="OG18" s="93"/>
      <c r="OH18" s="93"/>
      <c r="OI18" s="93"/>
      <c r="OJ18" s="93"/>
      <c r="OK18" s="93"/>
      <c r="OL18" s="93"/>
      <c r="OM18" s="93"/>
      <c r="ON18" s="93"/>
      <c r="OO18" s="93"/>
      <c r="OP18" s="93"/>
      <c r="OQ18" s="93"/>
      <c r="OR18" s="93"/>
      <c r="OS18" s="93"/>
      <c r="OT18" s="93"/>
      <c r="OU18" s="93"/>
      <c r="OV18" s="93"/>
      <c r="OW18" s="93"/>
      <c r="OX18" s="93"/>
      <c r="OY18" s="93"/>
      <c r="OZ18" s="93"/>
      <c r="PA18" s="93"/>
      <c r="PB18" s="93"/>
      <c r="PC18" s="93"/>
      <c r="PD18" s="93"/>
      <c r="PE18" s="93"/>
      <c r="PF18" s="93"/>
      <c r="PG18" s="93"/>
      <c r="PH18" s="93"/>
      <c r="PI18" s="93"/>
      <c r="PJ18" s="93"/>
      <c r="PK18" s="93"/>
      <c r="PL18" s="93"/>
      <c r="PM18" s="93"/>
      <c r="PN18" s="93"/>
      <c r="PO18" s="93"/>
      <c r="PP18" s="93"/>
      <c r="PQ18" s="93"/>
      <c r="PR18" s="93"/>
      <c r="PS18" s="93"/>
      <c r="PT18" s="93"/>
      <c r="PU18" s="93"/>
      <c r="PV18" s="93"/>
      <c r="PW18" s="93"/>
      <c r="PX18" s="93"/>
      <c r="PY18" s="93"/>
      <c r="PZ18" s="93"/>
      <c r="QA18" s="93"/>
      <c r="QB18" s="93"/>
      <c r="QC18" s="93"/>
      <c r="QD18" s="93"/>
      <c r="QE18" s="93"/>
      <c r="QF18" s="93"/>
      <c r="QG18" s="93"/>
      <c r="QH18" s="93"/>
      <c r="QI18" s="93"/>
      <c r="QJ18" s="93"/>
      <c r="QK18" s="93"/>
      <c r="QL18" s="93"/>
      <c r="QM18" s="93"/>
      <c r="QN18" s="93"/>
      <c r="QO18" s="93"/>
      <c r="QP18" s="93"/>
      <c r="QQ18" s="93"/>
      <c r="QR18" s="93"/>
      <c r="QS18" s="93"/>
      <c r="QT18" s="93"/>
      <c r="QU18" s="93"/>
      <c r="QV18" s="93"/>
      <c r="QW18" s="93"/>
      <c r="QX18" s="93"/>
      <c r="QY18" s="93"/>
      <c r="QZ18" s="93"/>
      <c r="RA18" s="93"/>
      <c r="RB18" s="93"/>
      <c r="RC18" s="93"/>
      <c r="RD18" s="93"/>
      <c r="RE18" s="93"/>
      <c r="RF18" s="93"/>
      <c r="RG18" s="93"/>
      <c r="RH18" s="93"/>
      <c r="RI18" s="93"/>
      <c r="RJ18" s="93"/>
      <c r="RK18" s="93"/>
      <c r="RL18" s="93"/>
      <c r="RM18" s="93"/>
      <c r="RN18" s="93"/>
      <c r="RO18" s="93"/>
      <c r="RP18" s="93"/>
      <c r="RQ18" s="93"/>
      <c r="RR18" s="93"/>
      <c r="RS18" s="93"/>
      <c r="RT18" s="93"/>
      <c r="RU18" s="93"/>
      <c r="RV18" s="93"/>
      <c r="RW18" s="93"/>
      <c r="RX18" s="93"/>
      <c r="RY18" s="93"/>
      <c r="RZ18" s="93"/>
      <c r="SA18" s="93"/>
      <c r="SB18" s="93"/>
      <c r="SC18" s="93"/>
      <c r="SD18" s="93"/>
      <c r="SE18" s="93"/>
      <c r="SF18" s="93"/>
      <c r="SG18" s="93"/>
      <c r="SH18" s="93"/>
      <c r="SI18" s="93"/>
      <c r="SJ18" s="93"/>
      <c r="SK18" s="93"/>
      <c r="SL18" s="93"/>
      <c r="SM18" s="93"/>
      <c r="SN18" s="93"/>
      <c r="SO18" s="93"/>
      <c r="SP18" s="93"/>
      <c r="SQ18" s="93"/>
      <c r="SR18" s="93"/>
      <c r="SS18" s="93"/>
      <c r="ST18" s="93"/>
      <c r="SU18" s="93"/>
      <c r="SV18" s="93"/>
      <c r="SW18" s="93"/>
      <c r="SX18" s="93"/>
      <c r="SY18" s="93"/>
      <c r="SZ18" s="93"/>
      <c r="TA18" s="93"/>
      <c r="TB18" s="93"/>
      <c r="TC18" s="93"/>
      <c r="TD18" s="93"/>
      <c r="TE18" s="93"/>
      <c r="TF18" s="93"/>
      <c r="TG18" s="93"/>
      <c r="TH18" s="93"/>
      <c r="TI18" s="93"/>
      <c r="TJ18" s="93"/>
      <c r="TK18" s="93"/>
      <c r="TL18" s="93"/>
      <c r="TM18" s="93"/>
      <c r="TN18" s="93"/>
      <c r="TO18" s="93"/>
      <c r="TP18" s="93"/>
      <c r="TQ18" s="93"/>
      <c r="TR18" s="93"/>
      <c r="TS18" s="93"/>
      <c r="TT18" s="93"/>
      <c r="TU18" s="93"/>
      <c r="TV18" s="93"/>
      <c r="TW18" s="93"/>
      <c r="TX18" s="93"/>
      <c r="TY18" s="93"/>
      <c r="TZ18" s="93"/>
      <c r="UA18" s="93"/>
      <c r="UB18" s="93"/>
      <c r="UC18" s="93"/>
      <c r="UD18" s="93"/>
      <c r="UE18" s="93"/>
      <c r="UF18" s="93"/>
      <c r="UG18" s="93"/>
      <c r="UH18" s="93"/>
      <c r="UI18" s="93"/>
      <c r="UJ18" s="93"/>
      <c r="UK18" s="93"/>
      <c r="UL18" s="93"/>
      <c r="UM18" s="93"/>
      <c r="UN18" s="93"/>
      <c r="UO18" s="93"/>
      <c r="UP18" s="93"/>
      <c r="UQ18" s="93"/>
      <c r="UR18" s="93"/>
      <c r="US18" s="93"/>
      <c r="UT18" s="93"/>
      <c r="UU18" s="93"/>
      <c r="UV18" s="93"/>
      <c r="UW18" s="93"/>
      <c r="UX18" s="93"/>
      <c r="UY18" s="93"/>
      <c r="UZ18" s="93"/>
      <c r="VA18" s="93"/>
      <c r="VB18" s="93"/>
      <c r="VC18" s="93"/>
      <c r="VD18" s="93"/>
      <c r="VE18" s="93"/>
      <c r="VF18" s="93"/>
      <c r="VG18" s="93"/>
      <c r="VH18" s="93"/>
      <c r="VI18" s="93"/>
      <c r="VJ18" s="93"/>
      <c r="VK18" s="93"/>
      <c r="VL18" s="93"/>
      <c r="VM18" s="93"/>
      <c r="VN18" s="93"/>
      <c r="VO18" s="93"/>
      <c r="VP18" s="93"/>
      <c r="VQ18" s="93"/>
      <c r="VR18" s="93"/>
      <c r="VS18" s="93"/>
      <c r="VT18" s="93"/>
      <c r="VU18" s="93"/>
      <c r="VV18" s="93"/>
      <c r="VW18" s="93"/>
      <c r="VX18" s="93"/>
      <c r="VY18" s="93"/>
      <c r="VZ18" s="93"/>
      <c r="WA18" s="93"/>
      <c r="WB18" s="93"/>
      <c r="WC18" s="93"/>
      <c r="WD18" s="93"/>
      <c r="WE18" s="93"/>
      <c r="WF18" s="93"/>
      <c r="WG18" s="93"/>
      <c r="WH18" s="93"/>
      <c r="WI18" s="93"/>
      <c r="WJ18" s="93"/>
      <c r="WK18" s="93"/>
      <c r="WL18" s="93"/>
      <c r="WM18" s="93"/>
      <c r="WN18" s="93"/>
      <c r="WO18" s="93"/>
      <c r="WP18" s="93"/>
      <c r="WQ18" s="93"/>
      <c r="WR18" s="93"/>
      <c r="WS18" s="93"/>
      <c r="WT18" s="93"/>
      <c r="WU18" s="93"/>
      <c r="WV18" s="93"/>
      <c r="WW18" s="93"/>
      <c r="WX18" s="93"/>
      <c r="WY18" s="93"/>
      <c r="WZ18" s="93"/>
      <c r="XA18" s="93"/>
      <c r="XB18" s="93"/>
      <c r="XC18" s="93"/>
      <c r="XD18" s="93"/>
      <c r="XE18" s="93"/>
      <c r="XF18" s="93"/>
      <c r="XG18" s="93"/>
      <c r="XH18" s="93"/>
      <c r="XI18" s="93"/>
      <c r="XJ18" s="93"/>
      <c r="XK18" s="93"/>
      <c r="XL18" s="93"/>
      <c r="XM18" s="93"/>
      <c r="XN18" s="93"/>
      <c r="XO18" s="93"/>
      <c r="XP18" s="93"/>
      <c r="XQ18" s="93"/>
      <c r="XR18" s="93"/>
      <c r="XS18" s="93"/>
      <c r="XT18" s="93"/>
      <c r="XU18" s="93"/>
      <c r="XV18" s="93"/>
      <c r="XW18" s="93"/>
      <c r="XX18" s="93"/>
      <c r="XY18" s="93"/>
      <c r="XZ18" s="93"/>
      <c r="YA18" s="93"/>
      <c r="YB18" s="93"/>
      <c r="YC18" s="93"/>
      <c r="YD18" s="93"/>
      <c r="YE18" s="93"/>
      <c r="YF18" s="93"/>
      <c r="YG18" s="93"/>
      <c r="YH18" s="93"/>
      <c r="YI18" s="93"/>
      <c r="YJ18" s="93"/>
      <c r="YK18" s="93"/>
      <c r="YL18" s="93"/>
      <c r="YM18" s="93"/>
      <c r="YN18" s="93"/>
      <c r="YO18" s="93"/>
      <c r="YP18" s="93"/>
      <c r="YQ18" s="93"/>
      <c r="YR18" s="93"/>
      <c r="YS18" s="93"/>
      <c r="YT18" s="93"/>
      <c r="YU18" s="93"/>
      <c r="YV18" s="93"/>
      <c r="YW18" s="93"/>
      <c r="YX18" s="93"/>
      <c r="YY18" s="93"/>
      <c r="YZ18" s="93"/>
      <c r="ZA18" s="93"/>
      <c r="ZB18" s="93"/>
      <c r="ZC18" s="93"/>
      <c r="ZD18" s="93"/>
      <c r="ZE18" s="93"/>
      <c r="ZF18" s="93"/>
      <c r="ZG18" s="93"/>
      <c r="ZH18" s="93"/>
      <c r="ZI18" s="93"/>
      <c r="ZJ18" s="93"/>
      <c r="ZK18" s="93"/>
      <c r="ZL18" s="93"/>
      <c r="ZM18" s="93"/>
      <c r="ZN18" s="93"/>
      <c r="ZO18" s="93"/>
      <c r="ZP18" s="93"/>
      <c r="ZQ18" s="93"/>
      <c r="ZR18" s="93"/>
      <c r="ZS18" s="93"/>
      <c r="ZT18" s="93"/>
      <c r="ZU18" s="93"/>
      <c r="ZV18" s="93"/>
      <c r="ZW18" s="93"/>
      <c r="ZX18" s="93"/>
      <c r="ZY18" s="93"/>
      <c r="ZZ18" s="93"/>
      <c r="AAA18" s="93"/>
      <c r="AAB18" s="93"/>
      <c r="AAC18" s="93"/>
      <c r="AAD18" s="93"/>
      <c r="AAE18" s="93"/>
      <c r="AAF18" s="93"/>
      <c r="AAG18" s="93"/>
      <c r="AAH18" s="93"/>
      <c r="AAI18" s="93"/>
      <c r="AAJ18" s="93"/>
      <c r="AAK18" s="93"/>
      <c r="AAL18" s="93"/>
      <c r="AAM18" s="93"/>
      <c r="AAN18" s="93"/>
      <c r="AAO18" s="93"/>
      <c r="AAP18" s="93"/>
      <c r="AAQ18" s="93"/>
      <c r="AAR18" s="93"/>
      <c r="AAS18" s="93"/>
      <c r="AAT18" s="93"/>
      <c r="AAU18" s="93"/>
      <c r="AAV18" s="93"/>
      <c r="AAW18" s="93"/>
      <c r="AAX18" s="93"/>
      <c r="AAY18" s="93"/>
      <c r="AAZ18" s="93"/>
      <c r="ABA18" s="93"/>
      <c r="ABB18" s="93"/>
      <c r="ABC18" s="93"/>
      <c r="ABD18" s="93"/>
      <c r="ABE18" s="93"/>
      <c r="ABF18" s="93"/>
      <c r="ABG18" s="93"/>
      <c r="ABH18" s="93"/>
      <c r="ABI18" s="93"/>
      <c r="ABJ18" s="93"/>
      <c r="ABK18" s="93"/>
      <c r="ABL18" s="93"/>
      <c r="ABM18" s="93"/>
      <c r="ABN18" s="93"/>
      <c r="ABO18" s="93"/>
      <c r="ABP18" s="93"/>
      <c r="ABQ18" s="93"/>
      <c r="ABR18" s="93"/>
      <c r="ABS18" s="93"/>
      <c r="ABT18" s="93"/>
      <c r="ABU18" s="93"/>
      <c r="ABV18" s="93"/>
      <c r="ABW18" s="93"/>
      <c r="ABX18" s="93"/>
      <c r="ABY18" s="93"/>
      <c r="ABZ18" s="93"/>
      <c r="ACA18" s="93"/>
      <c r="ACB18" s="93"/>
      <c r="ACC18" s="93"/>
      <c r="ACD18" s="93"/>
      <c r="ACE18" s="93"/>
      <c r="ACF18" s="93"/>
      <c r="ACG18" s="93"/>
      <c r="ACH18" s="93"/>
      <c r="ACI18" s="93"/>
      <c r="ACJ18" s="93"/>
      <c r="ACK18" s="93"/>
      <c r="ACL18" s="93"/>
      <c r="ACM18" s="93"/>
      <c r="ACN18" s="93"/>
      <c r="ACO18" s="93"/>
      <c r="ACP18" s="93"/>
      <c r="ACQ18" s="93"/>
      <c r="ACR18" s="93"/>
      <c r="ACS18" s="93"/>
      <c r="ACT18" s="93"/>
      <c r="ACU18" s="93"/>
      <c r="ACV18" s="93"/>
      <c r="ACW18" s="93"/>
      <c r="ACX18" s="93"/>
      <c r="ACY18" s="93"/>
      <c r="ACZ18" s="93"/>
      <c r="ADA18" s="93"/>
      <c r="ADB18" s="93"/>
      <c r="ADC18" s="93"/>
      <c r="ADD18" s="93"/>
      <c r="ADE18" s="93"/>
      <c r="ADF18" s="93"/>
      <c r="ADG18" s="93"/>
      <c r="ADH18" s="93"/>
      <c r="ADI18" s="93"/>
      <c r="ADJ18" s="93"/>
      <c r="ADK18" s="93"/>
      <c r="ADL18" s="93"/>
      <c r="ADM18" s="93"/>
      <c r="ADN18" s="93"/>
      <c r="ADO18" s="93"/>
      <c r="ADP18" s="93"/>
      <c r="ADQ18" s="93"/>
      <c r="ADR18" s="93"/>
      <c r="ADS18" s="93"/>
      <c r="ADT18" s="93"/>
      <c r="ADU18" s="93"/>
      <c r="ADV18" s="93"/>
      <c r="ADW18" s="93"/>
      <c r="ADX18" s="93"/>
      <c r="ADY18" s="93"/>
      <c r="ADZ18" s="93"/>
      <c r="AEA18" s="93"/>
      <c r="AEB18" s="93"/>
      <c r="AEC18" s="93"/>
      <c r="AED18" s="93"/>
      <c r="AEE18" s="93"/>
      <c r="AEF18" s="93"/>
      <c r="AEG18" s="93"/>
      <c r="AEH18" s="93"/>
      <c r="AEI18" s="93"/>
      <c r="AEJ18" s="93"/>
      <c r="AEK18" s="93"/>
      <c r="AEL18" s="93"/>
      <c r="AEM18" s="93"/>
      <c r="AEN18" s="93"/>
      <c r="AEO18" s="93"/>
      <c r="AEP18" s="93"/>
      <c r="AEQ18" s="93"/>
      <c r="AER18" s="93"/>
      <c r="AES18" s="93"/>
      <c r="AET18" s="93"/>
      <c r="AEU18" s="93"/>
      <c r="AEV18" s="93"/>
      <c r="AEW18" s="93"/>
      <c r="AEX18" s="93"/>
      <c r="AEY18" s="93"/>
      <c r="AEZ18" s="93"/>
      <c r="AFA18" s="93"/>
      <c r="AFB18" s="93"/>
      <c r="AFC18" s="93"/>
      <c r="AFD18" s="93"/>
      <c r="AFE18" s="93"/>
      <c r="AFF18" s="93"/>
      <c r="AFG18" s="93"/>
      <c r="AFH18" s="93"/>
      <c r="AFI18" s="93"/>
      <c r="AFJ18" s="93"/>
      <c r="AFK18" s="93"/>
      <c r="AFL18" s="93"/>
      <c r="AFM18" s="93"/>
      <c r="AFN18" s="93"/>
      <c r="AFO18" s="93"/>
      <c r="AFP18" s="93"/>
      <c r="AFQ18" s="93"/>
      <c r="AFR18" s="93"/>
      <c r="AFS18" s="93"/>
      <c r="AFT18" s="93"/>
      <c r="AFU18" s="93"/>
      <c r="AFV18" s="93"/>
      <c r="AFW18" s="93"/>
      <c r="AFX18" s="93"/>
      <c r="AFY18" s="93"/>
      <c r="AFZ18" s="93"/>
      <c r="AGA18" s="93"/>
      <c r="AGB18" s="93"/>
      <c r="AGC18" s="93"/>
      <c r="AGD18" s="93"/>
      <c r="AGE18" s="93"/>
      <c r="AGF18" s="93"/>
      <c r="AGG18" s="93"/>
      <c r="AGH18" s="93"/>
      <c r="AGI18" s="93"/>
      <c r="AGJ18" s="93"/>
      <c r="AGK18" s="93"/>
      <c r="AGL18" s="93"/>
      <c r="AGM18" s="93"/>
      <c r="AGN18" s="93"/>
      <c r="AGO18" s="93"/>
      <c r="AGP18" s="93"/>
      <c r="AGQ18" s="93"/>
      <c r="AGR18" s="93"/>
      <c r="AGS18" s="93"/>
      <c r="AGT18" s="93"/>
      <c r="AGU18" s="93"/>
      <c r="AGV18" s="93"/>
      <c r="AGW18" s="93"/>
      <c r="AGX18" s="93"/>
      <c r="AGY18" s="93"/>
      <c r="AGZ18" s="93"/>
      <c r="AHA18" s="93"/>
      <c r="AHB18" s="93"/>
      <c r="AHC18" s="93"/>
      <c r="AHD18" s="93"/>
      <c r="AHE18" s="93"/>
      <c r="AHF18" s="93"/>
      <c r="AHG18" s="93"/>
      <c r="AHH18" s="93"/>
      <c r="AHI18" s="93"/>
      <c r="AHJ18" s="93"/>
      <c r="AHK18" s="93"/>
      <c r="AHL18" s="93"/>
      <c r="AHM18" s="93"/>
      <c r="AHN18" s="93"/>
      <c r="AHO18" s="93"/>
      <c r="AHP18" s="93"/>
      <c r="AHQ18" s="93"/>
      <c r="AHR18" s="93"/>
      <c r="AHS18" s="93"/>
      <c r="AHT18" s="93"/>
      <c r="AHU18" s="93"/>
      <c r="AHV18" s="93"/>
      <c r="AHW18" s="93"/>
      <c r="AHX18" s="93"/>
      <c r="AHY18" s="93"/>
      <c r="AHZ18" s="93"/>
      <c r="AIA18" s="93"/>
      <c r="AIB18" s="93"/>
      <c r="AIC18" s="93"/>
      <c r="AID18" s="93"/>
      <c r="AIE18" s="93"/>
      <c r="AIF18" s="93"/>
      <c r="AIG18" s="93"/>
      <c r="AIH18" s="93"/>
      <c r="AII18" s="93"/>
      <c r="AIJ18" s="93"/>
      <c r="AIK18" s="93"/>
      <c r="AIL18" s="93"/>
      <c r="AIM18" s="93"/>
      <c r="AIN18" s="93"/>
      <c r="AIO18" s="93"/>
      <c r="AIP18" s="93"/>
      <c r="AIQ18" s="93"/>
      <c r="AIR18" s="93"/>
      <c r="AIS18" s="93"/>
      <c r="AIT18" s="93"/>
      <c r="AIU18" s="93"/>
      <c r="AIV18" s="93"/>
      <c r="AIW18" s="93"/>
      <c r="AIX18" s="93"/>
      <c r="AIY18" s="93"/>
      <c r="AIZ18" s="93"/>
      <c r="AJA18" s="93"/>
      <c r="AJB18" s="93"/>
      <c r="AJC18" s="93"/>
      <c r="AJD18" s="93"/>
      <c r="AJE18" s="93"/>
      <c r="AJF18" s="93"/>
      <c r="AJG18" s="93"/>
      <c r="AJH18" s="93"/>
      <c r="AJI18" s="93"/>
      <c r="AJJ18" s="93"/>
      <c r="AJK18" s="93"/>
      <c r="AJL18" s="93"/>
      <c r="AJM18" s="93"/>
      <c r="AJN18" s="93"/>
      <c r="AJO18" s="93"/>
      <c r="AJP18" s="93"/>
      <c r="AJQ18" s="93"/>
      <c r="AJR18" s="93"/>
      <c r="AJS18" s="93"/>
      <c r="AJT18" s="93"/>
      <c r="AJU18" s="93"/>
      <c r="AJV18" s="93"/>
      <c r="AJW18" s="93"/>
      <c r="AJX18" s="93"/>
      <c r="AJY18" s="93"/>
      <c r="AJZ18" s="93"/>
      <c r="AKA18" s="93"/>
      <c r="AKB18" s="93"/>
      <c r="AKC18" s="93"/>
      <c r="AKD18" s="93"/>
      <c r="AKE18" s="93"/>
      <c r="AKF18" s="93"/>
      <c r="AKG18" s="93"/>
      <c r="AKH18" s="93"/>
      <c r="AKI18" s="93"/>
      <c r="AKJ18" s="93"/>
      <c r="AKK18" s="93"/>
      <c r="AKL18" s="93"/>
      <c r="AKM18" s="93"/>
      <c r="AKN18" s="93"/>
      <c r="AKO18" s="93"/>
      <c r="AKP18" s="93"/>
      <c r="AKQ18" s="93"/>
      <c r="AKR18" s="93"/>
      <c r="AKS18" s="93"/>
      <c r="AKT18" s="93"/>
      <c r="AKU18" s="93"/>
      <c r="AKV18" s="93"/>
      <c r="AKW18" s="93"/>
      <c r="AKX18" s="93"/>
      <c r="AKY18" s="93"/>
      <c r="AKZ18" s="93"/>
      <c r="ALA18" s="93"/>
      <c r="ALB18" s="93"/>
      <c r="ALC18" s="93"/>
      <c r="ALD18" s="93"/>
      <c r="ALE18" s="93"/>
      <c r="ALF18" s="93"/>
      <c r="ALG18" s="93"/>
      <c r="ALH18" s="93"/>
      <c r="ALI18" s="93"/>
      <c r="ALJ18" s="93"/>
      <c r="ALK18" s="93"/>
      <c r="ALL18" s="93"/>
      <c r="ALM18" s="93"/>
      <c r="ALN18" s="93"/>
      <c r="ALO18" s="93"/>
      <c r="ALP18" s="93"/>
      <c r="ALQ18" s="93"/>
      <c r="ALR18" s="93"/>
      <c r="ALS18" s="93"/>
      <c r="ALT18" s="93"/>
      <c r="ALU18" s="93"/>
      <c r="ALV18" s="93"/>
      <c r="ALW18" s="93"/>
      <c r="ALX18" s="93"/>
      <c r="ALY18" s="93"/>
      <c r="ALZ18" s="93"/>
      <c r="AMA18" s="93"/>
      <c r="AMB18" s="1"/>
    </row>
    <row r="19" customFormat="false" ht="63.2" hidden="false" customHeight="true" outlineLevel="0" collapsed="false">
      <c r="A19" s="43" t="s">
        <v>414</v>
      </c>
      <c r="B19" s="43" t="s">
        <v>348</v>
      </c>
      <c r="C19" s="45" t="s">
        <v>349</v>
      </c>
      <c r="D19" s="45" t="s">
        <v>685</v>
      </c>
      <c r="E19" s="43" t="s">
        <v>350</v>
      </c>
      <c r="F19" s="45" t="s">
        <v>686</v>
      </c>
      <c r="G19" s="45" t="s">
        <v>687</v>
      </c>
      <c r="H19" s="45" t="s">
        <v>352</v>
      </c>
      <c r="I19" s="45" t="s">
        <v>688</v>
      </c>
      <c r="J19" s="45" t="s">
        <v>689</v>
      </c>
      <c r="K19" s="45" t="s">
        <v>690</v>
      </c>
      <c r="L19" s="45" t="s">
        <v>691</v>
      </c>
      <c r="M19" s="45" t="s">
        <v>692</v>
      </c>
      <c r="N19" s="45" t="s">
        <v>439</v>
      </c>
      <c r="O19" s="45" t="s">
        <v>421</v>
      </c>
      <c r="P19" s="45" t="s">
        <v>422</v>
      </c>
      <c r="Q19" s="45" t="s">
        <v>423</v>
      </c>
      <c r="R19" s="45" t="s">
        <v>424</v>
      </c>
      <c r="S19" s="45" t="s">
        <v>425</v>
      </c>
      <c r="T19" s="45" t="s">
        <v>426</v>
      </c>
      <c r="U19" s="45" t="s">
        <v>693</v>
      </c>
      <c r="V19" s="45" t="s">
        <v>694</v>
      </c>
      <c r="W19" s="45" t="s">
        <v>695</v>
      </c>
      <c r="X19" s="45" t="s">
        <v>696</v>
      </c>
      <c r="Y19" s="45" t="s">
        <v>697</v>
      </c>
      <c r="Z19" s="45" t="s">
        <v>698</v>
      </c>
      <c r="AA19" s="45" t="s">
        <v>699</v>
      </c>
      <c r="AB19" s="45" t="s">
        <v>700</v>
      </c>
      <c r="AC19" s="46" t="s">
        <v>353</v>
      </c>
      <c r="AD19" s="46" t="s">
        <v>346</v>
      </c>
      <c r="AE19" s="46" t="s">
        <v>701</v>
      </c>
      <c r="AF19" s="46" t="s">
        <v>428</v>
      </c>
      <c r="AG19" s="46" t="s">
        <v>429</v>
      </c>
      <c r="AH19" s="43" t="s">
        <v>430</v>
      </c>
      <c r="AI19" s="45" t="s">
        <v>438</v>
      </c>
      <c r="AJ19" s="48" t="s">
        <v>440</v>
      </c>
      <c r="AK19" s="48" t="s">
        <v>601</v>
      </c>
      <c r="AL19" s="49" t="s">
        <v>450</v>
      </c>
      <c r="AM19" s="49" t="s">
        <v>451</v>
      </c>
      <c r="AN19" s="49" t="s">
        <v>351</v>
      </c>
      <c r="AO19" s="49" t="s">
        <v>452</v>
      </c>
      <c r="AP19" s="49" t="s">
        <v>702</v>
      </c>
      <c r="AQ19" s="49" t="s">
        <v>703</v>
      </c>
      <c r="AR19" s="45" t="s">
        <v>704</v>
      </c>
      <c r="AS19" s="45" t="s">
        <v>705</v>
      </c>
      <c r="AT19" s="45" t="s">
        <v>706</v>
      </c>
      <c r="AU19" s="45" t="s">
        <v>435</v>
      </c>
      <c r="AV19" s="45" t="s">
        <v>436</v>
      </c>
      <c r="AW19" s="45" t="s">
        <v>707</v>
      </c>
      <c r="AX19" s="45" t="s">
        <v>708</v>
      </c>
      <c r="AY19" s="45" t="s">
        <v>709</v>
      </c>
      <c r="AZ19" s="45" t="s">
        <v>710</v>
      </c>
      <c r="BA19" s="45" t="s">
        <v>711</v>
      </c>
      <c r="BB19" s="43" t="s">
        <v>561</v>
      </c>
      <c r="BC19" s="43" t="s">
        <v>442</v>
      </c>
      <c r="BD19" s="43" t="s">
        <v>443</v>
      </c>
      <c r="BE19" s="45" t="s">
        <v>444</v>
      </c>
      <c r="BF19" s="45" t="s">
        <v>445</v>
      </c>
      <c r="BG19" s="45" t="s">
        <v>712</v>
      </c>
      <c r="BH19" s="45" t="s">
        <v>713</v>
      </c>
      <c r="BI19" s="45" t="s">
        <v>714</v>
      </c>
      <c r="BJ19" s="95" t="n">
        <f aca="false">MIN(AL20:AL56)</f>
        <v>45658</v>
      </c>
      <c r="BK19" s="95" t="n">
        <f aca="false">BJ19+$DI$17</f>
        <v>45672.0192307692</v>
      </c>
      <c r="BL19" s="95" t="n">
        <f aca="false">BK19+$DI$17</f>
        <v>45686.0384615385</v>
      </c>
      <c r="BM19" s="95" t="n">
        <f aca="false">BL19+$DI$17</f>
        <v>45700.0576923077</v>
      </c>
      <c r="BN19" s="95" t="n">
        <f aca="false">BM19+$DI$17</f>
        <v>45714.0769230769</v>
      </c>
      <c r="BO19" s="95" t="n">
        <f aca="false">BN19+$DI$17</f>
        <v>45728.0961538462</v>
      </c>
      <c r="BP19" s="95" t="n">
        <f aca="false">BO19+$DI$17</f>
        <v>45742.1153846154</v>
      </c>
      <c r="BQ19" s="95" t="n">
        <f aca="false">BP19+$DI$17</f>
        <v>45756.1346153846</v>
      </c>
      <c r="BR19" s="95" t="n">
        <f aca="false">BQ19+$DI$17</f>
        <v>45770.1538461539</v>
      </c>
      <c r="BS19" s="95" t="n">
        <f aca="false">BR19+$DI$17</f>
        <v>45784.1730769231</v>
      </c>
      <c r="BT19" s="95" t="n">
        <f aca="false">BS19+$DI$17</f>
        <v>45798.1923076923</v>
      </c>
      <c r="BU19" s="95" t="n">
        <f aca="false">BT19+$DI$17</f>
        <v>45812.2115384616</v>
      </c>
      <c r="BV19" s="95" t="n">
        <f aca="false">BU19+$DI$17</f>
        <v>45826.2307692308</v>
      </c>
      <c r="BW19" s="95" t="n">
        <f aca="false">BV19+$DI$17</f>
        <v>45840.25</v>
      </c>
      <c r="BX19" s="95" t="n">
        <f aca="false">BW19+$DI$17</f>
        <v>45854.2692307693</v>
      </c>
      <c r="BY19" s="95" t="n">
        <f aca="false">BX19+$DI$17</f>
        <v>45868.2884615385</v>
      </c>
      <c r="BZ19" s="95" t="n">
        <f aca="false">BY19+$DI$17</f>
        <v>45882.3076923077</v>
      </c>
      <c r="CA19" s="95" t="n">
        <f aca="false">BZ19+$DI$17</f>
        <v>45896.326923077</v>
      </c>
      <c r="CB19" s="95" t="n">
        <f aca="false">CA19+$DI$17</f>
        <v>45910.3461538462</v>
      </c>
      <c r="CC19" s="95" t="n">
        <f aca="false">CB19+$DI$17</f>
        <v>45924.3653846155</v>
      </c>
      <c r="CD19" s="95" t="n">
        <f aca="false">CC19+$DI$17</f>
        <v>45938.3846153847</v>
      </c>
      <c r="CE19" s="95" t="n">
        <f aca="false">CD19+$DI$17</f>
        <v>45952.4038461539</v>
      </c>
      <c r="CF19" s="95" t="n">
        <f aca="false">CE19+$DI$17</f>
        <v>45966.4230769232</v>
      </c>
      <c r="CG19" s="95" t="n">
        <f aca="false">CF19+$DI$17</f>
        <v>45980.4423076924</v>
      </c>
      <c r="CH19" s="95" t="n">
        <f aca="false">CG19+$DI$17</f>
        <v>45994.4615384616</v>
      </c>
      <c r="CI19" s="95" t="n">
        <f aca="false">CH19+$DI$17</f>
        <v>46008.4807692309</v>
      </c>
      <c r="CJ19" s="95" t="n">
        <f aca="false">CI19+$DI$17</f>
        <v>46022.5000000001</v>
      </c>
      <c r="CK19" s="95" t="n">
        <f aca="false">CJ19+$DI$17</f>
        <v>46036.5192307693</v>
      </c>
      <c r="CL19" s="95" t="n">
        <f aca="false">CK19+$DI$17</f>
        <v>46050.5384615386</v>
      </c>
      <c r="CM19" s="95" t="n">
        <f aca="false">CL19+$DI$17</f>
        <v>46064.5576923078</v>
      </c>
      <c r="CN19" s="95" t="n">
        <f aca="false">CM19+$DI$17</f>
        <v>46078.576923077</v>
      </c>
      <c r="CO19" s="95" t="n">
        <f aca="false">CN19+$DI$17</f>
        <v>46092.5961538463</v>
      </c>
      <c r="CP19" s="95" t="n">
        <f aca="false">CO19+$DI$17</f>
        <v>46106.6153846155</v>
      </c>
      <c r="CQ19" s="95" t="n">
        <f aca="false">CP19+$DI$17</f>
        <v>46120.6346153847</v>
      </c>
      <c r="CR19" s="95" t="n">
        <f aca="false">CQ19+$DI$17</f>
        <v>46134.653846154</v>
      </c>
      <c r="CS19" s="95" t="n">
        <f aca="false">CR19+$DI$17</f>
        <v>46148.6730769232</v>
      </c>
      <c r="CT19" s="95" t="n">
        <f aca="false">CS19+$DI$17</f>
        <v>46162.6923076924</v>
      </c>
      <c r="CU19" s="95" t="n">
        <f aca="false">CT19+$DI$17</f>
        <v>46176.7115384617</v>
      </c>
      <c r="CV19" s="95" t="n">
        <f aca="false">CU19+$DI$17</f>
        <v>46190.7307692309</v>
      </c>
      <c r="CW19" s="95" t="n">
        <f aca="false">CV19+$DI$17</f>
        <v>46204.7500000001</v>
      </c>
      <c r="CX19" s="95" t="n">
        <f aca="false">CW19+$DI$17</f>
        <v>46218.7692307694</v>
      </c>
      <c r="CY19" s="95" t="n">
        <f aca="false">CX19+$DI$17</f>
        <v>46232.7884615386</v>
      </c>
      <c r="CZ19" s="95" t="n">
        <f aca="false">CY19+$DI$17</f>
        <v>46246.8076923078</v>
      </c>
      <c r="DA19" s="95" t="n">
        <f aca="false">CZ19+$DI$17</f>
        <v>46260.8269230771</v>
      </c>
      <c r="DB19" s="95" t="n">
        <f aca="false">DA19+$DI$17</f>
        <v>46274.8461538463</v>
      </c>
      <c r="DC19" s="95" t="n">
        <f aca="false">DB19+$DI$17</f>
        <v>46288.8653846155</v>
      </c>
      <c r="DD19" s="95" t="n">
        <f aca="false">DC19+$DI$17</f>
        <v>46302.8846153848</v>
      </c>
      <c r="DE19" s="95" t="n">
        <f aca="false">DD19+$DI$17</f>
        <v>46316.903846154</v>
      </c>
      <c r="DF19" s="95" t="n">
        <f aca="false">DE19+$DI$17</f>
        <v>46330.9230769232</v>
      </c>
      <c r="DG19" s="95" t="n">
        <f aca="false">DF19+$DI$17</f>
        <v>46344.9423076925</v>
      </c>
      <c r="DH19" s="95" t="n">
        <f aca="false">DG19+$DI$17</f>
        <v>46358.9615384617</v>
      </c>
      <c r="DI19" s="95" t="n">
        <f aca="false">MAX(AM:AM,DATE(YEAR($A$17),12,31))</f>
        <v>46387</v>
      </c>
      <c r="DJ19" s="43" t="s">
        <v>415</v>
      </c>
      <c r="DK19" s="43" t="s">
        <v>416</v>
      </c>
      <c r="DL19" s="43" t="s">
        <v>715</v>
      </c>
      <c r="DM19" s="96" t="s">
        <v>417</v>
      </c>
      <c r="DN19" s="96" t="s">
        <v>418</v>
      </c>
      <c r="DO19" s="96" t="s">
        <v>716</v>
      </c>
      <c r="DP19" s="96" t="s">
        <v>717</v>
      </c>
      <c r="DQ19" s="96" t="s">
        <v>718</v>
      </c>
      <c r="DR19" s="96" t="s">
        <v>719</v>
      </c>
      <c r="DS19" s="45" t="s">
        <v>720</v>
      </c>
      <c r="DT19" s="96" t="s">
        <v>721</v>
      </c>
      <c r="DU19" s="96" t="s">
        <v>722</v>
      </c>
      <c r="DV19" s="45" t="s">
        <v>723</v>
      </c>
      <c r="DW19" s="45" t="s">
        <v>724</v>
      </c>
      <c r="DX19" s="45" t="s">
        <v>725</v>
      </c>
      <c r="DY19" s="45" t="s">
        <v>726</v>
      </c>
      <c r="DZ19" s="45" t="s">
        <v>454</v>
      </c>
    </row>
    <row r="20" customFormat="false" ht="8.75" hidden="false" customHeight="true" outlineLevel="0" collapsed="false">
      <c r="A20" s="39" t="str">
        <f aca="false">A19</f>
        <v>A</v>
      </c>
      <c r="B20" s="39" t="str">
        <f aca="false">B19</f>
        <v>Item Type</v>
      </c>
      <c r="C20" s="51" t="str">
        <f aca="false">C19</f>
        <v>Lvl</v>
      </c>
      <c r="D20" s="51" t="str">
        <f aca="false">AD19</f>
        <v>Sort</v>
      </c>
      <c r="E20" s="39" t="str">
        <f aca="false">E19</f>
        <v>Self</v>
      </c>
      <c r="F20" s="51" t="str">
        <f aca="false">F19</f>
        <v>Self Pty</v>
      </c>
      <c r="G20" s="51" t="str">
        <f aca="false">G19</f>
        <v>Self+1</v>
      </c>
      <c r="H20" s="51" t="str">
        <f aca="false">H19</f>
        <v>Self+1 Pty</v>
      </c>
      <c r="I20" s="51" t="str">
        <f aca="false">I19</f>
        <v>Self+2</v>
      </c>
      <c r="J20" s="51" t="str">
        <f aca="false">J19</f>
        <v>Self+2 Pty</v>
      </c>
      <c r="K20" s="51" t="str">
        <f aca="false">K19</f>
        <v>Self+3</v>
      </c>
      <c r="L20" s="51" t="str">
        <f aca="false">L19</f>
        <v>Self+3 Pty</v>
      </c>
      <c r="M20" s="51" t="str">
        <f aca="false">M19</f>
        <v>Report Status</v>
      </c>
      <c r="N20" s="51" t="str">
        <f aca="false">N19</f>
        <v>Status</v>
      </c>
      <c r="O20" s="51" t="str">
        <f aca="false">O19</f>
        <v>Tasks Open</v>
      </c>
      <c r="P20" s="51" t="str">
        <f aca="false">P19</f>
        <v>Tasks Started</v>
      </c>
      <c r="Q20" s="51" t="str">
        <f aca="false">Q19</f>
        <v>Tasks Pending</v>
      </c>
      <c r="R20" s="51" t="str">
        <f aca="false">R19</f>
        <v>Tasks Urgent</v>
      </c>
      <c r="S20" s="51" t="str">
        <f aca="false">S19</f>
        <v>Tasks Done</v>
      </c>
      <c r="T20" s="51" t="str">
        <f aca="false">T19</f>
        <v>Tasks Total</v>
      </c>
      <c r="U20" s="51" t="str">
        <f aca="false">U19</f>
        <v>Target Drill / Action Effort</v>
      </c>
      <c r="V20" s="51" t="str">
        <f aca="false">V19</f>
        <v>Target Sub / Stream Effort</v>
      </c>
      <c r="W20" s="51" t="str">
        <f aca="false">W19</f>
        <v>Target Routine / Project Effort</v>
      </c>
      <c r="X20" s="51" t="str">
        <f aca="false">X19</f>
        <v>Target Venture Effort</v>
      </c>
      <c r="Y20" s="51"/>
      <c r="Z20" s="51" t="str">
        <f aca="false">Z19</f>
        <v>Actual Sub / Stream Effort</v>
      </c>
      <c r="AA20" s="51" t="str">
        <f aca="false">AA19</f>
        <v>Actual Routine / Project Effort</v>
      </c>
      <c r="AB20" s="51" t="str">
        <f aca="false">AB19</f>
        <v>Actual Venture Effort</v>
      </c>
      <c r="AC20" s="51" t="str">
        <f aca="false">AC19</f>
        <v>Key</v>
      </c>
      <c r="AD20" s="39" t="str">
        <f aca="false">AD19</f>
        <v>Sort</v>
      </c>
      <c r="AE20" s="39" t="str">
        <f aca="false">AE19</f>
        <v>Active?</v>
      </c>
      <c r="AF20" s="51" t="str">
        <f aca="false">AF19</f>
        <v>Rep ?</v>
      </c>
      <c r="AG20" s="39" t="str">
        <f aca="false">AG19</f>
        <v>Force Rep?</v>
      </c>
      <c r="AH20" s="39" t="str">
        <f aca="false">AH19</f>
        <v>Tag</v>
      </c>
      <c r="AI20" s="51" t="str">
        <f aca="false">AI19</f>
        <v>Planning Type</v>
      </c>
      <c r="AJ20" s="52" t="str">
        <f aca="false">AJ19</f>
        <v>Name</v>
      </c>
      <c r="AK20" s="52" t="str">
        <f aca="false">AK19</f>
        <v>Overview</v>
      </c>
      <c r="AL20" s="51" t="str">
        <f aca="false">AL19</f>
        <v>Start Date</v>
      </c>
      <c r="AM20" s="51" t="str">
        <f aca="false">AM19</f>
        <v>End Date</v>
      </c>
      <c r="AN20" s="51" t="str">
        <f aca="false">AN19</f>
        <v>Hold Date</v>
      </c>
      <c r="AO20" s="51" t="str">
        <f aca="false">AO19</f>
        <v>Complete Date</v>
      </c>
      <c r="AP20" s="51" t="str">
        <f aca="false">AP19</f>
        <v>Target Effort</v>
      </c>
      <c r="AQ20" s="51" t="str">
        <f aca="false">AQ19</f>
        <v>Actual Effort</v>
      </c>
      <c r="AR20" s="51" t="str">
        <f aca="false">AR19</f>
        <v>Whom By</v>
      </c>
      <c r="AS20" s="51" t="str">
        <f aca="false">AS19</f>
        <v>Whom For</v>
      </c>
      <c r="AT20" s="51" t="str">
        <f aca="false">AS19</f>
        <v>Whom For</v>
      </c>
      <c r="AU20" s="51" t="str">
        <f aca="false">AU19</f>
        <v>Goal</v>
      </c>
      <c r="AV20" s="51" t="str">
        <f aca="false">AV19</f>
        <v>Sub-Goal</v>
      </c>
      <c r="AW20" s="51" t="str">
        <f aca="false">AW19</f>
        <v>Target Revenue Increase</v>
      </c>
      <c r="AX20" s="51" t="str">
        <f aca="false">AX19</f>
        <v>Target Cost Savings</v>
      </c>
      <c r="AY20" s="51" t="str">
        <f aca="false">AY19</f>
        <v>Target Risk Avoidance</v>
      </c>
      <c r="AZ20" s="51" t="str">
        <f aca="false">AZ19</f>
        <v>Target Project Cost</v>
      </c>
      <c r="BA20" s="51" t="str">
        <f aca="false">BA19</f>
        <v>Actual Project Cost</v>
      </c>
      <c r="BB20" s="39" t="str">
        <f aca="false">BB19</f>
        <v>Reference</v>
      </c>
      <c r="BC20" s="39" t="str">
        <f aca="false">BC19</f>
        <v>Notes</v>
      </c>
      <c r="BD20" s="39" t="str">
        <f aca="false">AR19</f>
        <v>Whom By</v>
      </c>
      <c r="BE20" s="51" t="str">
        <f aca="false">BE19</f>
        <v>Tasks Left </v>
      </c>
      <c r="BF20" s="51" t="str">
        <f aca="false">BF19</f>
        <v>Task Progress</v>
      </c>
      <c r="BG20" s="51" t="str">
        <f aca="false">BG19</f>
        <v>Total Target Effort</v>
      </c>
      <c r="BH20" s="51" t="str">
        <f aca="false">BH19</f>
        <v>Total Actual Effort</v>
      </c>
      <c r="BI20" s="51" t="str">
        <f aca="false">BI19</f>
        <v>Effort %</v>
      </c>
      <c r="BJ20" s="97" t="n">
        <f aca="false">BJ19</f>
        <v>45658</v>
      </c>
      <c r="BK20" s="97" t="n">
        <f aca="false">BK19</f>
        <v>45672.0192307692</v>
      </c>
      <c r="BL20" s="97" t="n">
        <f aca="false">BL19</f>
        <v>45686.0384615385</v>
      </c>
      <c r="BM20" s="97" t="n">
        <f aca="false">BM19</f>
        <v>45700.0576923077</v>
      </c>
      <c r="BN20" s="97" t="n">
        <f aca="false">BN19</f>
        <v>45714.0769230769</v>
      </c>
      <c r="BO20" s="97" t="n">
        <f aca="false">BO19</f>
        <v>45728.0961538462</v>
      </c>
      <c r="BP20" s="97" t="n">
        <f aca="false">BP19</f>
        <v>45742.1153846154</v>
      </c>
      <c r="BQ20" s="97" t="n">
        <f aca="false">BQ19</f>
        <v>45756.1346153846</v>
      </c>
      <c r="BR20" s="97" t="n">
        <f aca="false">BR19</f>
        <v>45770.1538461539</v>
      </c>
      <c r="BS20" s="97" t="n">
        <f aca="false">BS19</f>
        <v>45784.1730769231</v>
      </c>
      <c r="BT20" s="97" t="n">
        <f aca="false">BT19</f>
        <v>45798.1923076923</v>
      </c>
      <c r="BU20" s="97" t="n">
        <f aca="false">BU19</f>
        <v>45812.2115384616</v>
      </c>
      <c r="BV20" s="97" t="n">
        <f aca="false">BV19</f>
        <v>45826.2307692308</v>
      </c>
      <c r="BW20" s="97" t="n">
        <f aca="false">BW19</f>
        <v>45840.25</v>
      </c>
      <c r="BX20" s="97" t="n">
        <f aca="false">BX19</f>
        <v>45854.2692307693</v>
      </c>
      <c r="BY20" s="97" t="n">
        <f aca="false">BY19</f>
        <v>45868.2884615385</v>
      </c>
      <c r="BZ20" s="97" t="n">
        <f aca="false">BZ19</f>
        <v>45882.3076923077</v>
      </c>
      <c r="CA20" s="97" t="n">
        <f aca="false">CA19</f>
        <v>45896.326923077</v>
      </c>
      <c r="CB20" s="97" t="n">
        <f aca="false">CB19</f>
        <v>45910.3461538462</v>
      </c>
      <c r="CC20" s="97" t="n">
        <f aca="false">CC19</f>
        <v>45924.3653846155</v>
      </c>
      <c r="CD20" s="97" t="n">
        <f aca="false">CD19</f>
        <v>45938.3846153847</v>
      </c>
      <c r="CE20" s="97" t="n">
        <f aca="false">CE19</f>
        <v>45952.4038461539</v>
      </c>
      <c r="CF20" s="97" t="n">
        <f aca="false">CF19</f>
        <v>45966.4230769232</v>
      </c>
      <c r="CG20" s="97" t="n">
        <f aca="false">CG19</f>
        <v>45980.4423076924</v>
      </c>
      <c r="CH20" s="97" t="n">
        <f aca="false">CH19</f>
        <v>45994.4615384616</v>
      </c>
      <c r="CI20" s="97" t="n">
        <f aca="false">CI19</f>
        <v>46008.4807692309</v>
      </c>
      <c r="CJ20" s="97" t="n">
        <f aca="false">CJ19</f>
        <v>46022.5000000001</v>
      </c>
      <c r="CK20" s="97" t="n">
        <f aca="false">CK19</f>
        <v>46036.5192307693</v>
      </c>
      <c r="CL20" s="97" t="n">
        <f aca="false">CL19</f>
        <v>46050.5384615386</v>
      </c>
      <c r="CM20" s="97" t="n">
        <f aca="false">CM19</f>
        <v>46064.5576923078</v>
      </c>
      <c r="CN20" s="97" t="n">
        <f aca="false">CN19</f>
        <v>46078.576923077</v>
      </c>
      <c r="CO20" s="97" t="n">
        <f aca="false">CO19</f>
        <v>46092.5961538463</v>
      </c>
      <c r="CP20" s="97" t="n">
        <f aca="false">CP19</f>
        <v>46106.6153846155</v>
      </c>
      <c r="CQ20" s="97" t="n">
        <f aca="false">CQ19</f>
        <v>46120.6346153847</v>
      </c>
      <c r="CR20" s="97" t="n">
        <f aca="false">CR19</f>
        <v>46134.653846154</v>
      </c>
      <c r="CS20" s="97" t="n">
        <f aca="false">CS19</f>
        <v>46148.6730769232</v>
      </c>
      <c r="CT20" s="97" t="n">
        <f aca="false">CT19</f>
        <v>46162.6923076924</v>
      </c>
      <c r="CU20" s="97" t="n">
        <f aca="false">CU19</f>
        <v>46176.7115384617</v>
      </c>
      <c r="CV20" s="97" t="n">
        <f aca="false">CV19</f>
        <v>46190.7307692309</v>
      </c>
      <c r="CW20" s="97" t="n">
        <f aca="false">CW19</f>
        <v>46204.7500000001</v>
      </c>
      <c r="CX20" s="97" t="n">
        <f aca="false">CX19</f>
        <v>46218.7692307694</v>
      </c>
      <c r="CY20" s="97" t="n">
        <f aca="false">CY19</f>
        <v>46232.7884615386</v>
      </c>
      <c r="CZ20" s="97" t="n">
        <f aca="false">CZ19</f>
        <v>46246.8076923078</v>
      </c>
      <c r="DA20" s="97" t="n">
        <f aca="false">DA19</f>
        <v>46260.8269230771</v>
      </c>
      <c r="DB20" s="97" t="n">
        <f aca="false">DB19</f>
        <v>46274.8461538463</v>
      </c>
      <c r="DC20" s="97" t="n">
        <f aca="false">DC19</f>
        <v>46288.8653846155</v>
      </c>
      <c r="DD20" s="97" t="n">
        <f aca="false">DD19</f>
        <v>46302.8846153848</v>
      </c>
      <c r="DE20" s="97" t="n">
        <f aca="false">DE19</f>
        <v>46316.903846154</v>
      </c>
      <c r="DF20" s="97" t="n">
        <f aca="false">DF19</f>
        <v>46330.9230769232</v>
      </c>
      <c r="DG20" s="97" t="n">
        <f aca="false">DG19</f>
        <v>46344.9423076925</v>
      </c>
      <c r="DH20" s="97" t="n">
        <f aca="false">DH19</f>
        <v>46358.9615384617</v>
      </c>
      <c r="DI20" s="97" t="n">
        <f aca="false">DI19</f>
        <v>46387</v>
      </c>
      <c r="DJ20" s="39" t="str">
        <f aca="false">DJ19</f>
        <v>First Note</v>
      </c>
      <c r="DK20" s="39" t="str">
        <f aca="false">DK19</f>
        <v>Last Note</v>
      </c>
      <c r="DL20" s="39" t="str">
        <f aca="false">DL19</f>
        <v>Last Task</v>
      </c>
      <c r="DM20" s="39" t="str">
        <f aca="false">DM19</f>
        <v>First Note Date</v>
      </c>
      <c r="DN20" s="39" t="str">
        <f aca="false">DN19</f>
        <v>Last Note Date</v>
      </c>
      <c r="DO20" s="39" t="str">
        <f aca="false">DO19</f>
        <v>Created Date</v>
      </c>
      <c r="DP20" s="39" t="str">
        <f aca="false">DP19</f>
        <v>Updated Date</v>
      </c>
      <c r="DQ20" s="39" t="str">
        <f aca="false">DQ19</f>
        <v>Days since Creation</v>
      </c>
      <c r="DR20" s="39" t="str">
        <f aca="false">DR19</f>
        <v>Days since Update Date</v>
      </c>
      <c r="DS20" s="51" t="str">
        <f aca="false">DS19</f>
        <v>WK since Updated</v>
      </c>
      <c r="DT20" s="98" t="str">
        <f aca="false">DT19</f>
        <v>Days Overdue</v>
      </c>
      <c r="DU20" s="98" t="str">
        <f aca="false">DU19</f>
        <v>Days to End Date</v>
      </c>
      <c r="DV20" s="51" t="str">
        <f aca="false">DV19</f>
        <v>Run / Chg</v>
      </c>
      <c r="DW20" s="51" t="str">
        <f aca="false">DW19</f>
        <v>Color</v>
      </c>
      <c r="DX20" s="51" t="str">
        <f aca="false">DX19</f>
        <v>Dynamic Gannt Chart Start</v>
      </c>
      <c r="DY20" s="51" t="str">
        <f aca="false">DY19</f>
        <v>Dynamic Cantt Chart End</v>
      </c>
      <c r="DZ20" s="51" t="str">
        <f aca="false">DZ19</f>
        <v>Z</v>
      </c>
    </row>
    <row r="21" customFormat="false" ht="14.15" hidden="false" customHeight="true" outlineLevel="0" collapsed="false">
      <c r="A21" s="54"/>
      <c r="B21" s="61" t="str">
        <f aca="false">AI21</f>
        <v>Venture</v>
      </c>
      <c r="C21" s="60" t="n">
        <f aca="false">IFERROR(INDEX(Static!$D$5:$F$13,MATCH(AI21,Static!$D$5:$D$13,0),3),90000000)</f>
        <v>10000000</v>
      </c>
      <c r="D21" s="60" t="str">
        <f aca="false">MID(C21,2,1)</f>
        <v>0</v>
      </c>
      <c r="E21" s="61" t="str">
        <f aca="false">AC21</f>
        <v>VNT</v>
      </c>
      <c r="F21" s="60" t="n">
        <f aca="false">IF(B21="Venture",0,IF(OR(B21="Project",B21="Stream",B21="Action"),AL21,0))</f>
        <v>0</v>
      </c>
      <c r="G21" s="60" t="str">
        <f aca="false">AT21</f>
        <v>VNT</v>
      </c>
      <c r="H21" s="60" t="n">
        <f aca="false">IF(B21="Venture",0,IFERROR(INDEX($E$20:$F$55,MATCH(G21,$E$20:$E$55,0),2),0))</f>
        <v>0</v>
      </c>
      <c r="I21" s="60" t="n">
        <f aca="false">IF(B21="Venture",0,IFERROR(INDEX($E$20:$G$55,MATCH(G21,$E$20:$E$55,0),3),""))</f>
        <v>0</v>
      </c>
      <c r="J21" s="60" t="n">
        <f aca="false">IF(B21="Venture",0,IFERROR(INDEX($E$20:$H$55,MATCH(G21,$E$20:$E$55,0),4),0))</f>
        <v>0</v>
      </c>
      <c r="K21" s="60" t="n">
        <f aca="false">IF(B21="Venture",0,IFERROR(INDEX($E$20:$G$55,MATCH(I21,$E$20:$E$55,0),3),""))</f>
        <v>0</v>
      </c>
      <c r="L21" s="60" t="n">
        <f aca="false">IF(C21="Venture",0,IFERROR(INDEX($E$20:$G$55,MATCH(J21,$E$20:$E$55,0),4),0))</f>
        <v>0</v>
      </c>
      <c r="M21" s="60" t="str">
        <f aca="false">IF(N21="Completed","Completed","Ongoing")</f>
        <v>Ongoing</v>
      </c>
      <c r="N21" s="60" t="str">
        <f aca="false">IF(OR(AI21="Venture",AI21="Routine",AI21="Run Goal", AI21="Chg Goal", AI21=""),AI21,IF(AO21&lt;&gt;"","Completed",IF(AN21&lt;&gt;"","Pending",IF(AND(AM21&lt;&gt;"",$A$17&gt;AM21),"Overdue",IF($A$17&gt;AL21,"Started","Open")))))</f>
        <v>Venture</v>
      </c>
      <c r="O21" s="59" t="n">
        <f aca="false">((LEN($BD21)-LEN(SUBSTITUTE($BD21,CHAR(10)&amp;". ","")))/3)+IF(LEFT(TRIM($BD21),2)=". ",1,0)</f>
        <v>2</v>
      </c>
      <c r="P21" s="59" t="n">
        <f aca="false">((LEN($BD21)-LEN(SUBSTITUTE($BD21,CHAR(10)&amp;"/ ","")))/3)+IF(LEFT(TRIM($BD21),2)="/ ",1,0)</f>
        <v>1</v>
      </c>
      <c r="Q21" s="59" t="n">
        <f aca="false">((LEN($BD21)-LEN(SUBSTITUTE($BD21,CHAR(10)&amp;"~ ","")))/3)+IF(LEFT(TRIM($BD21),2)="~ ",1,0)</f>
        <v>1</v>
      </c>
      <c r="R21" s="59" t="n">
        <f aca="false">((LEN($BD21)-LEN(SUBSTITUTE($BD21,CHAR(10)&amp;"! ","")))/3)+IF(LEFT(TRIM($BD21),2)="! ",1,0)</f>
        <v>1</v>
      </c>
      <c r="S21" s="59" t="n">
        <f aca="false">((LEN($BD21)-LEN(SUBSTITUTE($BD21,CHAR(10)&amp;"x ","")))/3)+IF(LEFT(TRIM($BD21),2)="x ",1,0)</f>
        <v>1</v>
      </c>
      <c r="T21" s="59" t="n">
        <f aca="false">SUM(O21:S21)</f>
        <v>6</v>
      </c>
      <c r="U21" s="60" t="n">
        <f aca="false">IF(OR($B21="Drill",$B21="Action"),$AP21,0)</f>
        <v>0</v>
      </c>
      <c r="V21" s="60" t="n">
        <f aca="false">IF(OR($B21="Sub",$B21="Stream"),$AP21+SUMIFS($AP$20:$AP$55,$G$20:$G$55,$E21),0)</f>
        <v>0</v>
      </c>
      <c r="W21" s="60" t="n">
        <f aca="false">IF(OR($B21="Routine",$B21="Project"),$AP21+SUMIFS($V$20:$V$55,$G$20:$G$55,$E21),0)</f>
        <v>0</v>
      </c>
      <c r="X21" s="60" t="n">
        <f aca="false">IF($B21="Venture",$AP21+SUMIFS($W$20:$W$55,$G$20:$G$55,$E21),0)</f>
        <v>0</v>
      </c>
      <c r="Y21" s="60" t="n">
        <f aca="false">IF(OR($B21="Drill",$B21="Action"),$AQ21,0)</f>
        <v>0</v>
      </c>
      <c r="Z21" s="60" t="n">
        <f aca="false">IF(OR($B21="Sub",$B21="Stream"),$AQ21+SUMIFS($AQ$20:$AQ$55,$G$20:$G$55,$E21),0)</f>
        <v>0</v>
      </c>
      <c r="AA21" s="60" t="n">
        <f aca="false">IF(OR($B21="Routine",$B21="Project"),$AQ21+SUMIFS($Z$20:$Z$55,$G$20:$G$55,$E21),0)</f>
        <v>0</v>
      </c>
      <c r="AB21" s="60" t="n">
        <f aca="false">IF($B21="Venture",$AQ21+SUMIFS($AA$20:$AA$55,$G$20:$G$55,$E21),0)</f>
        <v>0</v>
      </c>
      <c r="AC21" s="60" t="str">
        <f aca="false">IF(AI21="Venture",AJ21,AI21&amp;AJ21)</f>
        <v>VNT</v>
      </c>
      <c r="AD21" s="61" t="str">
        <f aca="false">"  -  "&amp;IF(E21="","ZZZ",D21&amp;AF21&amp;IF(OR(B21="Run Goal",B21="Chg Goal", B21="Venture"),F21&amp;E21,IF(OR(B21="Routine",B21="Project"),H21&amp;G21&amp;F21&amp;E21,  IF(OR(B21="Sub",B21="Stream"),J21&amp;I21&amp;H21&amp;G21&amp;F21&amp;E21,IF(OR(B21="Drill",B21="Action"),L21&amp;K21&amp;J21&amp;I21&amp;H21&amp;G21&amp;F21&amp;E21,     "") )    )))</f>
        <v>  -  0N0VNT</v>
      </c>
      <c r="AE21" s="60" t="str">
        <f aca="false">IF(AND(AN21="",AO21=""),"Y","N")</f>
        <v>Y</v>
      </c>
      <c r="AF21" s="99" t="str">
        <f aca="false">IF(OR(AG21="Y",AG21="Y"),AG21,IF(DN21="none","N",IF(DN21&gt;($A$17-WEEKDAY($A$17,2)-(7*$AF$18)),"Y","N")))</f>
        <v>N</v>
      </c>
      <c r="AG21" s="100"/>
      <c r="AH21" s="101"/>
      <c r="AI21" s="62" t="s">
        <v>727</v>
      </c>
      <c r="AJ21" s="64" t="s">
        <v>356</v>
      </c>
      <c r="AK21" s="64" t="s">
        <v>728</v>
      </c>
      <c r="AL21" s="70" t="n">
        <v>45658</v>
      </c>
      <c r="AM21" s="70" t="n">
        <v>46022</v>
      </c>
      <c r="AN21" s="70"/>
      <c r="AO21" s="70"/>
      <c r="AP21" s="102"/>
      <c r="AQ21" s="102"/>
      <c r="AR21" s="62" t="s">
        <v>729</v>
      </c>
      <c r="AS21" s="62" t="s">
        <v>605</v>
      </c>
      <c r="AT21" s="62" t="s">
        <v>356</v>
      </c>
      <c r="AU21" s="62"/>
      <c r="AV21" s="62"/>
      <c r="AW21" s="62"/>
      <c r="AX21" s="62"/>
      <c r="AY21" s="62"/>
      <c r="AZ21" s="62"/>
      <c r="BA21" s="62"/>
      <c r="BB21" s="54"/>
      <c r="BC21" s="103" t="s">
        <v>730</v>
      </c>
      <c r="BD21" s="103" t="s">
        <v>731</v>
      </c>
      <c r="BE21" s="60" t="n">
        <f aca="false">SUM(O21:R21)</f>
        <v>5</v>
      </c>
      <c r="BF21" s="66" t="n">
        <f aca="false">IF(AJ21="",1,IF(T21&lt;&gt;0,(P21*0.5+S21)/T21,1))</f>
        <v>0.25</v>
      </c>
      <c r="BG21" s="69" t="n">
        <f aca="false">IF(AI21="","",IF(AI21="Venture",X21,IF(OR(AI21="Chg Goal",AI21="RUn Goal"),W21,IF(OR(AI21="ROutine",AI21="Project"),W21,IF(OR(AI21="Sub",AI21="Stream"),V21,IF(OR(AI21="Drill",AI21="Action"),U21,0))))))</f>
        <v>0</v>
      </c>
      <c r="BH21" s="69" t="n">
        <f aca="false">IF(AI21="","",IF(AI21="Venture",AB21,IF(OR(AI21="Chg Goal",AI21="RUn Goal"),AA21,IF(OR(AI21="ROutine",AI21="Project"),AA21,IF(OR(AI21="Sub",AI21="Stream"),Z21,IF(OR(AI21="Drill",AI21="Action"),Y21,0))))))</f>
        <v>0</v>
      </c>
      <c r="BI21" s="104" t="n">
        <f aca="false">IF(AJ21="","",IF(OR(BG21=0, BG21=""),0,BH21/BG21))</f>
        <v>0</v>
      </c>
      <c r="BJ21" s="105" t="str">
        <f aca="false">IF(    OR(   AND($C21=10000000,    BJ$19&gt;=$A$17,      BJ$19 &lt;($A$17+$DI$17)   ),   AND($C21&lt;&gt;10000000,  BJ$19&gt;=$DX21,    BJ$19&lt;=($DY21+$DI$17)  ))   ,$DW21,  "")</f>
        <v/>
      </c>
      <c r="BK21" s="106" t="str">
        <f aca="false">IF(    OR(   AND($C21=10000000,    $A$17&lt;=BK$19,      ($A$17+$DI$17)&gt;BK$19    ),   AND($C21&lt;&gt;10000000,  BK$19&gt;=$DX21,    BK$19&lt;=($DY21+$DI$17)  ))   ,$DW21,  "")</f>
        <v/>
      </c>
      <c r="BL21" s="106" t="str">
        <f aca="false">IF(    OR(   AND($C21=10000000,    $A$17&lt;=BL$19,      ($A$17+$DI$17)&gt;BL$19    ),   AND($C21&lt;&gt;10000000,  BL$19&gt;=$DX21,    BL$19&lt;=($DY21+$DI$17)  ))   ,$DW21,  "")</f>
        <v/>
      </c>
      <c r="BM21" s="106" t="str">
        <f aca="false">IF(    OR(   AND($C21=10000000,    $A$17&lt;=BM$19,      ($A$17+$DI$17)&gt;BM$19    ),   AND($C21&lt;&gt;10000000,  BM$19&gt;=$DX21,    BM$19&lt;=($DY21+$DI$17)  ))   ,$DW21,  "")</f>
        <v/>
      </c>
      <c r="BN21" s="106" t="str">
        <f aca="false">IF(    OR(   AND($C21=10000000,    $A$17&lt;=BN$19,      ($A$17+$DI$17)&gt;BN$19    ),   AND($C21&lt;&gt;10000000,  BN$19&gt;=$DX21,    BN$19&lt;=($DY21+$DI$17)  ))   ,$DW21,  "")</f>
        <v/>
      </c>
      <c r="BO21" s="106" t="str">
        <f aca="false">IF(    OR(   AND($C21=10000000,    $A$17&lt;=BO$19,      ($A$17+$DI$17)&gt;BO$19    ),   AND($C21&lt;&gt;10000000,  BO$19&gt;=$DX21,    BO$19&lt;=($DY21+$DI$17)  ))   ,$DW21,  "")</f>
        <v/>
      </c>
      <c r="BP21" s="106" t="str">
        <f aca="false">IF(    OR(   AND($C21=10000000,    $A$17&lt;=BP$19,      ($A$17+$DI$17)&gt;BP$19    ),   AND($C21&lt;&gt;10000000,  BP$19&gt;=$DX21,    BP$19&lt;=($DY21+$DI$17)  ))   ,$DW21,  "")</f>
        <v/>
      </c>
      <c r="BQ21" s="106" t="str">
        <f aca="false">IF(    OR(   AND($C21=10000000,    $A$17&lt;=BQ$19,      ($A$17+$DI$17)&gt;BQ$19    ),   AND($C21&lt;&gt;10000000,  BQ$19&gt;=$DX21,    BQ$19&lt;=($DY21+$DI$17)  ))   ,$DW21,  "")</f>
        <v/>
      </c>
      <c r="BR21" s="106" t="str">
        <f aca="false">IF(    OR(   AND($C21=10000000,    $A$17&lt;=BR$19,      ($A$17+$DI$17)&gt;BR$19    ),   AND($C21&lt;&gt;10000000,  BR$19&gt;=$DX21,    BR$19&lt;=($DY21+$DI$17)  ))   ,$DW21,  "")</f>
        <v/>
      </c>
      <c r="BS21" s="106" t="str">
        <f aca="false">IF(    OR(   AND($C21=10000000,    $A$17&lt;=BS$19,      ($A$17+$DI$17)&gt;BS$19    ),   AND($C21&lt;&gt;10000000,  BS$19&gt;=$DX21,    BS$19&lt;=($DY21+$DI$17)  ))   ,$DW21,  "")</f>
        <v/>
      </c>
      <c r="BT21" s="106" t="str">
        <f aca="false">IF(    OR(   AND($C21=10000000,    $A$17&lt;=BT$19,      ($A$17+$DI$17)&gt;BT$19    ),   AND($C21&lt;&gt;10000000,  BT$19&gt;=$DX21,    BT$19&lt;=($DY21+$DI$17)  ))   ,$DW21,  "")</f>
        <v/>
      </c>
      <c r="BU21" s="106" t="str">
        <f aca="false">IF(    OR(   AND($C21=10000000,    $A$17&lt;=BU$19,      ($A$17+$DI$17)&gt;BU$19    ),   AND($C21&lt;&gt;10000000,  BU$19&gt;=$DX21,    BU$19&lt;=($DY21+$DI$17)  ))   ,$DW21,  "")</f>
        <v/>
      </c>
      <c r="BV21" s="106" t="str">
        <f aca="false">IF(    OR(   AND($C21=10000000,    $A$17&lt;=BV$19,      ($A$17+$DI$17)&gt;BV$19    ),   AND($C21&lt;&gt;10000000,  BV$19&gt;=$DX21,    BV$19&lt;=($DY21+$DI$17)  ))   ,$DW21,  "")</f>
        <v/>
      </c>
      <c r="BW21" s="106" t="str">
        <f aca="false">IF(    OR(   AND($C21=10000000,    $A$17&lt;=BW$19,      ($A$17+$DI$17)&gt;BW$19    ),   AND($C21&lt;&gt;10000000,  BW$19&gt;=$DX21,    BW$19&lt;=($DY21+$DI$17)  ))   ,$DW21,  "")</f>
        <v/>
      </c>
      <c r="BX21" s="106" t="str">
        <f aca="false">IF(    OR(   AND($C21=10000000,    $A$17&lt;=BX$19,      ($A$17+$DI$17)&gt;BX$19    ),   AND($C21&lt;&gt;10000000,  BX$19&gt;=$DX21,    BX$19&lt;=($DY21+$DI$17)  ))   ,$DW21,  "")</f>
        <v/>
      </c>
      <c r="BY21" s="106" t="str">
        <f aca="false">IF(    OR(   AND($C21=10000000,    $A$17&lt;=BY$19,      ($A$17+$DI$17)&gt;BY$19    ),   AND($C21&lt;&gt;10000000,  BY$19&gt;=$DX21,    BY$19&lt;=($DY21+$DI$17)  ))   ,$DW21,  "")</f>
        <v/>
      </c>
      <c r="BZ21" s="106" t="str">
        <f aca="false">IF(    OR(   AND($C21=10000000,    $A$17&lt;=BZ$19,      ($A$17+$DI$17)&gt;BZ$19    ),   AND($C21&lt;&gt;10000000,  BZ$19&gt;=$DX21,    BZ$19&lt;=($DY21+$DI$17)  ))   ,$DW21,  "")</f>
        <v/>
      </c>
      <c r="CA21" s="106" t="str">
        <f aca="false">IF(    OR(   AND($C21=10000000,    $A$17&lt;=CA$19,      ($A$17+$DI$17)&gt;CA$19    ),   AND($C21&lt;&gt;10000000,  CA$19&gt;=$DX21,    CA$19&lt;=($DY21+$DI$17)  ))   ,$DW21,  "")</f>
        <v/>
      </c>
      <c r="CB21" s="106" t="str">
        <f aca="false">IF(    OR(   AND($C21=10000000,    $A$17&lt;=CB$19,      ($A$17+$DI$17)&gt;CB$19    ),   AND($C21&lt;&gt;10000000,  CB$19&gt;=$DX21,    CB$19&lt;=($DY21+$DI$17)  ))   ,$DW21,  "")</f>
        <v/>
      </c>
      <c r="CC21" s="106" t="str">
        <f aca="false">IF(    OR(   AND($C21=10000000,    $A$17&lt;=CC$19,      ($A$17+$DI$17)&gt;CC$19    ),   AND($C21&lt;&gt;10000000,  CC$19&gt;=$DX21,    CC$19&lt;=($DY21+$DI$17)  ))   ,$DW21,  "")</f>
        <v/>
      </c>
      <c r="CD21" s="106" t="str">
        <f aca="false">IF(    OR(   AND($C21=10000000,    $A$17&lt;=CD$19,      ($A$17+$DI$17)&gt;CD$19    ),   AND($C21&lt;&gt;10000000,  CD$19&gt;=$DX21,    CD$19&lt;=($DY21+$DI$17)  ))   ,$DW21,  "")</f>
        <v/>
      </c>
      <c r="CE21" s="106" t="str">
        <f aca="false">IF(    OR(   AND($C21=10000000,    $A$17&lt;=CE$19,      ($A$17+$DI$17)&gt;CE$19    ),   AND($C21&lt;&gt;10000000,  CE$19&gt;=$DX21,    CE$19&lt;=($DY21+$DI$17)  ))   ,$DW21,  "")</f>
        <v/>
      </c>
      <c r="CF21" s="106" t="str">
        <f aca="false">IF(    OR(   AND($C21=10000000,    $A$17&lt;=CF$19,      ($A$17+$DI$17)&gt;CF$19    ),   AND($C21&lt;&gt;10000000,  CF$19&gt;=$DX21,    CF$19&lt;=($DY21+$DI$17)  ))   ,$DW21,  "")</f>
        <v/>
      </c>
      <c r="CG21" s="106" t="str">
        <f aca="false">IF(    OR(   AND($C21=10000000,    $A$17&lt;=CG$19,      ($A$17+$DI$17)&gt;CG$19    ),   AND($C21&lt;&gt;10000000,  CG$19&gt;=$DX21,    CG$19&lt;=($DY21+$DI$17)  ))   ,$DW21,  "")</f>
        <v/>
      </c>
      <c r="CH21" s="106" t="str">
        <f aca="false">IF(    OR(   AND($C21=10000000,    $A$17&lt;=CH$19,      ($A$17+$DI$17)&gt;CH$19    ),   AND($C21&lt;&gt;10000000,  CH$19&gt;=$DX21,    CH$19&lt;=($DY21+$DI$17)  ))   ,$DW21,  "")</f>
        <v/>
      </c>
      <c r="CI21" s="106" t="str">
        <f aca="false">IF(    OR(   AND($C21=10000000,    $A$17&lt;=CI$19,      ($A$17+$DI$17)&gt;CI$19    ),   AND($C21&lt;&gt;10000000,  CI$19&gt;=$DX21,    CI$19&lt;=($DY21+$DI$17)  ))   ,$DW21,  "")</f>
        <v/>
      </c>
      <c r="CJ21" s="106" t="str">
        <f aca="false">IF(    OR(   AND($C21=10000000,    $A$17&lt;=CJ$19,      ($A$17+$DI$17)&gt;CJ$19    ),   AND($C21&lt;&gt;10000000,  CJ$19&gt;=$DX21,    CJ$19&lt;=($DY21+$DI$17)  ))   ,$DW21,  "")</f>
        <v/>
      </c>
      <c r="CK21" s="106" t="str">
        <f aca="false">IF(    OR(   AND($C21=10000000,    $A$17&lt;=CK$19,      ($A$17+$DI$17)&gt;CK$19    ),   AND($C21&lt;&gt;10000000,  CK$19&gt;=$DX21,    CK$19&lt;=($DY21+$DI$17)  ))   ,$DW21,  "")</f>
        <v/>
      </c>
      <c r="CL21" s="106" t="str">
        <f aca="false">IF(    OR(   AND($C21=10000000,    $A$17&lt;=CL$19,      ($A$17+$DI$17)&gt;CL$19    ),   AND($C21&lt;&gt;10000000,  CL$19&gt;=$DX21,    CL$19&lt;=($DY21+$DI$17)  ))   ,$DW21,  "")</f>
        <v/>
      </c>
      <c r="CM21" s="106" t="str">
        <f aca="false">IF(    OR(   AND($C21=10000000,    $A$17&lt;=CM$19,      ($A$17+$DI$17)&gt;CM$19    ),   AND($C21&lt;&gt;10000000,  CM$19&gt;=$DX21,    CM$19&lt;=($DY21+$DI$17)  ))   ,$DW21,  "")</f>
        <v/>
      </c>
      <c r="CN21" s="106" t="str">
        <f aca="false">IF(    OR(   AND($C21=10000000,    $A$17&lt;=CN$19,      ($A$17+$DI$17)&gt;CN$19    ),   AND($C21&lt;&gt;10000000,  CN$19&gt;=$DX21,    CN$19&lt;=($DY21+$DI$17)  ))   ,$DW21,  "")</f>
        <v/>
      </c>
      <c r="CO21" s="106" t="str">
        <f aca="false">IF(    OR(   AND($C21=10000000,    $A$17&lt;=CO$19,      ($A$17+$DI$17)&gt;CO$19    ),   AND($C21&lt;&gt;10000000,  CO$19&gt;=$DX21,    CO$19&lt;=($DY21+$DI$17)  ))   ,$DW21,  "")</f>
        <v/>
      </c>
      <c r="CP21" s="106" t="str">
        <f aca="false">IF(    OR(   AND($C21=10000000,    $A$17&lt;=CP$19,      ($A$17+$DI$17)&gt;CP$19    ),   AND($C21&lt;&gt;10000000,  CP$19&gt;=$DX21,    CP$19&lt;=($DY21+$DI$17)  ))   ,$DW21,  "")</f>
        <v/>
      </c>
      <c r="CQ21" s="106" t="str">
        <f aca="false">IF(    OR(   AND($C21=10000000,    $A$17&lt;=CQ$19,      ($A$17+$DI$17)&gt;CQ$19    ),   AND($C21&lt;&gt;10000000,  CQ$19&gt;=$DX21,    CQ$19&lt;=($DY21+$DI$17)  ))   ,$DW21,  "")</f>
        <v/>
      </c>
      <c r="CR21" s="106" t="str">
        <f aca="false">IF(    OR(   AND($C21=10000000,    $A$17&lt;=CR$19,      ($A$17+$DI$17)&gt;CR$19    ),   AND($C21&lt;&gt;10000000,  CR$19&gt;=$DX21,    CR$19&lt;=($DY21+$DI$17)  ))   ,$DW21,  "")</f>
        <v/>
      </c>
      <c r="CS21" s="106" t="str">
        <f aca="false">IF(    OR(   AND($C21=10000000,    $A$17&lt;=CS$19,      ($A$17+$DI$17)&gt;CS$19    ),   AND($C21&lt;&gt;10000000,  CS$19&gt;=$DX21,    CS$19&lt;=($DY21+$DI$17)  ))   ,$DW21,  "")</f>
        <v/>
      </c>
      <c r="CT21" s="106" t="str">
        <f aca="false">IF(    OR(   AND($C21=10000000,    $A$17&lt;=CT$19,      ($A$17+$DI$17)&gt;CT$19    ),   AND($C21&lt;&gt;10000000,  CT$19&gt;=$DX21,    CT$19&lt;=($DY21+$DI$17)  ))   ,$DW21,  "")</f>
        <v/>
      </c>
      <c r="CU21" s="106" t="str">
        <f aca="false">IF(    OR(   AND($C21=10000000,    $A$17&lt;=CU$19,      ($A$17+$DI$17)&gt;CU$19    ),   AND($C21&lt;&gt;10000000,  CU$19&gt;=$DX21,    CU$19&lt;=($DY21+$DI$17)  ))   ,$DW21,  "")</f>
        <v/>
      </c>
      <c r="CV21" s="106" t="str">
        <f aca="false">IF(    OR(   AND($C21=10000000,    $A$17&lt;=CV$19,      ($A$17+$DI$17)&gt;CV$19    ),   AND($C21&lt;&gt;10000000,  CV$19&gt;=$DX21,    CV$19&lt;=($DY21+$DI$17)  ))   ,$DW21,  "")</f>
        <v/>
      </c>
      <c r="CW21" s="106" t="str">
        <f aca="false">IF(    OR(   AND($C21=10000000,    $A$17&lt;=CW$19,      ($A$17+$DI$17)&gt;CW$19    ),   AND($C21&lt;&gt;10000000,  CW$19&gt;=$DX21,    CW$19&lt;=($DY21+$DI$17)  ))   ,$DW21,  "")</f>
        <v/>
      </c>
      <c r="CX21" s="106" t="str">
        <f aca="false">IF(    OR(   AND($C21=10000000,    $A$17&lt;=CX$19,      ($A$17+$DI$17)&gt;CX$19    ),   AND($C21&lt;&gt;10000000,  CX$19&gt;=$DX21,    CX$19&lt;=($DY21+$DI$17)  ))   ,$DW21,  "")</f>
        <v/>
      </c>
      <c r="CY21" s="106" t="str">
        <f aca="false">IF(    OR(   AND($C21=10000000,    $A$17&lt;=CY$19,      ($A$17+$DI$17)&gt;CY$19    ),   AND($C21&lt;&gt;10000000,  CY$19&gt;=$DX21,    CY$19&lt;=($DY21+$DI$17)  ))   ,$DW21,  "")</f>
        <v/>
      </c>
      <c r="CZ21" s="106" t="str">
        <f aca="false">IF(    OR(   AND($C21=10000000,    $A$17&lt;=CZ$19,      ($A$17+$DI$17)&gt;CZ$19    ),   AND($C21&lt;&gt;10000000,  CZ$19&gt;=$DX21,    CZ$19&lt;=($DY21+$DI$17)  ))   ,$DW21,  "")</f>
        <v/>
      </c>
      <c r="DA21" s="106" t="str">
        <f aca="false">IF(    OR(   AND($C21=10000000,    $A$17&lt;=DA$19,      ($A$17+$DI$17)&gt;DA$19    ),   AND($C21&lt;&gt;10000000,  DA$19&gt;=$DX21,    DA$19&lt;=($DY21+$DI$17)  ))   ,$DW21,  "")</f>
        <v/>
      </c>
      <c r="DB21" s="106" t="str">
        <f aca="false">IF(    OR(   AND($C21=10000000,    $A$17&lt;=DB$19,      ($A$17+$DI$17)&gt;DB$19    ),   AND($C21&lt;&gt;10000000,  DB$19&gt;=$DX21,    DB$19&lt;=($DY21+$DI$17)  ))   ,$DW21,  "")</f>
        <v/>
      </c>
      <c r="DC21" s="106" t="str">
        <f aca="false">IF(    OR(   AND($C21=10000000,    $A$17&lt;=DC$19,      ($A$17+$DI$17)&gt;DC$19    ),   AND($C21&lt;&gt;10000000,  DC$19&gt;=$DX21,    DC$19&lt;=($DY21+$DI$17)  ))   ,$DW21,  "")</f>
        <v/>
      </c>
      <c r="DD21" s="106" t="str">
        <f aca="false">IF(    OR(   AND($C21=10000000,    $A$17&lt;=DD$19,      ($A$17+$DI$17)&gt;DD$19    ),   AND($C21&lt;&gt;10000000,  DD$19&gt;=$DX21,    DD$19&lt;=($DY21+$DI$17)  ))   ,$DW21,  "")</f>
        <v/>
      </c>
      <c r="DE21" s="106" t="str">
        <f aca="false">IF(    OR(   AND($C21=10000000,    $A$17&lt;=DE$19,      ($A$17+$DI$17)&gt;DE$19    ),   AND($C21&lt;&gt;10000000,  DE$19&gt;=$DX21,    DE$19&lt;=($DY21+$DI$17)  ))   ,$DW21,  "")</f>
        <v/>
      </c>
      <c r="DF21" s="106" t="str">
        <f aca="false">IF(    OR(   AND($C21=10000000,    $A$17&lt;=DF$19,      ($A$17+$DI$17)&gt;DF$19    ),   AND($C21&lt;&gt;10000000,  DF$19&gt;=$DX21,    DF$19&lt;=($DY21+$DI$17)  ))   ,$DW21,  "")</f>
        <v>Red</v>
      </c>
      <c r="DG21" s="106" t="str">
        <f aca="false">IF(    OR(   AND($C21=10000000,    $A$17&lt;=DG$19,      ($A$17+$DI$17)&gt;DG$19    ),   AND($C21&lt;&gt;10000000,  DG$19&gt;=$DX21,    DG$19&lt;=($DY21+$DI$17)  ))   ,$DW21,  "")</f>
        <v/>
      </c>
      <c r="DH21" s="106" t="str">
        <f aca="false">IF(    OR(   AND($C21=10000000,    $A$17&lt;=DH$19,      ($A$17+$DI$17)&gt;DH$19    ),   AND($C21&lt;&gt;10000000,  DH$19&gt;=$DX21,    DH$19&lt;=($DY21+$DI$17)  ))   ,$DW21,  "")</f>
        <v/>
      </c>
      <c r="DI21" s="106" t="str">
        <f aca="false">IF(    OR(   AND($C21=10000000,    $A$17&lt;=DI$19,      ($A$17+$DI$17)&gt;DI$19    ),   AND($C21&lt;&gt;10000000,  DI$19&gt;=$DX21,    DI$19&lt;=($DY21+$DI$17)  ))   ,$DW21,  "")</f>
        <v/>
      </c>
      <c r="DJ21" s="74" t="str">
        <f aca="false">IF(BC21="","",IF(ISERROR(FIND(CHAR(10),BC21,1)),BC21,LEFT(BC21,FIND(CHAR(10),BC21,1))))</f>
        <v>01-01-22: init</v>
      </c>
      <c r="DK21" s="61" t="str">
        <f aca="false">IF(BC21="","",IFERROR(RIGHT(BC21,LEN(BC21)-FIND("@@@",SUBSTITUTE(BC21,CHAR(10),"@@@",LEN(BC21)-LEN(SUBSTITUTE(BC21,CHAR(10),""))),1)),BC21))</f>
        <v>01-01-22: init</v>
      </c>
      <c r="DL21" s="61" t="str">
        <f aca="false">IF(BD21="","",IFERROR(RIGHT(BD21,LEN(BD21)-FIND("@@@",SUBSTITUTE(BD21,CHAR(10),"@@@",LEN(BD21)-LEN(SUBSTITUTE(BD21,CHAR(10),""))),1)),BD21))</f>
        <v>. Task</v>
      </c>
      <c r="DM21" s="107" t="n">
        <f aca="false">IFERROR(DATE(("20"&amp;MID(DJ21,7,2))*1,MID(DJ21,4,2)*1,MID(DJ21,1,2)*1),"none")</f>
        <v>44562</v>
      </c>
      <c r="DN21" s="107" t="n">
        <f aca="false">IFERROR(DATE(("20"&amp;MID(DK21,7,2))*1,MID(DK21,4,2)*1,MID(DK21,1,2)*1),"none")</f>
        <v>44562</v>
      </c>
      <c r="DO21" s="107" t="n">
        <f aca="false">IF(DM21&lt;&gt;"none",DM21,DATE(1900,1,1))</f>
        <v>44562</v>
      </c>
      <c r="DP21" s="107" t="n">
        <f aca="false">IF(DN21&lt;&gt;"none",DN21,DO21)</f>
        <v>44562</v>
      </c>
      <c r="DQ21" s="108" t="n">
        <f aca="false">_xlfn.DAYS($A$17,DO21)</f>
        <v>1759</v>
      </c>
      <c r="DR21" s="108" t="n">
        <f aca="false">_xlfn.DAYS($A$17, DP21)</f>
        <v>1759</v>
      </c>
      <c r="DS21" s="60" t="n">
        <f aca="false">IF(DP21&lt;&gt;"",INT(DR21/7),0)</f>
        <v>251</v>
      </c>
      <c r="DT21" s="108" t="n">
        <f aca="false">IF(N21="Overdue",_xlfn.DAYS($A$17,AM21),0)</f>
        <v>0</v>
      </c>
      <c r="DU21" s="108" t="n">
        <f aca="false">IF(AI21="Project",_xlfn.DAYS(AM21,$A$17),0)</f>
        <v>0</v>
      </c>
      <c r="DV21" s="60" t="str">
        <f aca="false">IFERROR(INDEX(Static!$D$5:$E$13,MATCH(AI21,Static!$D$5:$D$13,0),2),"")</f>
        <v>Run</v>
      </c>
      <c r="DW21" s="60" t="str">
        <f aca="false">IF(C21=10000000,"Red",IF(OR(C21=11000000,C21=12000000),"Black",IF(C21=11100000,"Dark",IF(AND(C21=12100000,N21="Completed"),"Green",IF(AND(C21=12100000,N21="Overdue"),"Red",IF(C21=12100000,"Dark",IF(AND(C21=12110000,N21="Overdue"),"LightRed",IF(AND(C21=12110000,N21="Completed"),"LightGreen",IF(OR(C21=11110000,C21=12110000),"Light",IF(AND(C21=12111000,N21="Overdue"),"SoftRed",IF(AND(C21=12111000,N21="Completed"),"SoftGreen",IF(OR(C21=11111000,C21=12111000),"Grey",""))))))))))))</f>
        <v>Red</v>
      </c>
      <c r="DX21" s="58" t="n">
        <f aca="false">IF(AL21&lt;&gt;"",AL21,$BJ$19)</f>
        <v>45658</v>
      </c>
      <c r="DY21" s="58" t="n">
        <f aca="false">IF(AM21&lt;&gt;"",AM21,$DI$19)</f>
        <v>46022</v>
      </c>
      <c r="DZ21" s="62" t="s">
        <v>364</v>
      </c>
    </row>
    <row r="22" customFormat="false" ht="14.15" hidden="false" customHeight="true" outlineLevel="0" collapsed="false">
      <c r="A22" s="54"/>
      <c r="B22" s="61" t="str">
        <f aca="false">AI22</f>
        <v>Chg Goal</v>
      </c>
      <c r="C22" s="60" t="n">
        <f aca="false">IFERROR(INDEX(Static!$D$5:$F$13,MATCH(AI22,Static!$D$5:$D$13,0),3),90000000)</f>
        <v>12000000</v>
      </c>
      <c r="D22" s="60" t="str">
        <f aca="false">MID(C22,2,1)</f>
        <v>2</v>
      </c>
      <c r="E22" s="61" t="str">
        <f aca="false">AC22</f>
        <v>Chg GoalDMM</v>
      </c>
      <c r="F22" s="60" t="n">
        <f aca="false">IF(B22="Venture",0,IF(OR(B22="Project",B22="Stream",B22="Action"),AL22,0))</f>
        <v>0</v>
      </c>
      <c r="G22" s="60" t="str">
        <f aca="false">AT22</f>
        <v>VNT</v>
      </c>
      <c r="H22" s="60" t="n">
        <f aca="false">IF(B22="Venture",0,IFERROR(INDEX($E$20:$F$55,MATCH(G22,$E$20:$E$55,0),2),0))</f>
        <v>0</v>
      </c>
      <c r="I22" s="60" t="str">
        <f aca="false">IF(B22="Venture",0,IFERROR(INDEX($E$20:$G$55,MATCH(G22,$E$20:$E$55,0),3),""))</f>
        <v>VNT</v>
      </c>
      <c r="J22" s="60" t="n">
        <f aca="false">IF(B22="Venture",0,IFERROR(INDEX($E$20:$H$55,MATCH(G22,$E$20:$E$55,0),4),0))</f>
        <v>0</v>
      </c>
      <c r="K22" s="60" t="str">
        <f aca="false">IF(B22="Venture",0,IFERROR(INDEX($E$20:$G$55,MATCH(I22,$E$20:$E$55,0),3),""))</f>
        <v>VNT</v>
      </c>
      <c r="L22" s="60" t="n">
        <f aca="false">IF(C22="Venture",0,IFERROR(INDEX($E$20:$G$55,MATCH(J22,$E$20:$E$55,0),4),0))</f>
        <v>0</v>
      </c>
      <c r="M22" s="60" t="str">
        <f aca="false">IF(N22="Completed","Completed","Ongoing")</f>
        <v>Ongoing</v>
      </c>
      <c r="N22" s="60" t="str">
        <f aca="false">IF(OR(AI22="Venture",AI22="Routine",AI22="Run Goal", AI22="Chg Goal", AI22=""),AI22,IF(AO22&lt;&gt;"","Completed",IF(AN22&lt;&gt;"","Pending",IF(AND(AM22&lt;&gt;"",$A$17&gt;AM22),"Overdue",IF($A$17&gt;AL22,"Started","Open")))))</f>
        <v>Chg Goal</v>
      </c>
      <c r="O22" s="59" t="n">
        <f aca="false">((LEN($BD22)-LEN(SUBSTITUTE($BD22,CHAR(10)&amp;". ","")))/3)+IF(LEFT(TRIM($BD22),2)=". ",1,0)</f>
        <v>0</v>
      </c>
      <c r="P22" s="59" t="n">
        <f aca="false">((LEN($BD22)-LEN(SUBSTITUTE($BD22,CHAR(10)&amp;"/ ","")))/3)+IF(LEFT(TRIM($BD22),2)="/ ",1,0)</f>
        <v>0</v>
      </c>
      <c r="Q22" s="59" t="n">
        <f aca="false">((LEN($BD22)-LEN(SUBSTITUTE($BD22,CHAR(10)&amp;"~ ","")))/3)+IF(LEFT(TRIM($BD22),2)="~ ",1,0)</f>
        <v>0</v>
      </c>
      <c r="R22" s="59" t="n">
        <f aca="false">((LEN($BD22)-LEN(SUBSTITUTE($BD22,CHAR(10)&amp;"! ","")))/3)+IF(LEFT(TRIM($BD22),2)="! ",1,0)</f>
        <v>0</v>
      </c>
      <c r="S22" s="59" t="n">
        <f aca="false">((LEN($BD22)-LEN(SUBSTITUTE($BD22,CHAR(10)&amp;"x ","")))/3)+IF(LEFT(TRIM($BD22),2)="x ",1,0)</f>
        <v>0</v>
      </c>
      <c r="T22" s="59" t="n">
        <f aca="false">SUM(O22:S22)</f>
        <v>0</v>
      </c>
      <c r="U22" s="60" t="n">
        <f aca="false">IF(OR($B22="Drill",$B22="Action"),$AP22,0)</f>
        <v>0</v>
      </c>
      <c r="V22" s="60" t="n">
        <f aca="false">IF(OR($B22="Sub",$B22="Stream"),$AP22+SUMIFS($AP$20:$AP$55,$G$20:$G$55,$E22),0)</f>
        <v>0</v>
      </c>
      <c r="W22" s="60" t="n">
        <f aca="false">IF(OR($B22="Routine",$B22="Project"),$AP22+SUMIFS($V$20:$V$55,$G$20:$G$55,$E22),0)</f>
        <v>0</v>
      </c>
      <c r="X22" s="60" t="n">
        <f aca="false">IF($B22="Venture",$AP22+SUMIFS($W$20:$W$55,$G$20:$G$55,$E22),0)</f>
        <v>0</v>
      </c>
      <c r="Y22" s="60" t="n">
        <f aca="false">IF(OR($B22="Drill",$B22="Action"),$AQ22,0)</f>
        <v>0</v>
      </c>
      <c r="Z22" s="60" t="n">
        <f aca="false">IF(OR($B22="Sub",$B22="Stream"),$AQ22+SUMIFS($AQ$20:$AQ$55,$G$20:$G$55,$E22),0)</f>
        <v>0</v>
      </c>
      <c r="AA22" s="60" t="n">
        <f aca="false">IF(OR($B22="Routine",$B22="Project"),$AQ22+SUMIFS($Z$20:$Z$55,$G$20:$G$55,$E22),0)</f>
        <v>0</v>
      </c>
      <c r="AB22" s="60" t="n">
        <f aca="false">IF($B22="Venture",$AQ22+SUMIFS($AA$20:$AA$55,$G$20:$G$55,$E22),0)</f>
        <v>0</v>
      </c>
      <c r="AC22" s="60" t="str">
        <f aca="false">IF(AI22="Venture",AJ22,AI22&amp;AJ22)</f>
        <v>Chg GoalDMM</v>
      </c>
      <c r="AD22" s="61" t="str">
        <f aca="false">"  -  "&amp;IF(E22="","ZZZ",D22&amp;AF22&amp;IF(OR(B22="Run Goal",B22="Chg Goal", B22="Venture"),F22&amp;E22,IF(OR(B22="Routine",B22="Project"),H22&amp;G22&amp;F22&amp;E22,  IF(OR(B22="Sub",B22="Stream"),J22&amp;I22&amp;H22&amp;G22&amp;F22&amp;E22,IF(OR(B22="Drill",B22="Action"),L22&amp;K22&amp;J22&amp;I22&amp;H22&amp;G22&amp;F22&amp;E22,     "") )    )))</f>
        <v>  -  2N0Chg GoalDMM</v>
      </c>
      <c r="AE22" s="60" t="str">
        <f aca="false">IF(AND(AN22="",AO22=""),"Y","N")</f>
        <v>Y</v>
      </c>
      <c r="AF22" s="99" t="str">
        <f aca="false">IF(OR(AG22="Y",AG22="Y"),AG22,IF(DN22="none","N",IF(DN22&gt;($A$17-WEEKDAY($A$17,2)-(7*$AF$18)),"Y","N")))</f>
        <v>N</v>
      </c>
      <c r="AG22" s="100"/>
      <c r="AH22" s="101"/>
      <c r="AI22" s="62" t="s">
        <v>732</v>
      </c>
      <c r="AJ22" s="64" t="s">
        <v>733</v>
      </c>
      <c r="AK22" s="64"/>
      <c r="AL22" s="70" t="n">
        <v>45658</v>
      </c>
      <c r="AM22" s="70" t="n">
        <v>46022</v>
      </c>
      <c r="AN22" s="70"/>
      <c r="AO22" s="70"/>
      <c r="AP22" s="102"/>
      <c r="AQ22" s="102"/>
      <c r="AR22" s="62"/>
      <c r="AS22" s="62"/>
      <c r="AT22" s="62" t="s">
        <v>356</v>
      </c>
      <c r="AU22" s="62"/>
      <c r="AV22" s="62"/>
      <c r="AW22" s="62"/>
      <c r="AX22" s="62"/>
      <c r="AY22" s="62"/>
      <c r="AZ22" s="62"/>
      <c r="BA22" s="62"/>
      <c r="BB22" s="54"/>
      <c r="BC22" s="103"/>
      <c r="BD22" s="54"/>
      <c r="BE22" s="60" t="n">
        <f aca="false">SUM(O22:R22)</f>
        <v>0</v>
      </c>
      <c r="BF22" s="66" t="n">
        <f aca="false">IF(AJ22="",1,IF(T22&lt;&gt;0,(P22*0.5+S22)/T22,1))</f>
        <v>1</v>
      </c>
      <c r="BG22" s="69" t="n">
        <f aca="false">IF(AI22="","",IF(AI22="Venture",X22,IF(OR(AI22="Chg Goal",AI22="RUn Goal"),W22,IF(OR(AI22="ROutine",AI22="Project"),W22,IF(OR(AI22="Sub",AI22="Stream"),V22,IF(OR(AI22="Drill",AI22="Action"),U22,0))))))</f>
        <v>0</v>
      </c>
      <c r="BH22" s="69" t="n">
        <f aca="false">IF(AI22="","",IF(AI22="Venture",AB22,IF(OR(AI22="Chg Goal",AI22="RUn Goal"),AA22,IF(OR(AI22="ROutine",AI22="Project"),AA22,IF(OR(AI22="Sub",AI22="Stream"),Z22,IF(OR(AI22="Drill",AI22="Action"),Y22,0))))))</f>
        <v>0</v>
      </c>
      <c r="BI22" s="104" t="n">
        <f aca="false">IF(AJ22="","",IF(OR(BG22=0, BG22=""),0,BH22/BG22))</f>
        <v>0</v>
      </c>
      <c r="BJ22" s="105" t="str">
        <f aca="false">IF(    OR(   AND($C22=10000000,    BJ$19&gt;=$A$17,      BJ$19 &lt;($A$17+$DI$17)   ),   AND($C22&lt;&gt;10000000,  BJ$19&gt;=$DX22,    BJ$19&lt;=($DY22+$DI$17)  ))   ,$DW22,  "")</f>
        <v>Black</v>
      </c>
      <c r="BK22" s="106" t="str">
        <f aca="false">IF(    OR(   AND($C22=10000000,    $A$17&lt;=BK$19,      ($A$17+$DI$17)&gt;BK$19    ),   AND($C22&lt;&gt;10000000,  BK$19&gt;=$DX22,    BK$19&lt;=($DY22+$DI$17)  ))   ,$DW22,  "")</f>
        <v>Black</v>
      </c>
      <c r="BL22" s="106" t="str">
        <f aca="false">IF(    OR(   AND($C22=10000000,    $A$17&lt;=BL$19,      ($A$17+$DI$17)&gt;BL$19    ),   AND($C22&lt;&gt;10000000,  BL$19&gt;=$DX22,    BL$19&lt;=($DY22+$DI$17)  ))   ,$DW22,  "")</f>
        <v>Black</v>
      </c>
      <c r="BM22" s="106" t="str">
        <f aca="false">IF(    OR(   AND($C22=10000000,    $A$17&lt;=BM$19,      ($A$17+$DI$17)&gt;BM$19    ),   AND($C22&lt;&gt;10000000,  BM$19&gt;=$DX22,    BM$19&lt;=($DY22+$DI$17)  ))   ,$DW22,  "")</f>
        <v>Black</v>
      </c>
      <c r="BN22" s="106" t="str">
        <f aca="false">IF(    OR(   AND($C22=10000000,    $A$17&lt;=BN$19,      ($A$17+$DI$17)&gt;BN$19    ),   AND($C22&lt;&gt;10000000,  BN$19&gt;=$DX22,    BN$19&lt;=($DY22+$DI$17)  ))   ,$DW22,  "")</f>
        <v>Black</v>
      </c>
      <c r="BO22" s="106" t="str">
        <f aca="false">IF(    OR(   AND($C22=10000000,    $A$17&lt;=BO$19,      ($A$17+$DI$17)&gt;BO$19    ),   AND($C22&lt;&gt;10000000,  BO$19&gt;=$DX22,    BO$19&lt;=($DY22+$DI$17)  ))   ,$DW22,  "")</f>
        <v>Black</v>
      </c>
      <c r="BP22" s="106" t="str">
        <f aca="false">IF(    OR(   AND($C22=10000000,    $A$17&lt;=BP$19,      ($A$17+$DI$17)&gt;BP$19    ),   AND($C22&lt;&gt;10000000,  BP$19&gt;=$DX22,    BP$19&lt;=($DY22+$DI$17)  ))   ,$DW22,  "")</f>
        <v>Black</v>
      </c>
      <c r="BQ22" s="106" t="str">
        <f aca="false">IF(    OR(   AND($C22=10000000,    $A$17&lt;=BQ$19,      ($A$17+$DI$17)&gt;BQ$19    ),   AND($C22&lt;&gt;10000000,  BQ$19&gt;=$DX22,    BQ$19&lt;=($DY22+$DI$17)  ))   ,$DW22,  "")</f>
        <v>Black</v>
      </c>
      <c r="BR22" s="106" t="str">
        <f aca="false">IF(    OR(   AND($C22=10000000,    $A$17&lt;=BR$19,      ($A$17+$DI$17)&gt;BR$19    ),   AND($C22&lt;&gt;10000000,  BR$19&gt;=$DX22,    BR$19&lt;=($DY22+$DI$17)  ))   ,$DW22,  "")</f>
        <v>Black</v>
      </c>
      <c r="BS22" s="106" t="str">
        <f aca="false">IF(    OR(   AND($C22=10000000,    $A$17&lt;=BS$19,      ($A$17+$DI$17)&gt;BS$19    ),   AND($C22&lt;&gt;10000000,  BS$19&gt;=$DX22,    BS$19&lt;=($DY22+$DI$17)  ))   ,$DW22,  "")</f>
        <v>Black</v>
      </c>
      <c r="BT22" s="106" t="str">
        <f aca="false">IF(    OR(   AND($C22=10000000,    $A$17&lt;=BT$19,      ($A$17+$DI$17)&gt;BT$19    ),   AND($C22&lt;&gt;10000000,  BT$19&gt;=$DX22,    BT$19&lt;=($DY22+$DI$17)  ))   ,$DW22,  "")</f>
        <v>Black</v>
      </c>
      <c r="BU22" s="106" t="str">
        <f aca="false">IF(    OR(   AND($C22=10000000,    $A$17&lt;=BU$19,      ($A$17+$DI$17)&gt;BU$19    ),   AND($C22&lt;&gt;10000000,  BU$19&gt;=$DX22,    BU$19&lt;=($DY22+$DI$17)  ))   ,$DW22,  "")</f>
        <v>Black</v>
      </c>
      <c r="BV22" s="106" t="str">
        <f aca="false">IF(    OR(   AND($C22=10000000,    $A$17&lt;=BV$19,      ($A$17+$DI$17)&gt;BV$19    ),   AND($C22&lt;&gt;10000000,  BV$19&gt;=$DX22,    BV$19&lt;=($DY22+$DI$17)  ))   ,$DW22,  "")</f>
        <v>Black</v>
      </c>
      <c r="BW22" s="106" t="str">
        <f aca="false">IF(    OR(   AND($C22=10000000,    $A$17&lt;=BW$19,      ($A$17+$DI$17)&gt;BW$19    ),   AND($C22&lt;&gt;10000000,  BW$19&gt;=$DX22,    BW$19&lt;=($DY22+$DI$17)  ))   ,$DW22,  "")</f>
        <v>Black</v>
      </c>
      <c r="BX22" s="106" t="str">
        <f aca="false">IF(    OR(   AND($C22=10000000,    $A$17&lt;=BX$19,      ($A$17+$DI$17)&gt;BX$19    ),   AND($C22&lt;&gt;10000000,  BX$19&gt;=$DX22,    BX$19&lt;=($DY22+$DI$17)  ))   ,$DW22,  "")</f>
        <v>Black</v>
      </c>
      <c r="BY22" s="106" t="str">
        <f aca="false">IF(    OR(   AND($C22=10000000,    $A$17&lt;=BY$19,      ($A$17+$DI$17)&gt;BY$19    ),   AND($C22&lt;&gt;10000000,  BY$19&gt;=$DX22,    BY$19&lt;=($DY22+$DI$17)  ))   ,$DW22,  "")</f>
        <v>Black</v>
      </c>
      <c r="BZ22" s="106" t="str">
        <f aca="false">IF(    OR(   AND($C22=10000000,    $A$17&lt;=BZ$19,      ($A$17+$DI$17)&gt;BZ$19    ),   AND($C22&lt;&gt;10000000,  BZ$19&gt;=$DX22,    BZ$19&lt;=($DY22+$DI$17)  ))   ,$DW22,  "")</f>
        <v>Black</v>
      </c>
      <c r="CA22" s="106" t="str">
        <f aca="false">IF(    OR(   AND($C22=10000000,    $A$17&lt;=CA$19,      ($A$17+$DI$17)&gt;CA$19    ),   AND($C22&lt;&gt;10000000,  CA$19&gt;=$DX22,    CA$19&lt;=($DY22+$DI$17)  ))   ,$DW22,  "")</f>
        <v>Black</v>
      </c>
      <c r="CB22" s="106" t="str">
        <f aca="false">IF(    OR(   AND($C22=10000000,    $A$17&lt;=CB$19,      ($A$17+$DI$17)&gt;CB$19    ),   AND($C22&lt;&gt;10000000,  CB$19&gt;=$DX22,    CB$19&lt;=($DY22+$DI$17)  ))   ,$DW22,  "")</f>
        <v>Black</v>
      </c>
      <c r="CC22" s="106" t="str">
        <f aca="false">IF(    OR(   AND($C22=10000000,    $A$17&lt;=CC$19,      ($A$17+$DI$17)&gt;CC$19    ),   AND($C22&lt;&gt;10000000,  CC$19&gt;=$DX22,    CC$19&lt;=($DY22+$DI$17)  ))   ,$DW22,  "")</f>
        <v>Black</v>
      </c>
      <c r="CD22" s="106" t="str">
        <f aca="false">IF(    OR(   AND($C22=10000000,    $A$17&lt;=CD$19,      ($A$17+$DI$17)&gt;CD$19    ),   AND($C22&lt;&gt;10000000,  CD$19&gt;=$DX22,    CD$19&lt;=($DY22+$DI$17)  ))   ,$DW22,  "")</f>
        <v>Black</v>
      </c>
      <c r="CE22" s="106" t="str">
        <f aca="false">IF(    OR(   AND($C22=10000000,    $A$17&lt;=CE$19,      ($A$17+$DI$17)&gt;CE$19    ),   AND($C22&lt;&gt;10000000,  CE$19&gt;=$DX22,    CE$19&lt;=($DY22+$DI$17)  ))   ,$DW22,  "")</f>
        <v>Black</v>
      </c>
      <c r="CF22" s="106" t="str">
        <f aca="false">IF(    OR(   AND($C22=10000000,    $A$17&lt;=CF$19,      ($A$17+$DI$17)&gt;CF$19    ),   AND($C22&lt;&gt;10000000,  CF$19&gt;=$DX22,    CF$19&lt;=($DY22+$DI$17)  ))   ,$DW22,  "")</f>
        <v>Black</v>
      </c>
      <c r="CG22" s="106" t="str">
        <f aca="false">IF(    OR(   AND($C22=10000000,    $A$17&lt;=CG$19,      ($A$17+$DI$17)&gt;CG$19    ),   AND($C22&lt;&gt;10000000,  CG$19&gt;=$DX22,    CG$19&lt;=($DY22+$DI$17)  ))   ,$DW22,  "")</f>
        <v>Black</v>
      </c>
      <c r="CH22" s="106" t="str">
        <f aca="false">IF(    OR(   AND($C22=10000000,    $A$17&lt;=CH$19,      ($A$17+$DI$17)&gt;CH$19    ),   AND($C22&lt;&gt;10000000,  CH$19&gt;=$DX22,    CH$19&lt;=($DY22+$DI$17)  ))   ,$DW22,  "")</f>
        <v>Black</v>
      </c>
      <c r="CI22" s="106" t="str">
        <f aca="false">IF(    OR(   AND($C22=10000000,    $A$17&lt;=CI$19,      ($A$17+$DI$17)&gt;CI$19    ),   AND($C22&lt;&gt;10000000,  CI$19&gt;=$DX22,    CI$19&lt;=($DY22+$DI$17)  ))   ,$DW22,  "")</f>
        <v>Black</v>
      </c>
      <c r="CJ22" s="106" t="str">
        <f aca="false">IF(    OR(   AND($C22=10000000,    $A$17&lt;=CJ$19,      ($A$17+$DI$17)&gt;CJ$19    ),   AND($C22&lt;&gt;10000000,  CJ$19&gt;=$DX22,    CJ$19&lt;=($DY22+$DI$17)  ))   ,$DW22,  "")</f>
        <v>Black</v>
      </c>
      <c r="CK22" s="106" t="str">
        <f aca="false">IF(    OR(   AND($C22=10000000,    $A$17&lt;=CK$19,      ($A$17+$DI$17)&gt;CK$19    ),   AND($C22&lt;&gt;10000000,  CK$19&gt;=$DX22,    CK$19&lt;=($DY22+$DI$17)  ))   ,$DW22,  "")</f>
        <v/>
      </c>
      <c r="CL22" s="106" t="str">
        <f aca="false">IF(    OR(   AND($C22=10000000,    $A$17&lt;=CL$19,      ($A$17+$DI$17)&gt;CL$19    ),   AND($C22&lt;&gt;10000000,  CL$19&gt;=$DX22,    CL$19&lt;=($DY22+$DI$17)  ))   ,$DW22,  "")</f>
        <v/>
      </c>
      <c r="CM22" s="106" t="str">
        <f aca="false">IF(    OR(   AND($C22=10000000,    $A$17&lt;=CM$19,      ($A$17+$DI$17)&gt;CM$19    ),   AND($C22&lt;&gt;10000000,  CM$19&gt;=$DX22,    CM$19&lt;=($DY22+$DI$17)  ))   ,$DW22,  "")</f>
        <v/>
      </c>
      <c r="CN22" s="106" t="str">
        <f aca="false">IF(    OR(   AND($C22=10000000,    $A$17&lt;=CN$19,      ($A$17+$DI$17)&gt;CN$19    ),   AND($C22&lt;&gt;10000000,  CN$19&gt;=$DX22,    CN$19&lt;=($DY22+$DI$17)  ))   ,$DW22,  "")</f>
        <v/>
      </c>
      <c r="CO22" s="106" t="str">
        <f aca="false">IF(    OR(   AND($C22=10000000,    $A$17&lt;=CO$19,      ($A$17+$DI$17)&gt;CO$19    ),   AND($C22&lt;&gt;10000000,  CO$19&gt;=$DX22,    CO$19&lt;=($DY22+$DI$17)  ))   ,$DW22,  "")</f>
        <v/>
      </c>
      <c r="CP22" s="106" t="str">
        <f aca="false">IF(    OR(   AND($C22=10000000,    $A$17&lt;=CP$19,      ($A$17+$DI$17)&gt;CP$19    ),   AND($C22&lt;&gt;10000000,  CP$19&gt;=$DX22,    CP$19&lt;=($DY22+$DI$17)  ))   ,$DW22,  "")</f>
        <v/>
      </c>
      <c r="CQ22" s="106" t="str">
        <f aca="false">IF(    OR(   AND($C22=10000000,    $A$17&lt;=CQ$19,      ($A$17+$DI$17)&gt;CQ$19    ),   AND($C22&lt;&gt;10000000,  CQ$19&gt;=$DX22,    CQ$19&lt;=($DY22+$DI$17)  ))   ,$DW22,  "")</f>
        <v/>
      </c>
      <c r="CR22" s="106" t="str">
        <f aca="false">IF(    OR(   AND($C22=10000000,    $A$17&lt;=CR$19,      ($A$17+$DI$17)&gt;CR$19    ),   AND($C22&lt;&gt;10000000,  CR$19&gt;=$DX22,    CR$19&lt;=($DY22+$DI$17)  ))   ,$DW22,  "")</f>
        <v/>
      </c>
      <c r="CS22" s="106" t="str">
        <f aca="false">IF(    OR(   AND($C22=10000000,    $A$17&lt;=CS$19,      ($A$17+$DI$17)&gt;CS$19    ),   AND($C22&lt;&gt;10000000,  CS$19&gt;=$DX22,    CS$19&lt;=($DY22+$DI$17)  ))   ,$DW22,  "")</f>
        <v/>
      </c>
      <c r="CT22" s="106" t="str">
        <f aca="false">IF(    OR(   AND($C22=10000000,    $A$17&lt;=CT$19,      ($A$17+$DI$17)&gt;CT$19    ),   AND($C22&lt;&gt;10000000,  CT$19&gt;=$DX22,    CT$19&lt;=($DY22+$DI$17)  ))   ,$DW22,  "")</f>
        <v/>
      </c>
      <c r="CU22" s="106" t="str">
        <f aca="false">IF(    OR(   AND($C22=10000000,    $A$17&lt;=CU$19,      ($A$17+$DI$17)&gt;CU$19    ),   AND($C22&lt;&gt;10000000,  CU$19&gt;=$DX22,    CU$19&lt;=($DY22+$DI$17)  ))   ,$DW22,  "")</f>
        <v/>
      </c>
      <c r="CV22" s="106" t="str">
        <f aca="false">IF(    OR(   AND($C22=10000000,    $A$17&lt;=CV$19,      ($A$17+$DI$17)&gt;CV$19    ),   AND($C22&lt;&gt;10000000,  CV$19&gt;=$DX22,    CV$19&lt;=($DY22+$DI$17)  ))   ,$DW22,  "")</f>
        <v/>
      </c>
      <c r="CW22" s="106" t="str">
        <f aca="false">IF(    OR(   AND($C22=10000000,    $A$17&lt;=CW$19,      ($A$17+$DI$17)&gt;CW$19    ),   AND($C22&lt;&gt;10000000,  CW$19&gt;=$DX22,    CW$19&lt;=($DY22+$DI$17)  ))   ,$DW22,  "")</f>
        <v/>
      </c>
      <c r="CX22" s="106" t="str">
        <f aca="false">IF(    OR(   AND($C22=10000000,    $A$17&lt;=CX$19,      ($A$17+$DI$17)&gt;CX$19    ),   AND($C22&lt;&gt;10000000,  CX$19&gt;=$DX22,    CX$19&lt;=($DY22+$DI$17)  ))   ,$DW22,  "")</f>
        <v/>
      </c>
      <c r="CY22" s="106" t="str">
        <f aca="false">IF(    OR(   AND($C22=10000000,    $A$17&lt;=CY$19,      ($A$17+$DI$17)&gt;CY$19    ),   AND($C22&lt;&gt;10000000,  CY$19&gt;=$DX22,    CY$19&lt;=($DY22+$DI$17)  ))   ,$DW22,  "")</f>
        <v/>
      </c>
      <c r="CZ22" s="106" t="str">
        <f aca="false">IF(    OR(   AND($C22=10000000,    $A$17&lt;=CZ$19,      ($A$17+$DI$17)&gt;CZ$19    ),   AND($C22&lt;&gt;10000000,  CZ$19&gt;=$DX22,    CZ$19&lt;=($DY22+$DI$17)  ))   ,$DW22,  "")</f>
        <v/>
      </c>
      <c r="DA22" s="106" t="str">
        <f aca="false">IF(    OR(   AND($C22=10000000,    $A$17&lt;=DA$19,      ($A$17+$DI$17)&gt;DA$19    ),   AND($C22&lt;&gt;10000000,  DA$19&gt;=$DX22,    DA$19&lt;=($DY22+$DI$17)  ))   ,$DW22,  "")</f>
        <v/>
      </c>
      <c r="DB22" s="106" t="str">
        <f aca="false">IF(    OR(   AND($C22=10000000,    $A$17&lt;=DB$19,      ($A$17+$DI$17)&gt;DB$19    ),   AND($C22&lt;&gt;10000000,  DB$19&gt;=$DX22,    DB$19&lt;=($DY22+$DI$17)  ))   ,$DW22,  "")</f>
        <v/>
      </c>
      <c r="DC22" s="106" t="str">
        <f aca="false">IF(    OR(   AND($C22=10000000,    $A$17&lt;=DC$19,      ($A$17+$DI$17)&gt;DC$19    ),   AND($C22&lt;&gt;10000000,  DC$19&gt;=$DX22,    DC$19&lt;=($DY22+$DI$17)  ))   ,$DW22,  "")</f>
        <v/>
      </c>
      <c r="DD22" s="106" t="str">
        <f aca="false">IF(    OR(   AND($C22=10000000,    $A$17&lt;=DD$19,      ($A$17+$DI$17)&gt;DD$19    ),   AND($C22&lt;&gt;10000000,  DD$19&gt;=$DX22,    DD$19&lt;=($DY22+$DI$17)  ))   ,$DW22,  "")</f>
        <v/>
      </c>
      <c r="DE22" s="106" t="str">
        <f aca="false">IF(    OR(   AND($C22=10000000,    $A$17&lt;=DE$19,      ($A$17+$DI$17)&gt;DE$19    ),   AND($C22&lt;&gt;10000000,  DE$19&gt;=$DX22,    DE$19&lt;=($DY22+$DI$17)  ))   ,$DW22,  "")</f>
        <v/>
      </c>
      <c r="DF22" s="106" t="str">
        <f aca="false">IF(    OR(   AND($C22=10000000,    $A$17&lt;=DF$19,      ($A$17+$DI$17)&gt;DF$19    ),   AND($C22&lt;&gt;10000000,  DF$19&gt;=$DX22,    DF$19&lt;=($DY22+$DI$17)  ))   ,$DW22,  "")</f>
        <v/>
      </c>
      <c r="DG22" s="106" t="str">
        <f aca="false">IF(    OR(   AND($C22=10000000,    $A$17&lt;=DG$19,      ($A$17+$DI$17)&gt;DG$19    ),   AND($C22&lt;&gt;10000000,  DG$19&gt;=$DX22,    DG$19&lt;=($DY22+$DI$17)  ))   ,$DW22,  "")</f>
        <v/>
      </c>
      <c r="DH22" s="106" t="str">
        <f aca="false">IF(    OR(   AND($C22=10000000,    $A$17&lt;=DH$19,      ($A$17+$DI$17)&gt;DH$19    ),   AND($C22&lt;&gt;10000000,  DH$19&gt;=$DX22,    DH$19&lt;=($DY22+$DI$17)  ))   ,$DW22,  "")</f>
        <v/>
      </c>
      <c r="DI22" s="106" t="str">
        <f aca="false">IF(    OR(   AND($C22=10000000,    $A$17&lt;=DI$19,      ($A$17+$DI$17)&gt;DI$19    ),   AND($C22&lt;&gt;10000000,  DI$19&gt;=$DX22,    DI$19&lt;=($DY22+$DI$17)  ))   ,$DW22,  "")</f>
        <v/>
      </c>
      <c r="DJ22" s="74" t="str">
        <f aca="false">IF(BC22="","",IF(ISERROR(FIND(CHAR(10),BC22,1)),BC22,LEFT(BC22,FIND(CHAR(10),BC22,1))))</f>
        <v/>
      </c>
      <c r="DK22" s="61" t="str">
        <f aca="false">IF(BC22="","",IFERROR(RIGHT(BC22,LEN(BC22)-FIND("@@@",SUBSTITUTE(BC22,CHAR(10),"@@@",LEN(BC22)-LEN(SUBSTITUTE(BC22,CHAR(10),""))),1)),BC22))</f>
        <v/>
      </c>
      <c r="DL22" s="61" t="str">
        <f aca="false">IF(BD22="","",IFERROR(RIGHT(BD22,LEN(BD22)-FIND("@@@",SUBSTITUTE(BD22,CHAR(10),"@@@",LEN(BD22)-LEN(SUBSTITUTE(BD22,CHAR(10),""))),1)),BD22))</f>
        <v/>
      </c>
      <c r="DM22" s="107" t="str">
        <f aca="false">IFERROR(DATE(("20"&amp;MID(DJ22,7,2))*1,MID(DJ22,4,2)*1,MID(DJ22,1,2)*1),"none")</f>
        <v>none</v>
      </c>
      <c r="DN22" s="107" t="str">
        <f aca="false">IFERROR(DATE(("20"&amp;MID(DK22,7,2))*1,MID(DK22,4,2)*1,MID(DK22,1,2)*1),"none")</f>
        <v>none</v>
      </c>
      <c r="DO22" s="107" t="n">
        <f aca="false">IF(DM22&lt;&gt;"none",DM22,DATE(1900,1,1))</f>
        <v>2</v>
      </c>
      <c r="DP22" s="107" t="n">
        <f aca="false">IF(DN22&lt;&gt;"none",DN22,DO22)</f>
        <v>2</v>
      </c>
      <c r="DQ22" s="108" t="n">
        <f aca="false">_xlfn.DAYS($A$17,DO22)</f>
        <v>46319</v>
      </c>
      <c r="DR22" s="108" t="n">
        <f aca="false">_xlfn.DAYS($A$17, DP22)</f>
        <v>46319</v>
      </c>
      <c r="DS22" s="60" t="n">
        <f aca="false">IF(DP22&lt;&gt;"",INT(DR22/7),0)</f>
        <v>6617</v>
      </c>
      <c r="DT22" s="108" t="n">
        <f aca="false">IF(N22="Overdue",_xlfn.DAYS($A$17,AM22),0)</f>
        <v>0</v>
      </c>
      <c r="DU22" s="108" t="n">
        <f aca="false">IF(AI22="Project",_xlfn.DAYS(AM22,$A$17),0)</f>
        <v>0</v>
      </c>
      <c r="DV22" s="60" t="str">
        <f aca="false">IFERROR(INDEX(Static!$D$5:$E$13,MATCH(AI22,Static!$D$5:$D$13,0),2),"")</f>
        <v>Chg</v>
      </c>
      <c r="DW22" s="60" t="str">
        <f aca="false">IF(C22=10000000,"Red",IF(OR(C22=11000000,C22=12000000),"Black",IF(C22=11100000,"Dark",IF(AND(C22=12100000,N22="Completed"),"Green",IF(AND(C22=12100000,N22="Overdue"),"Red",IF(C22=12100000,"Dark",IF(AND(C22=12110000,N22="Overdue"),"LightRed",IF(AND(C22=12110000,N22="Completed"),"LightGreen",IF(OR(C22=11110000,C22=12110000),"Light",IF(AND(C22=12111000,N22="Overdue"),"SoftRed",IF(AND(C22=12111000,N22="Completed"),"SoftGreen",IF(OR(C22=11111000,C22=12111000),"Grey",""))))))))))))</f>
        <v>Black</v>
      </c>
      <c r="DX22" s="58" t="n">
        <f aca="false">IF(AL22&lt;&gt;"",AL22,$BJ$19)</f>
        <v>45658</v>
      </c>
      <c r="DY22" s="58" t="n">
        <f aca="false">IF(AM22&lt;&gt;"",AM22,$DI$19)</f>
        <v>46022</v>
      </c>
      <c r="DZ22" s="62" t="s">
        <v>364</v>
      </c>
    </row>
    <row r="23" customFormat="false" ht="14.15" hidden="false" customHeight="true" outlineLevel="0" collapsed="false">
      <c r="A23" s="54"/>
      <c r="B23" s="61" t="str">
        <f aca="false">AI23</f>
        <v>Project</v>
      </c>
      <c r="C23" s="60" t="n">
        <f aca="false">IFERROR(INDEX(Static!$D$5:$F$13,MATCH(AI23,Static!$D$5:$D$13,0),3),90000000)</f>
        <v>12100000</v>
      </c>
      <c r="D23" s="60" t="str">
        <f aca="false">MID(C23,2,1)</f>
        <v>2</v>
      </c>
      <c r="E23" s="61" t="str">
        <f aca="false">AC23</f>
        <v>ProjectSome Study Project for sub-cat 2</v>
      </c>
      <c r="F23" s="58" t="n">
        <f aca="false">IF(B23="Venture",0,IF(OR(B23="Project",B23="Stream",B23="Action"),AL23,0))</f>
        <v>45658</v>
      </c>
      <c r="G23" s="60" t="str">
        <f aca="false">AT23</f>
        <v>Chg GoalDMM</v>
      </c>
      <c r="H23" s="60" t="n">
        <f aca="false">IF(B23="Venture",0,IFERROR(INDEX($E$20:$F$55,MATCH(G23,$E$20:$E$55,0),2),0))</f>
        <v>0</v>
      </c>
      <c r="I23" s="60" t="str">
        <f aca="false">IF(B23="Venture",0,IFERROR(INDEX($E$20:$G$55,MATCH(G23,$E$20:$E$55,0),3),""))</f>
        <v>VNT</v>
      </c>
      <c r="J23" s="60" t="n">
        <f aca="false">IF(B23="Venture",0,IFERROR(INDEX($E$20:$H$55,MATCH(G23,$E$20:$E$55,0),4),0))</f>
        <v>0</v>
      </c>
      <c r="K23" s="60" t="str">
        <f aca="false">IF(B23="Venture",0,IFERROR(INDEX($E$20:$G$55,MATCH(I23,$E$20:$E$55,0),3),""))</f>
        <v>VNT</v>
      </c>
      <c r="L23" s="60" t="n">
        <f aca="false">IF(C23="Venture",0,IFERROR(INDEX($E$20:$G$55,MATCH(J23,$E$20:$E$55,0),4),0))</f>
        <v>0</v>
      </c>
      <c r="M23" s="60" t="str">
        <f aca="false">IF(N23="Completed","Completed","Ongoing")</f>
        <v>Ongoing</v>
      </c>
      <c r="N23" s="60" t="str">
        <f aca="false">IF(OR(AI23="Venture",AI23="Routine",AI23="Run Goal", AI23="Chg Goal", AI23=""),AI23,IF(AO23&lt;&gt;"","Completed",IF(AN23&lt;&gt;"","Pending",IF(AND(AM23&lt;&gt;"",$A$17&gt;AM23),"Overdue",IF($A$17&gt;AL23,"Started","Open")))))</f>
        <v>Overdue</v>
      </c>
      <c r="O23" s="59" t="n">
        <f aca="false">((LEN($BD23)-LEN(SUBSTITUTE($BD23,CHAR(10)&amp;". ","")))/3)+IF(LEFT(TRIM($BD23),2)=". ",1,0)</f>
        <v>0</v>
      </c>
      <c r="P23" s="59" t="n">
        <f aca="false">((LEN($BD23)-LEN(SUBSTITUTE($BD23,CHAR(10)&amp;"/ ","")))/3)+IF(LEFT(TRIM($BD23),2)="/ ",1,0)</f>
        <v>0</v>
      </c>
      <c r="Q23" s="59" t="n">
        <f aca="false">((LEN($BD23)-LEN(SUBSTITUTE($BD23,CHAR(10)&amp;"~ ","")))/3)+IF(LEFT(TRIM($BD23),2)="~ ",1,0)</f>
        <v>0</v>
      </c>
      <c r="R23" s="59" t="n">
        <f aca="false">((LEN($BD23)-LEN(SUBSTITUTE($BD23,CHAR(10)&amp;"! ","")))/3)+IF(LEFT(TRIM($BD23),2)="! ",1,0)</f>
        <v>0</v>
      </c>
      <c r="S23" s="59" t="n">
        <f aca="false">((LEN($BD23)-LEN(SUBSTITUTE($BD23,CHAR(10)&amp;"x ","")))/3)+IF(LEFT(TRIM($BD23),2)="x ",1,0)</f>
        <v>0</v>
      </c>
      <c r="T23" s="59" t="n">
        <f aca="false">SUM(O23:S23)</f>
        <v>0</v>
      </c>
      <c r="U23" s="60" t="n">
        <f aca="false">IF(OR($B23="Drill",$B23="Action"),$AP23,0)</f>
        <v>0</v>
      </c>
      <c r="V23" s="60" t="n">
        <f aca="false">IF(OR($B23="Sub",$B23="Stream"),$AP23+SUMIFS($AP$20:$AP$55,$G$20:$G$55,$E23),0)</f>
        <v>0</v>
      </c>
      <c r="W23" s="60" t="n">
        <f aca="false">IF(OR($B23="Routine",$B23="Project"),$AP23+SUMIFS($V$20:$V$55,$G$20:$G$55,$E23),0)</f>
        <v>0</v>
      </c>
      <c r="X23" s="60" t="n">
        <f aca="false">IF($B23="Venture",$AP23+SUMIFS($W$20:$W$55,$G$20:$G$55,$E23),0)</f>
        <v>0</v>
      </c>
      <c r="Y23" s="60" t="n">
        <f aca="false">IF(OR($B23="Drill",$B23="Action"),$AQ23,0)</f>
        <v>0</v>
      </c>
      <c r="Z23" s="60" t="n">
        <f aca="false">IF(OR($B23="Sub",$B23="Stream"),$AQ23+SUMIFS($AQ$20:$AQ$55,$G$20:$G$55,$E23),0)</f>
        <v>0</v>
      </c>
      <c r="AA23" s="60" t="n">
        <f aca="false">IF(OR($B23="Routine",$B23="Project"),$AQ23+SUMIFS($Z$20:$Z$55,$G$20:$G$55,$E23),0)</f>
        <v>0</v>
      </c>
      <c r="AB23" s="60" t="n">
        <f aca="false">IF($B23="Venture",$AQ23+SUMIFS($AA$20:$AA$55,$G$20:$G$55,$E23),0)</f>
        <v>0</v>
      </c>
      <c r="AC23" s="60" t="str">
        <f aca="false">IF(AI23="Venture",AJ23,AI23&amp;AJ23)</f>
        <v>ProjectSome Study Project for sub-cat 2</v>
      </c>
      <c r="AD23" s="61" t="str">
        <f aca="false">"  -  "&amp;IF(E23="","ZZZ",D23&amp;AF23&amp;IF(OR(B23="Run Goal",B23="Chg Goal", B23="Venture"),F23&amp;E23,IF(OR(B23="Routine",B23="Project"),H23&amp;G23&amp;F23&amp;E23,  IF(OR(B23="Sub",B23="Stream"),J23&amp;I23&amp;H23&amp;G23&amp;F23&amp;E23,IF(OR(B23="Drill",B23="Action"),L23&amp;K23&amp;J23&amp;I23&amp;H23&amp;G23&amp;F23&amp;E23,     "") )    )))</f>
        <v>  -  2N0Chg GoalDMM45658ProjectSome Study Project for sub-cat 2</v>
      </c>
      <c r="AE23" s="60" t="str">
        <f aca="false">IF(AND(AN23="",AO23=""),"Y","N")</f>
        <v>Y</v>
      </c>
      <c r="AF23" s="99" t="str">
        <f aca="false">IF(OR(AG23="Y",AG23="Y"),AG23,IF(DN23="none","N",IF(DN23&gt;($A$17-WEEKDAY($A$17,2)-(7*$AF$18)),"Y","N")))</f>
        <v>N</v>
      </c>
      <c r="AG23" s="100"/>
      <c r="AH23" s="101"/>
      <c r="AI23" s="62" t="s">
        <v>548</v>
      </c>
      <c r="AJ23" s="64" t="s">
        <v>734</v>
      </c>
      <c r="AK23" s="64" t="s">
        <v>735</v>
      </c>
      <c r="AL23" s="70" t="n">
        <v>45658</v>
      </c>
      <c r="AM23" s="70" t="n">
        <v>46022</v>
      </c>
      <c r="AN23" s="70"/>
      <c r="AO23" s="70"/>
      <c r="AP23" s="102"/>
      <c r="AQ23" s="102"/>
      <c r="AR23" s="62" t="s">
        <v>729</v>
      </c>
      <c r="AS23" s="62" t="s">
        <v>605</v>
      </c>
      <c r="AT23" s="62" t="s">
        <v>358</v>
      </c>
      <c r="AU23" s="62" t="s">
        <v>736</v>
      </c>
      <c r="AV23" s="62" t="s">
        <v>737</v>
      </c>
      <c r="AW23" s="62"/>
      <c r="AX23" s="62"/>
      <c r="AY23" s="62"/>
      <c r="AZ23" s="62"/>
      <c r="BA23" s="62"/>
      <c r="BB23" s="54"/>
      <c r="BC23" s="103" t="s">
        <v>730</v>
      </c>
      <c r="BD23" s="54"/>
      <c r="BE23" s="60" t="n">
        <f aca="false">SUM(O23:R23)</f>
        <v>0</v>
      </c>
      <c r="BF23" s="66" t="n">
        <f aca="false">IF(AJ23="",1,IF(T23&lt;&gt;0,(P23*0.5+S23)/T23,1))</f>
        <v>1</v>
      </c>
      <c r="BG23" s="69" t="n">
        <f aca="false">IF(AI23="","",IF(AI23="Venture",X23,IF(OR(AI23="Chg Goal",AI23="RUn Goal"),W23,IF(OR(AI23="ROutine",AI23="Project"),W23,IF(OR(AI23="Sub",AI23="Stream"),V23,IF(OR(AI23="Drill",AI23="Action"),U23,0))))))</f>
        <v>0</v>
      </c>
      <c r="BH23" s="69" t="n">
        <f aca="false">IF(AI23="","",IF(AI23="Venture",AB23,IF(OR(AI23="Chg Goal",AI23="RUn Goal"),AA23,IF(OR(AI23="ROutine",AI23="Project"),AA23,IF(OR(AI23="Sub",AI23="Stream"),Z23,IF(OR(AI23="Drill",AI23="Action"),Y23,0))))))</f>
        <v>0</v>
      </c>
      <c r="BI23" s="104" t="n">
        <f aca="false">IF(AJ23="","",IF(OR(BG23=0, BG23=""),0,BH23/BG23))</f>
        <v>0</v>
      </c>
      <c r="BJ23" s="105" t="str">
        <f aca="false">IF(    OR(   AND($C23=10000000,    BJ$19&gt;=$A$17,      BJ$19 &lt;($A$17+$DI$17)   ),   AND($C23&lt;&gt;10000000,  BJ$19&gt;=$DX23,    BJ$19&lt;=($DY23+$DI$17)  ))   ,$DW23,  "")</f>
        <v>Red</v>
      </c>
      <c r="BK23" s="106" t="str">
        <f aca="false">IF(    OR(   AND($C23=10000000,    $A$17&lt;=BK$19,      ($A$17+$DI$17)&gt;BK$19    ),   AND($C23&lt;&gt;10000000,  BK$19&gt;=$DX23,    BK$19&lt;=($DY23+$DI$17)  ))   ,$DW23,  "")</f>
        <v>Red</v>
      </c>
      <c r="BL23" s="106" t="str">
        <f aca="false">IF(    OR(   AND($C23=10000000,    $A$17&lt;=BL$19,      ($A$17+$DI$17)&gt;BL$19    ),   AND($C23&lt;&gt;10000000,  BL$19&gt;=$DX23,    BL$19&lt;=($DY23+$DI$17)  ))   ,$DW23,  "")</f>
        <v>Red</v>
      </c>
      <c r="BM23" s="106" t="str">
        <f aca="false">IF(    OR(   AND($C23=10000000,    $A$17&lt;=BM$19,      ($A$17+$DI$17)&gt;BM$19    ),   AND($C23&lt;&gt;10000000,  BM$19&gt;=$DX23,    BM$19&lt;=($DY23+$DI$17)  ))   ,$DW23,  "")</f>
        <v>Red</v>
      </c>
      <c r="BN23" s="106" t="str">
        <f aca="false">IF(    OR(   AND($C23=10000000,    $A$17&lt;=BN$19,      ($A$17+$DI$17)&gt;BN$19    ),   AND($C23&lt;&gt;10000000,  BN$19&gt;=$DX23,    BN$19&lt;=($DY23+$DI$17)  ))   ,$DW23,  "")</f>
        <v>Red</v>
      </c>
      <c r="BO23" s="106" t="str">
        <f aca="false">IF(    OR(   AND($C23=10000000,    $A$17&lt;=BO$19,      ($A$17+$DI$17)&gt;BO$19    ),   AND($C23&lt;&gt;10000000,  BO$19&gt;=$DX23,    BO$19&lt;=($DY23+$DI$17)  ))   ,$DW23,  "")</f>
        <v>Red</v>
      </c>
      <c r="BP23" s="106" t="str">
        <f aca="false">IF(    OR(   AND($C23=10000000,    $A$17&lt;=BP$19,      ($A$17+$DI$17)&gt;BP$19    ),   AND($C23&lt;&gt;10000000,  BP$19&gt;=$DX23,    BP$19&lt;=($DY23+$DI$17)  ))   ,$DW23,  "")</f>
        <v>Red</v>
      </c>
      <c r="BQ23" s="106" t="str">
        <f aca="false">IF(    OR(   AND($C23=10000000,    $A$17&lt;=BQ$19,      ($A$17+$DI$17)&gt;BQ$19    ),   AND($C23&lt;&gt;10000000,  BQ$19&gt;=$DX23,    BQ$19&lt;=($DY23+$DI$17)  ))   ,$DW23,  "")</f>
        <v>Red</v>
      </c>
      <c r="BR23" s="106" t="str">
        <f aca="false">IF(    OR(   AND($C23=10000000,    $A$17&lt;=BR$19,      ($A$17+$DI$17)&gt;BR$19    ),   AND($C23&lt;&gt;10000000,  BR$19&gt;=$DX23,    BR$19&lt;=($DY23+$DI$17)  ))   ,$DW23,  "")</f>
        <v>Red</v>
      </c>
      <c r="BS23" s="106" t="str">
        <f aca="false">IF(    OR(   AND($C23=10000000,    $A$17&lt;=BS$19,      ($A$17+$DI$17)&gt;BS$19    ),   AND($C23&lt;&gt;10000000,  BS$19&gt;=$DX23,    BS$19&lt;=($DY23+$DI$17)  ))   ,$DW23,  "")</f>
        <v>Red</v>
      </c>
      <c r="BT23" s="106" t="str">
        <f aca="false">IF(    OR(   AND($C23=10000000,    $A$17&lt;=BT$19,      ($A$17+$DI$17)&gt;BT$19    ),   AND($C23&lt;&gt;10000000,  BT$19&gt;=$DX23,    BT$19&lt;=($DY23+$DI$17)  ))   ,$DW23,  "")</f>
        <v>Red</v>
      </c>
      <c r="BU23" s="106" t="str">
        <f aca="false">IF(    OR(   AND($C23=10000000,    $A$17&lt;=BU$19,      ($A$17+$DI$17)&gt;BU$19    ),   AND($C23&lt;&gt;10000000,  BU$19&gt;=$DX23,    BU$19&lt;=($DY23+$DI$17)  ))   ,$DW23,  "")</f>
        <v>Red</v>
      </c>
      <c r="BV23" s="106" t="str">
        <f aca="false">IF(    OR(   AND($C23=10000000,    $A$17&lt;=BV$19,      ($A$17+$DI$17)&gt;BV$19    ),   AND($C23&lt;&gt;10000000,  BV$19&gt;=$DX23,    BV$19&lt;=($DY23+$DI$17)  ))   ,$DW23,  "")</f>
        <v>Red</v>
      </c>
      <c r="BW23" s="106" t="str">
        <f aca="false">IF(    OR(   AND($C23=10000000,    $A$17&lt;=BW$19,      ($A$17+$DI$17)&gt;BW$19    ),   AND($C23&lt;&gt;10000000,  BW$19&gt;=$DX23,    BW$19&lt;=($DY23+$DI$17)  ))   ,$DW23,  "")</f>
        <v>Red</v>
      </c>
      <c r="BX23" s="106" t="str">
        <f aca="false">IF(    OR(   AND($C23=10000000,    $A$17&lt;=BX$19,      ($A$17+$DI$17)&gt;BX$19    ),   AND($C23&lt;&gt;10000000,  BX$19&gt;=$DX23,    BX$19&lt;=($DY23+$DI$17)  ))   ,$DW23,  "")</f>
        <v>Red</v>
      </c>
      <c r="BY23" s="106" t="str">
        <f aca="false">IF(    OR(   AND($C23=10000000,    $A$17&lt;=BY$19,      ($A$17+$DI$17)&gt;BY$19    ),   AND($C23&lt;&gt;10000000,  BY$19&gt;=$DX23,    BY$19&lt;=($DY23+$DI$17)  ))   ,$DW23,  "")</f>
        <v>Red</v>
      </c>
      <c r="BZ23" s="106" t="str">
        <f aca="false">IF(    OR(   AND($C23=10000000,    $A$17&lt;=BZ$19,      ($A$17+$DI$17)&gt;BZ$19    ),   AND($C23&lt;&gt;10000000,  BZ$19&gt;=$DX23,    BZ$19&lt;=($DY23+$DI$17)  ))   ,$DW23,  "")</f>
        <v>Red</v>
      </c>
      <c r="CA23" s="106" t="str">
        <f aca="false">IF(    OR(   AND($C23=10000000,    $A$17&lt;=CA$19,      ($A$17+$DI$17)&gt;CA$19    ),   AND($C23&lt;&gt;10000000,  CA$19&gt;=$DX23,    CA$19&lt;=($DY23+$DI$17)  ))   ,$DW23,  "")</f>
        <v>Red</v>
      </c>
      <c r="CB23" s="106" t="str">
        <f aca="false">IF(    OR(   AND($C23=10000000,    $A$17&lt;=CB$19,      ($A$17+$DI$17)&gt;CB$19    ),   AND($C23&lt;&gt;10000000,  CB$19&gt;=$DX23,    CB$19&lt;=($DY23+$DI$17)  ))   ,$DW23,  "")</f>
        <v>Red</v>
      </c>
      <c r="CC23" s="106" t="str">
        <f aca="false">IF(    OR(   AND($C23=10000000,    $A$17&lt;=CC$19,      ($A$17+$DI$17)&gt;CC$19    ),   AND($C23&lt;&gt;10000000,  CC$19&gt;=$DX23,    CC$19&lt;=($DY23+$DI$17)  ))   ,$DW23,  "")</f>
        <v>Red</v>
      </c>
      <c r="CD23" s="106" t="str">
        <f aca="false">IF(    OR(   AND($C23=10000000,    $A$17&lt;=CD$19,      ($A$17+$DI$17)&gt;CD$19    ),   AND($C23&lt;&gt;10000000,  CD$19&gt;=$DX23,    CD$19&lt;=($DY23+$DI$17)  ))   ,$DW23,  "")</f>
        <v>Red</v>
      </c>
      <c r="CE23" s="106" t="str">
        <f aca="false">IF(    OR(   AND($C23=10000000,    $A$17&lt;=CE$19,      ($A$17+$DI$17)&gt;CE$19    ),   AND($C23&lt;&gt;10000000,  CE$19&gt;=$DX23,    CE$19&lt;=($DY23+$DI$17)  ))   ,$DW23,  "")</f>
        <v>Red</v>
      </c>
      <c r="CF23" s="106" t="str">
        <f aca="false">IF(    OR(   AND($C23=10000000,    $A$17&lt;=CF$19,      ($A$17+$DI$17)&gt;CF$19    ),   AND($C23&lt;&gt;10000000,  CF$19&gt;=$DX23,    CF$19&lt;=($DY23+$DI$17)  ))   ,$DW23,  "")</f>
        <v>Red</v>
      </c>
      <c r="CG23" s="106" t="str">
        <f aca="false">IF(    OR(   AND($C23=10000000,    $A$17&lt;=CG$19,      ($A$17+$DI$17)&gt;CG$19    ),   AND($C23&lt;&gt;10000000,  CG$19&gt;=$DX23,    CG$19&lt;=($DY23+$DI$17)  ))   ,$DW23,  "")</f>
        <v>Red</v>
      </c>
      <c r="CH23" s="106" t="str">
        <f aca="false">IF(    OR(   AND($C23=10000000,    $A$17&lt;=CH$19,      ($A$17+$DI$17)&gt;CH$19    ),   AND($C23&lt;&gt;10000000,  CH$19&gt;=$DX23,    CH$19&lt;=($DY23+$DI$17)  ))   ,$DW23,  "")</f>
        <v>Red</v>
      </c>
      <c r="CI23" s="106" t="str">
        <f aca="false">IF(    OR(   AND($C23=10000000,    $A$17&lt;=CI$19,      ($A$17+$DI$17)&gt;CI$19    ),   AND($C23&lt;&gt;10000000,  CI$19&gt;=$DX23,    CI$19&lt;=($DY23+$DI$17)  ))   ,$DW23,  "")</f>
        <v>Red</v>
      </c>
      <c r="CJ23" s="106" t="str">
        <f aca="false">IF(    OR(   AND($C23=10000000,    $A$17&lt;=CJ$19,      ($A$17+$DI$17)&gt;CJ$19    ),   AND($C23&lt;&gt;10000000,  CJ$19&gt;=$DX23,    CJ$19&lt;=($DY23+$DI$17)  ))   ,$DW23,  "")</f>
        <v>Red</v>
      </c>
      <c r="CK23" s="106" t="str">
        <f aca="false">IF(    OR(   AND($C23=10000000,    $A$17&lt;=CK$19,      ($A$17+$DI$17)&gt;CK$19    ),   AND($C23&lt;&gt;10000000,  CK$19&gt;=$DX23,    CK$19&lt;=($DY23+$DI$17)  ))   ,$DW23,  "")</f>
        <v/>
      </c>
      <c r="CL23" s="106" t="str">
        <f aca="false">IF(    OR(   AND($C23=10000000,    $A$17&lt;=CL$19,      ($A$17+$DI$17)&gt;CL$19    ),   AND($C23&lt;&gt;10000000,  CL$19&gt;=$DX23,    CL$19&lt;=($DY23+$DI$17)  ))   ,$DW23,  "")</f>
        <v/>
      </c>
      <c r="CM23" s="106" t="str">
        <f aca="false">IF(    OR(   AND($C23=10000000,    $A$17&lt;=CM$19,      ($A$17+$DI$17)&gt;CM$19    ),   AND($C23&lt;&gt;10000000,  CM$19&gt;=$DX23,    CM$19&lt;=($DY23+$DI$17)  ))   ,$DW23,  "")</f>
        <v/>
      </c>
      <c r="CN23" s="106" t="str">
        <f aca="false">IF(    OR(   AND($C23=10000000,    $A$17&lt;=CN$19,      ($A$17+$DI$17)&gt;CN$19    ),   AND($C23&lt;&gt;10000000,  CN$19&gt;=$DX23,    CN$19&lt;=($DY23+$DI$17)  ))   ,$DW23,  "")</f>
        <v/>
      </c>
      <c r="CO23" s="106" t="str">
        <f aca="false">IF(    OR(   AND($C23=10000000,    $A$17&lt;=CO$19,      ($A$17+$DI$17)&gt;CO$19    ),   AND($C23&lt;&gt;10000000,  CO$19&gt;=$DX23,    CO$19&lt;=($DY23+$DI$17)  ))   ,$DW23,  "")</f>
        <v/>
      </c>
      <c r="CP23" s="106" t="str">
        <f aca="false">IF(    OR(   AND($C23=10000000,    $A$17&lt;=CP$19,      ($A$17+$DI$17)&gt;CP$19    ),   AND($C23&lt;&gt;10000000,  CP$19&gt;=$DX23,    CP$19&lt;=($DY23+$DI$17)  ))   ,$DW23,  "")</f>
        <v/>
      </c>
      <c r="CQ23" s="106" t="str">
        <f aca="false">IF(    OR(   AND($C23=10000000,    $A$17&lt;=CQ$19,      ($A$17+$DI$17)&gt;CQ$19    ),   AND($C23&lt;&gt;10000000,  CQ$19&gt;=$DX23,    CQ$19&lt;=($DY23+$DI$17)  ))   ,$DW23,  "")</f>
        <v/>
      </c>
      <c r="CR23" s="106" t="str">
        <f aca="false">IF(    OR(   AND($C23=10000000,    $A$17&lt;=CR$19,      ($A$17+$DI$17)&gt;CR$19    ),   AND($C23&lt;&gt;10000000,  CR$19&gt;=$DX23,    CR$19&lt;=($DY23+$DI$17)  ))   ,$DW23,  "")</f>
        <v/>
      </c>
      <c r="CS23" s="106" t="str">
        <f aca="false">IF(    OR(   AND($C23=10000000,    $A$17&lt;=CS$19,      ($A$17+$DI$17)&gt;CS$19    ),   AND($C23&lt;&gt;10000000,  CS$19&gt;=$DX23,    CS$19&lt;=($DY23+$DI$17)  ))   ,$DW23,  "")</f>
        <v/>
      </c>
      <c r="CT23" s="106" t="str">
        <f aca="false">IF(    OR(   AND($C23=10000000,    $A$17&lt;=CT$19,      ($A$17+$DI$17)&gt;CT$19    ),   AND($C23&lt;&gt;10000000,  CT$19&gt;=$DX23,    CT$19&lt;=($DY23+$DI$17)  ))   ,$DW23,  "")</f>
        <v/>
      </c>
      <c r="CU23" s="106" t="str">
        <f aca="false">IF(    OR(   AND($C23=10000000,    $A$17&lt;=CU$19,      ($A$17+$DI$17)&gt;CU$19    ),   AND($C23&lt;&gt;10000000,  CU$19&gt;=$DX23,    CU$19&lt;=($DY23+$DI$17)  ))   ,$DW23,  "")</f>
        <v/>
      </c>
      <c r="CV23" s="106" t="str">
        <f aca="false">IF(    OR(   AND($C23=10000000,    $A$17&lt;=CV$19,      ($A$17+$DI$17)&gt;CV$19    ),   AND($C23&lt;&gt;10000000,  CV$19&gt;=$DX23,    CV$19&lt;=($DY23+$DI$17)  ))   ,$DW23,  "")</f>
        <v/>
      </c>
      <c r="CW23" s="106" t="str">
        <f aca="false">IF(    OR(   AND($C23=10000000,    $A$17&lt;=CW$19,      ($A$17+$DI$17)&gt;CW$19    ),   AND($C23&lt;&gt;10000000,  CW$19&gt;=$DX23,    CW$19&lt;=($DY23+$DI$17)  ))   ,$DW23,  "")</f>
        <v/>
      </c>
      <c r="CX23" s="106" t="str">
        <f aca="false">IF(    OR(   AND($C23=10000000,    $A$17&lt;=CX$19,      ($A$17+$DI$17)&gt;CX$19    ),   AND($C23&lt;&gt;10000000,  CX$19&gt;=$DX23,    CX$19&lt;=($DY23+$DI$17)  ))   ,$DW23,  "")</f>
        <v/>
      </c>
      <c r="CY23" s="106" t="str">
        <f aca="false">IF(    OR(   AND($C23=10000000,    $A$17&lt;=CY$19,      ($A$17+$DI$17)&gt;CY$19    ),   AND($C23&lt;&gt;10000000,  CY$19&gt;=$DX23,    CY$19&lt;=($DY23+$DI$17)  ))   ,$DW23,  "")</f>
        <v/>
      </c>
      <c r="CZ23" s="106" t="str">
        <f aca="false">IF(    OR(   AND($C23=10000000,    $A$17&lt;=CZ$19,      ($A$17+$DI$17)&gt;CZ$19    ),   AND($C23&lt;&gt;10000000,  CZ$19&gt;=$DX23,    CZ$19&lt;=($DY23+$DI$17)  ))   ,$DW23,  "")</f>
        <v/>
      </c>
      <c r="DA23" s="106" t="str">
        <f aca="false">IF(    OR(   AND($C23=10000000,    $A$17&lt;=DA$19,      ($A$17+$DI$17)&gt;DA$19    ),   AND($C23&lt;&gt;10000000,  DA$19&gt;=$DX23,    DA$19&lt;=($DY23+$DI$17)  ))   ,$DW23,  "")</f>
        <v/>
      </c>
      <c r="DB23" s="106" t="str">
        <f aca="false">IF(    OR(   AND($C23=10000000,    $A$17&lt;=DB$19,      ($A$17+$DI$17)&gt;DB$19    ),   AND($C23&lt;&gt;10000000,  DB$19&gt;=$DX23,    DB$19&lt;=($DY23+$DI$17)  ))   ,$DW23,  "")</f>
        <v/>
      </c>
      <c r="DC23" s="106" t="str">
        <f aca="false">IF(    OR(   AND($C23=10000000,    $A$17&lt;=DC$19,      ($A$17+$DI$17)&gt;DC$19    ),   AND($C23&lt;&gt;10000000,  DC$19&gt;=$DX23,    DC$19&lt;=($DY23+$DI$17)  ))   ,$DW23,  "")</f>
        <v/>
      </c>
      <c r="DD23" s="106" t="str">
        <f aca="false">IF(    OR(   AND($C23=10000000,    $A$17&lt;=DD$19,      ($A$17+$DI$17)&gt;DD$19    ),   AND($C23&lt;&gt;10000000,  DD$19&gt;=$DX23,    DD$19&lt;=($DY23+$DI$17)  ))   ,$DW23,  "")</f>
        <v/>
      </c>
      <c r="DE23" s="106" t="str">
        <f aca="false">IF(    OR(   AND($C23=10000000,    $A$17&lt;=DE$19,      ($A$17+$DI$17)&gt;DE$19    ),   AND($C23&lt;&gt;10000000,  DE$19&gt;=$DX23,    DE$19&lt;=($DY23+$DI$17)  ))   ,$DW23,  "")</f>
        <v/>
      </c>
      <c r="DF23" s="106" t="str">
        <f aca="false">IF(    OR(   AND($C23=10000000,    $A$17&lt;=DF$19,      ($A$17+$DI$17)&gt;DF$19    ),   AND($C23&lt;&gt;10000000,  DF$19&gt;=$DX23,    DF$19&lt;=($DY23+$DI$17)  ))   ,$DW23,  "")</f>
        <v/>
      </c>
      <c r="DG23" s="106" t="str">
        <f aca="false">IF(    OR(   AND($C23=10000000,    $A$17&lt;=DG$19,      ($A$17+$DI$17)&gt;DG$19    ),   AND($C23&lt;&gt;10000000,  DG$19&gt;=$DX23,    DG$19&lt;=($DY23+$DI$17)  ))   ,$DW23,  "")</f>
        <v/>
      </c>
      <c r="DH23" s="106" t="str">
        <f aca="false">IF(    OR(   AND($C23=10000000,    $A$17&lt;=DH$19,      ($A$17+$DI$17)&gt;DH$19    ),   AND($C23&lt;&gt;10000000,  DH$19&gt;=$DX23,    DH$19&lt;=($DY23+$DI$17)  ))   ,$DW23,  "")</f>
        <v/>
      </c>
      <c r="DI23" s="106" t="str">
        <f aca="false">IF(    OR(   AND($C23=10000000,    $A$17&lt;=DI$19,      ($A$17+$DI$17)&gt;DI$19    ),   AND($C23&lt;&gt;10000000,  DI$19&gt;=$DX23,    DI$19&lt;=($DY23+$DI$17)  ))   ,$DW23,  "")</f>
        <v/>
      </c>
      <c r="DJ23" s="74" t="str">
        <f aca="false">IF(BC23="","",IF(ISERROR(FIND(CHAR(10),BC23,1)),BC23,LEFT(BC23,FIND(CHAR(10),BC23,1))))</f>
        <v>01-01-22: init</v>
      </c>
      <c r="DK23" s="61" t="str">
        <f aca="false">IF(BC23="","",IFERROR(RIGHT(BC23,LEN(BC23)-FIND("@@@",SUBSTITUTE(BC23,CHAR(10),"@@@",LEN(BC23)-LEN(SUBSTITUTE(BC23,CHAR(10),""))),1)),BC23))</f>
        <v>01-01-22: init</v>
      </c>
      <c r="DL23" s="61" t="str">
        <f aca="false">IF(BD23="","",IFERROR(RIGHT(BD23,LEN(BD23)-FIND("@@@",SUBSTITUTE(BD23,CHAR(10),"@@@",LEN(BD23)-LEN(SUBSTITUTE(BD23,CHAR(10),""))),1)),BD23))</f>
        <v/>
      </c>
      <c r="DM23" s="107" t="n">
        <f aca="false">IFERROR(DATE(("20"&amp;MID(DJ23,7,2))*1,MID(DJ23,4,2)*1,MID(DJ23,1,2)*1),"none")</f>
        <v>44562</v>
      </c>
      <c r="DN23" s="107" t="n">
        <f aca="false">IFERROR(DATE(("20"&amp;MID(DK23,7,2))*1,MID(DK23,4,2)*1,MID(DK23,1,2)*1),"none")</f>
        <v>44562</v>
      </c>
      <c r="DO23" s="107" t="n">
        <f aca="false">IF(DM23&lt;&gt;"none",DM23,DATE(1900,1,1))</f>
        <v>44562</v>
      </c>
      <c r="DP23" s="107" t="n">
        <f aca="false">IF(DN23&lt;&gt;"none",DN23,DO23)</f>
        <v>44562</v>
      </c>
      <c r="DQ23" s="108" t="n">
        <f aca="false">_xlfn.DAYS($A$17,DO23)</f>
        <v>1759</v>
      </c>
      <c r="DR23" s="108" t="n">
        <f aca="false">_xlfn.DAYS($A$17, DP23)</f>
        <v>1759</v>
      </c>
      <c r="DS23" s="60" t="n">
        <f aca="false">IF(DP23&lt;&gt;"",INT(DR23/7),0)</f>
        <v>251</v>
      </c>
      <c r="DT23" s="108" t="n">
        <f aca="false">IF(N23="Overdue",_xlfn.DAYS($A$17,AM23),0)</f>
        <v>299</v>
      </c>
      <c r="DU23" s="108" t="n">
        <f aca="false">IF(AI23="Project",_xlfn.DAYS(AM23,$A$17),0)</f>
        <v>-299</v>
      </c>
      <c r="DV23" s="60" t="str">
        <f aca="false">IFERROR(INDEX(Static!$D$5:$E$13,MATCH(AI23,Static!$D$5:$D$13,0),2),"")</f>
        <v>Chg</v>
      </c>
      <c r="DW23" s="60" t="str">
        <f aca="false">IF(C23=10000000,"Red",IF(OR(C23=11000000,C23=12000000),"Black",IF(C23=11100000,"Dark",IF(AND(C23=12100000,N23="Completed"),"Green",IF(AND(C23=12100000,N23="Overdue"),"Red",IF(C23=12100000,"Dark",IF(AND(C23=12110000,N23="Overdue"),"LightRed",IF(AND(C23=12110000,N23="Completed"),"LightGreen",IF(OR(C23=11110000,C23=12110000),"Light",IF(AND(C23=12111000,N23="Overdue"),"SoftRed",IF(AND(C23=12111000,N23="Completed"),"SoftGreen",IF(OR(C23=11111000,C23=12111000),"Grey",""))))))))))))</f>
        <v>Red</v>
      </c>
      <c r="DX23" s="58" t="n">
        <f aca="false">IF(AL23&lt;&gt;"",AL23,$BJ$19)</f>
        <v>45658</v>
      </c>
      <c r="DY23" s="58" t="n">
        <f aca="false">IF(AM23&lt;&gt;"",AM23,$DI$19)</f>
        <v>46022</v>
      </c>
      <c r="DZ23" s="62" t="s">
        <v>364</v>
      </c>
    </row>
    <row r="24" customFormat="false" ht="14.15" hidden="false" customHeight="true" outlineLevel="0" collapsed="false">
      <c r="A24" s="54"/>
      <c r="B24" s="61" t="str">
        <f aca="false">AI24</f>
        <v>Stream</v>
      </c>
      <c r="C24" s="60" t="n">
        <f aca="false">IFERROR(INDEX(Static!$D$5:$F$13,MATCH(AI24,Static!$D$5:$D$13,0),3),90000000)</f>
        <v>12110000</v>
      </c>
      <c r="D24" s="60" t="str">
        <f aca="false">MID(C24,2,1)</f>
        <v>2</v>
      </c>
      <c r="E24" s="61" t="str">
        <f aca="false">AC24</f>
        <v>Stream    Some Stream of the project</v>
      </c>
      <c r="F24" s="58" t="n">
        <f aca="false">IF(B24="Venture",0,IF(OR(B24="Project",B24="Stream",B24="Action"),AL24,0))</f>
        <v>45658</v>
      </c>
      <c r="G24" s="60" t="str">
        <f aca="false">AT24</f>
        <v>ProjectSome Study Project for sub-cat 2</v>
      </c>
      <c r="H24" s="58" t="n">
        <f aca="false">IF(B24="Venture",0,IFERROR(INDEX($E$20:$F$55,MATCH(G24,$E$20:$E$55,0),2),0))</f>
        <v>45658</v>
      </c>
      <c r="I24" s="60" t="str">
        <f aca="false">IF(B24="Venture",0,IFERROR(INDEX($E$20:$G$55,MATCH(G24,$E$20:$E$55,0),3),""))</f>
        <v>Chg GoalDMM</v>
      </c>
      <c r="J24" s="60" t="n">
        <f aca="false">IF(B24="Venture",0,IFERROR(INDEX($E$20:$H$55,MATCH(G24,$E$20:$E$55,0),4),0))</f>
        <v>0</v>
      </c>
      <c r="K24" s="60" t="str">
        <f aca="false">IF(B24="Venture",0,IFERROR(INDEX($E$20:$G$55,MATCH(I24,$E$20:$E$55,0),3),""))</f>
        <v>VNT</v>
      </c>
      <c r="L24" s="60" t="n">
        <f aca="false">IF(C24="Venture",0,IFERROR(INDEX($E$20:$G$55,MATCH(J24,$E$20:$E$55,0),4),0))</f>
        <v>0</v>
      </c>
      <c r="M24" s="60" t="str">
        <f aca="false">IF(N24="Completed","Completed","Ongoing")</f>
        <v>Ongoing</v>
      </c>
      <c r="N24" s="60" t="str">
        <f aca="false">IF(OR(AI24="Venture",AI24="Routine",AI24="Run Goal", AI24="Chg Goal", AI24=""),AI24,IF(AO24&lt;&gt;"","Completed",IF(AN24&lt;&gt;"","Pending",IF(AND(AM24&lt;&gt;"",$A$17&gt;AM24),"Overdue",IF($A$17&gt;AL24,"Started","Open")))))</f>
        <v>Overdue</v>
      </c>
      <c r="O24" s="59" t="n">
        <f aca="false">((LEN($BD24)-LEN(SUBSTITUTE($BD24,CHAR(10)&amp;". ","")))/3)+IF(LEFT(TRIM($BD24),2)=". ",1,0)</f>
        <v>0</v>
      </c>
      <c r="P24" s="59" t="n">
        <f aca="false">((LEN($BD24)-LEN(SUBSTITUTE($BD24,CHAR(10)&amp;"/ ","")))/3)+IF(LEFT(TRIM($BD24),2)="/ ",1,0)</f>
        <v>0</v>
      </c>
      <c r="Q24" s="59" t="n">
        <f aca="false">((LEN($BD24)-LEN(SUBSTITUTE($BD24,CHAR(10)&amp;"~ ","")))/3)+IF(LEFT(TRIM($BD24),2)="~ ",1,0)</f>
        <v>0</v>
      </c>
      <c r="R24" s="59" t="n">
        <f aca="false">((LEN($BD24)-LEN(SUBSTITUTE($BD24,CHAR(10)&amp;"! ","")))/3)+IF(LEFT(TRIM($BD24),2)="! ",1,0)</f>
        <v>0</v>
      </c>
      <c r="S24" s="59" t="n">
        <f aca="false">((LEN($BD24)-LEN(SUBSTITUTE($BD24,CHAR(10)&amp;"x ","")))/3)+IF(LEFT(TRIM($BD24),2)="x ",1,0)</f>
        <v>0</v>
      </c>
      <c r="T24" s="59" t="n">
        <f aca="false">SUM(O24:S24)</f>
        <v>0</v>
      </c>
      <c r="U24" s="60" t="n">
        <f aca="false">IF(OR($B24="Drill",$B24="Action"),$AP24,0)</f>
        <v>0</v>
      </c>
      <c r="V24" s="60" t="n">
        <f aca="false">IF(OR($B24="Sub",$B24="Stream"),$AP24+SUMIFS($AP$20:$AP$55,$G$20:$G$55,$E24),0)</f>
        <v>0</v>
      </c>
      <c r="W24" s="60" t="n">
        <f aca="false">IF(OR($B24="Routine",$B24="Project"),$AP24+SUMIFS($V$20:$V$55,$G$20:$G$55,$E24),0)</f>
        <v>0</v>
      </c>
      <c r="X24" s="60" t="n">
        <f aca="false">IF($B24="Venture",$AP24+SUMIFS($W$20:$W$55,$G$20:$G$55,$E24),0)</f>
        <v>0</v>
      </c>
      <c r="Y24" s="60" t="n">
        <f aca="false">IF(OR($B24="Drill",$B24="Action"),$AQ24,0)</f>
        <v>0</v>
      </c>
      <c r="Z24" s="60" t="n">
        <f aca="false">IF(OR($B24="Sub",$B24="Stream"),$AQ24+SUMIFS($AQ$20:$AQ$55,$G$20:$G$55,$E24),0)</f>
        <v>0</v>
      </c>
      <c r="AA24" s="60" t="n">
        <f aca="false">IF(OR($B24="Routine",$B24="Project"),$AQ24+SUMIFS($Z$20:$Z$55,$G$20:$G$55,$E24),0)</f>
        <v>0</v>
      </c>
      <c r="AB24" s="60" t="n">
        <f aca="false">IF($B24="Venture",$AQ24+SUMIFS($AA$20:$AA$55,$G$20:$G$55,$E24),0)</f>
        <v>0</v>
      </c>
      <c r="AC24" s="60" t="str">
        <f aca="false">IF(AI24="Venture",AJ24,AI24&amp;AJ24)</f>
        <v>Stream    Some Stream of the project</v>
      </c>
      <c r="AD24" s="61" t="str">
        <f aca="false">"  -  "&amp;IF(E24="","ZZZ",D24&amp;AF24&amp;IF(OR(B24="Run Goal",B24="Chg Goal", B24="Venture"),F24&amp;E24,IF(OR(B24="Routine",B24="Project"),H24&amp;G24&amp;F24&amp;E24,  IF(OR(B24="Sub",B24="Stream"),J24&amp;I24&amp;H24&amp;G24&amp;F24&amp;E24,IF(OR(B24="Drill",B24="Action"),L24&amp;K24&amp;J24&amp;I24&amp;H24&amp;G24&amp;F24&amp;E24,     "") )    )))</f>
        <v>  -  2N0Chg GoalDMM45658ProjectSome Study Project for sub-cat 245658Stream    Some Stream of the project</v>
      </c>
      <c r="AE24" s="60" t="str">
        <f aca="false">IF(AND(AN24="",AO24=""),"Y","N")</f>
        <v>Y</v>
      </c>
      <c r="AF24" s="99" t="str">
        <f aca="false">IF(OR(AG24="Y",AG24="Y"),AG24,IF(DN24="none","N",IF(DN24&gt;($A$17-WEEKDAY($A$17,2)-(7*$AF$18)),"Y","N")))</f>
        <v>N</v>
      </c>
      <c r="AG24" s="100"/>
      <c r="AH24" s="101"/>
      <c r="AI24" s="62" t="s">
        <v>738</v>
      </c>
      <c r="AJ24" s="64" t="s">
        <v>739</v>
      </c>
      <c r="AK24" s="64" t="s">
        <v>740</v>
      </c>
      <c r="AL24" s="70" t="n">
        <v>45658</v>
      </c>
      <c r="AM24" s="70" t="n">
        <v>46022</v>
      </c>
      <c r="AN24" s="70"/>
      <c r="AO24" s="70"/>
      <c r="AP24" s="102"/>
      <c r="AQ24" s="102"/>
      <c r="AR24" s="62" t="s">
        <v>729</v>
      </c>
      <c r="AS24" s="62" t="s">
        <v>605</v>
      </c>
      <c r="AT24" s="62" t="s">
        <v>361</v>
      </c>
      <c r="AU24" s="62" t="s">
        <v>736</v>
      </c>
      <c r="AV24" s="62" t="s">
        <v>737</v>
      </c>
      <c r="AW24" s="62"/>
      <c r="AX24" s="62"/>
      <c r="AY24" s="62"/>
      <c r="AZ24" s="62"/>
      <c r="BA24" s="62"/>
      <c r="BB24" s="54"/>
      <c r="BC24" s="103" t="s">
        <v>730</v>
      </c>
      <c r="BD24" s="54"/>
      <c r="BE24" s="60" t="n">
        <f aca="false">SUM(O24:R24)</f>
        <v>0</v>
      </c>
      <c r="BF24" s="66" t="n">
        <f aca="false">IF(AJ24="",1,IF(T24&lt;&gt;0,(P24*0.5+S24)/T24,1))</f>
        <v>1</v>
      </c>
      <c r="BG24" s="69" t="n">
        <f aca="false">IF(AI24="","",IF(AI24="Venture",X24,IF(OR(AI24="Chg Goal",AI24="RUn Goal"),W24,IF(OR(AI24="ROutine",AI24="Project"),W24,IF(OR(AI24="Sub",AI24="Stream"),V24,IF(OR(AI24="Drill",AI24="Action"),U24,0))))))</f>
        <v>0</v>
      </c>
      <c r="BH24" s="69" t="n">
        <f aca="false">IF(AI24="","",IF(AI24="Venture",AB24,IF(OR(AI24="Chg Goal",AI24="RUn Goal"),AA24,IF(OR(AI24="ROutine",AI24="Project"),AA24,IF(OR(AI24="Sub",AI24="Stream"),Z24,IF(OR(AI24="Drill",AI24="Action"),Y24,0))))))</f>
        <v>0</v>
      </c>
      <c r="BI24" s="104" t="n">
        <f aca="false">IF(AJ24="","",IF(OR(BG24=0, BG24=""),0,BH24/BG24))</f>
        <v>0</v>
      </c>
      <c r="BJ24" s="105" t="str">
        <f aca="false">IF(    OR(   AND($C24=10000000,    BJ$19&gt;=$A$17,      BJ$19 &lt;($A$17+$DI$17)   ),   AND($C24&lt;&gt;10000000,  BJ$19&gt;=$DX24,    BJ$19&lt;=($DY24+$DI$17)  ))   ,$DW24,  "")</f>
        <v>LightRed</v>
      </c>
      <c r="BK24" s="106" t="str">
        <f aca="false">IF(    OR(   AND($C24=10000000,    $A$17&lt;=BK$19,      ($A$17+$DI$17)&gt;BK$19    ),   AND($C24&lt;&gt;10000000,  BK$19&gt;=$DX24,    BK$19&lt;=($DY24+$DI$17)  ))   ,$DW24,  "")</f>
        <v>LightRed</v>
      </c>
      <c r="BL24" s="106" t="str">
        <f aca="false">IF(    OR(   AND($C24=10000000,    $A$17&lt;=BL$19,      ($A$17+$DI$17)&gt;BL$19    ),   AND($C24&lt;&gt;10000000,  BL$19&gt;=$DX24,    BL$19&lt;=($DY24+$DI$17)  ))   ,$DW24,  "")</f>
        <v>LightRed</v>
      </c>
      <c r="BM24" s="106" t="str">
        <f aca="false">IF(    OR(   AND($C24=10000000,    $A$17&lt;=BM$19,      ($A$17+$DI$17)&gt;BM$19    ),   AND($C24&lt;&gt;10000000,  BM$19&gt;=$DX24,    BM$19&lt;=($DY24+$DI$17)  ))   ,$DW24,  "")</f>
        <v>LightRed</v>
      </c>
      <c r="BN24" s="106" t="str">
        <f aca="false">IF(    OR(   AND($C24=10000000,    $A$17&lt;=BN$19,      ($A$17+$DI$17)&gt;BN$19    ),   AND($C24&lt;&gt;10000000,  BN$19&gt;=$DX24,    BN$19&lt;=($DY24+$DI$17)  ))   ,$DW24,  "")</f>
        <v>LightRed</v>
      </c>
      <c r="BO24" s="106" t="str">
        <f aca="false">IF(    OR(   AND($C24=10000000,    $A$17&lt;=BO$19,      ($A$17+$DI$17)&gt;BO$19    ),   AND($C24&lt;&gt;10000000,  BO$19&gt;=$DX24,    BO$19&lt;=($DY24+$DI$17)  ))   ,$DW24,  "")</f>
        <v>LightRed</v>
      </c>
      <c r="BP24" s="106" t="str">
        <f aca="false">IF(    OR(   AND($C24=10000000,    $A$17&lt;=BP$19,      ($A$17+$DI$17)&gt;BP$19    ),   AND($C24&lt;&gt;10000000,  BP$19&gt;=$DX24,    BP$19&lt;=($DY24+$DI$17)  ))   ,$DW24,  "")</f>
        <v>LightRed</v>
      </c>
      <c r="BQ24" s="106" t="str">
        <f aca="false">IF(    OR(   AND($C24=10000000,    $A$17&lt;=BQ$19,      ($A$17+$DI$17)&gt;BQ$19    ),   AND($C24&lt;&gt;10000000,  BQ$19&gt;=$DX24,    BQ$19&lt;=($DY24+$DI$17)  ))   ,$DW24,  "")</f>
        <v>LightRed</v>
      </c>
      <c r="BR24" s="106" t="str">
        <f aca="false">IF(    OR(   AND($C24=10000000,    $A$17&lt;=BR$19,      ($A$17+$DI$17)&gt;BR$19    ),   AND($C24&lt;&gt;10000000,  BR$19&gt;=$DX24,    BR$19&lt;=($DY24+$DI$17)  ))   ,$DW24,  "")</f>
        <v>LightRed</v>
      </c>
      <c r="BS24" s="106" t="str">
        <f aca="false">IF(    OR(   AND($C24=10000000,    $A$17&lt;=BS$19,      ($A$17+$DI$17)&gt;BS$19    ),   AND($C24&lt;&gt;10000000,  BS$19&gt;=$DX24,    BS$19&lt;=($DY24+$DI$17)  ))   ,$DW24,  "")</f>
        <v>LightRed</v>
      </c>
      <c r="BT24" s="106" t="str">
        <f aca="false">IF(    OR(   AND($C24=10000000,    $A$17&lt;=BT$19,      ($A$17+$DI$17)&gt;BT$19    ),   AND($C24&lt;&gt;10000000,  BT$19&gt;=$DX24,    BT$19&lt;=($DY24+$DI$17)  ))   ,$DW24,  "")</f>
        <v>LightRed</v>
      </c>
      <c r="BU24" s="106" t="str">
        <f aca="false">IF(    OR(   AND($C24=10000000,    $A$17&lt;=BU$19,      ($A$17+$DI$17)&gt;BU$19    ),   AND($C24&lt;&gt;10000000,  BU$19&gt;=$DX24,    BU$19&lt;=($DY24+$DI$17)  ))   ,$DW24,  "")</f>
        <v>LightRed</v>
      </c>
      <c r="BV24" s="106" t="str">
        <f aca="false">IF(    OR(   AND($C24=10000000,    $A$17&lt;=BV$19,      ($A$17+$DI$17)&gt;BV$19    ),   AND($C24&lt;&gt;10000000,  BV$19&gt;=$DX24,    BV$19&lt;=($DY24+$DI$17)  ))   ,$DW24,  "")</f>
        <v>LightRed</v>
      </c>
      <c r="BW24" s="106" t="str">
        <f aca="false">IF(    OR(   AND($C24=10000000,    $A$17&lt;=BW$19,      ($A$17+$DI$17)&gt;BW$19    ),   AND($C24&lt;&gt;10000000,  BW$19&gt;=$DX24,    BW$19&lt;=($DY24+$DI$17)  ))   ,$DW24,  "")</f>
        <v>LightRed</v>
      </c>
      <c r="BX24" s="106" t="str">
        <f aca="false">IF(    OR(   AND($C24=10000000,    $A$17&lt;=BX$19,      ($A$17+$DI$17)&gt;BX$19    ),   AND($C24&lt;&gt;10000000,  BX$19&gt;=$DX24,    BX$19&lt;=($DY24+$DI$17)  ))   ,$DW24,  "")</f>
        <v>LightRed</v>
      </c>
      <c r="BY24" s="106" t="str">
        <f aca="false">IF(    OR(   AND($C24=10000000,    $A$17&lt;=BY$19,      ($A$17+$DI$17)&gt;BY$19    ),   AND($C24&lt;&gt;10000000,  BY$19&gt;=$DX24,    BY$19&lt;=($DY24+$DI$17)  ))   ,$DW24,  "")</f>
        <v>LightRed</v>
      </c>
      <c r="BZ24" s="106" t="str">
        <f aca="false">IF(    OR(   AND($C24=10000000,    $A$17&lt;=BZ$19,      ($A$17+$DI$17)&gt;BZ$19    ),   AND($C24&lt;&gt;10000000,  BZ$19&gt;=$DX24,    BZ$19&lt;=($DY24+$DI$17)  ))   ,$DW24,  "")</f>
        <v>LightRed</v>
      </c>
      <c r="CA24" s="106" t="str">
        <f aca="false">IF(    OR(   AND($C24=10000000,    $A$17&lt;=CA$19,      ($A$17+$DI$17)&gt;CA$19    ),   AND($C24&lt;&gt;10000000,  CA$19&gt;=$DX24,    CA$19&lt;=($DY24+$DI$17)  ))   ,$DW24,  "")</f>
        <v>LightRed</v>
      </c>
      <c r="CB24" s="106" t="str">
        <f aca="false">IF(    OR(   AND($C24=10000000,    $A$17&lt;=CB$19,      ($A$17+$DI$17)&gt;CB$19    ),   AND($C24&lt;&gt;10000000,  CB$19&gt;=$DX24,    CB$19&lt;=($DY24+$DI$17)  ))   ,$DW24,  "")</f>
        <v>LightRed</v>
      </c>
      <c r="CC24" s="106" t="str">
        <f aca="false">IF(    OR(   AND($C24=10000000,    $A$17&lt;=CC$19,      ($A$17+$DI$17)&gt;CC$19    ),   AND($C24&lt;&gt;10000000,  CC$19&gt;=$DX24,    CC$19&lt;=($DY24+$DI$17)  ))   ,$DW24,  "")</f>
        <v>LightRed</v>
      </c>
      <c r="CD24" s="106" t="str">
        <f aca="false">IF(    OR(   AND($C24=10000000,    $A$17&lt;=CD$19,      ($A$17+$DI$17)&gt;CD$19    ),   AND($C24&lt;&gt;10000000,  CD$19&gt;=$DX24,    CD$19&lt;=($DY24+$DI$17)  ))   ,$DW24,  "")</f>
        <v>LightRed</v>
      </c>
      <c r="CE24" s="106" t="str">
        <f aca="false">IF(    OR(   AND($C24=10000000,    $A$17&lt;=CE$19,      ($A$17+$DI$17)&gt;CE$19    ),   AND($C24&lt;&gt;10000000,  CE$19&gt;=$DX24,    CE$19&lt;=($DY24+$DI$17)  ))   ,$DW24,  "")</f>
        <v>LightRed</v>
      </c>
      <c r="CF24" s="106" t="str">
        <f aca="false">IF(    OR(   AND($C24=10000000,    $A$17&lt;=CF$19,      ($A$17+$DI$17)&gt;CF$19    ),   AND($C24&lt;&gt;10000000,  CF$19&gt;=$DX24,    CF$19&lt;=($DY24+$DI$17)  ))   ,$DW24,  "")</f>
        <v>LightRed</v>
      </c>
      <c r="CG24" s="106" t="str">
        <f aca="false">IF(    OR(   AND($C24=10000000,    $A$17&lt;=CG$19,      ($A$17+$DI$17)&gt;CG$19    ),   AND($C24&lt;&gt;10000000,  CG$19&gt;=$DX24,    CG$19&lt;=($DY24+$DI$17)  ))   ,$DW24,  "")</f>
        <v>LightRed</v>
      </c>
      <c r="CH24" s="106" t="str">
        <f aca="false">IF(    OR(   AND($C24=10000000,    $A$17&lt;=CH$19,      ($A$17+$DI$17)&gt;CH$19    ),   AND($C24&lt;&gt;10000000,  CH$19&gt;=$DX24,    CH$19&lt;=($DY24+$DI$17)  ))   ,$DW24,  "")</f>
        <v>LightRed</v>
      </c>
      <c r="CI24" s="106" t="str">
        <f aca="false">IF(    OR(   AND($C24=10000000,    $A$17&lt;=CI$19,      ($A$17+$DI$17)&gt;CI$19    ),   AND($C24&lt;&gt;10000000,  CI$19&gt;=$DX24,    CI$19&lt;=($DY24+$DI$17)  ))   ,$DW24,  "")</f>
        <v>LightRed</v>
      </c>
      <c r="CJ24" s="106" t="str">
        <f aca="false">IF(    OR(   AND($C24=10000000,    $A$17&lt;=CJ$19,      ($A$17+$DI$17)&gt;CJ$19    ),   AND($C24&lt;&gt;10000000,  CJ$19&gt;=$DX24,    CJ$19&lt;=($DY24+$DI$17)  ))   ,$DW24,  "")</f>
        <v>LightRed</v>
      </c>
      <c r="CK24" s="106" t="str">
        <f aca="false">IF(    OR(   AND($C24=10000000,    $A$17&lt;=CK$19,      ($A$17+$DI$17)&gt;CK$19    ),   AND($C24&lt;&gt;10000000,  CK$19&gt;=$DX24,    CK$19&lt;=($DY24+$DI$17)  ))   ,$DW24,  "")</f>
        <v/>
      </c>
      <c r="CL24" s="106" t="str">
        <f aca="false">IF(    OR(   AND($C24=10000000,    $A$17&lt;=CL$19,      ($A$17+$DI$17)&gt;CL$19    ),   AND($C24&lt;&gt;10000000,  CL$19&gt;=$DX24,    CL$19&lt;=($DY24+$DI$17)  ))   ,$DW24,  "")</f>
        <v/>
      </c>
      <c r="CM24" s="106" t="str">
        <f aca="false">IF(    OR(   AND($C24=10000000,    $A$17&lt;=CM$19,      ($A$17+$DI$17)&gt;CM$19    ),   AND($C24&lt;&gt;10000000,  CM$19&gt;=$DX24,    CM$19&lt;=($DY24+$DI$17)  ))   ,$DW24,  "")</f>
        <v/>
      </c>
      <c r="CN24" s="106" t="str">
        <f aca="false">IF(    OR(   AND($C24=10000000,    $A$17&lt;=CN$19,      ($A$17+$DI$17)&gt;CN$19    ),   AND($C24&lt;&gt;10000000,  CN$19&gt;=$DX24,    CN$19&lt;=($DY24+$DI$17)  ))   ,$DW24,  "")</f>
        <v/>
      </c>
      <c r="CO24" s="106" t="str">
        <f aca="false">IF(    OR(   AND($C24=10000000,    $A$17&lt;=CO$19,      ($A$17+$DI$17)&gt;CO$19    ),   AND($C24&lt;&gt;10000000,  CO$19&gt;=$DX24,    CO$19&lt;=($DY24+$DI$17)  ))   ,$DW24,  "")</f>
        <v/>
      </c>
      <c r="CP24" s="106" t="str">
        <f aca="false">IF(    OR(   AND($C24=10000000,    $A$17&lt;=CP$19,      ($A$17+$DI$17)&gt;CP$19    ),   AND($C24&lt;&gt;10000000,  CP$19&gt;=$DX24,    CP$19&lt;=($DY24+$DI$17)  ))   ,$DW24,  "")</f>
        <v/>
      </c>
      <c r="CQ24" s="106" t="str">
        <f aca="false">IF(    OR(   AND($C24=10000000,    $A$17&lt;=CQ$19,      ($A$17+$DI$17)&gt;CQ$19    ),   AND($C24&lt;&gt;10000000,  CQ$19&gt;=$DX24,    CQ$19&lt;=($DY24+$DI$17)  ))   ,$DW24,  "")</f>
        <v/>
      </c>
      <c r="CR24" s="106" t="str">
        <f aca="false">IF(    OR(   AND($C24=10000000,    $A$17&lt;=CR$19,      ($A$17+$DI$17)&gt;CR$19    ),   AND($C24&lt;&gt;10000000,  CR$19&gt;=$DX24,    CR$19&lt;=($DY24+$DI$17)  ))   ,$DW24,  "")</f>
        <v/>
      </c>
      <c r="CS24" s="106" t="str">
        <f aca="false">IF(    OR(   AND($C24=10000000,    $A$17&lt;=CS$19,      ($A$17+$DI$17)&gt;CS$19    ),   AND($C24&lt;&gt;10000000,  CS$19&gt;=$DX24,    CS$19&lt;=($DY24+$DI$17)  ))   ,$DW24,  "")</f>
        <v/>
      </c>
      <c r="CT24" s="106" t="str">
        <f aca="false">IF(    OR(   AND($C24=10000000,    $A$17&lt;=CT$19,      ($A$17+$DI$17)&gt;CT$19    ),   AND($C24&lt;&gt;10000000,  CT$19&gt;=$DX24,    CT$19&lt;=($DY24+$DI$17)  ))   ,$DW24,  "")</f>
        <v/>
      </c>
      <c r="CU24" s="106" t="str">
        <f aca="false">IF(    OR(   AND($C24=10000000,    $A$17&lt;=CU$19,      ($A$17+$DI$17)&gt;CU$19    ),   AND($C24&lt;&gt;10000000,  CU$19&gt;=$DX24,    CU$19&lt;=($DY24+$DI$17)  ))   ,$DW24,  "")</f>
        <v/>
      </c>
      <c r="CV24" s="106" t="str">
        <f aca="false">IF(    OR(   AND($C24=10000000,    $A$17&lt;=CV$19,      ($A$17+$DI$17)&gt;CV$19    ),   AND($C24&lt;&gt;10000000,  CV$19&gt;=$DX24,    CV$19&lt;=($DY24+$DI$17)  ))   ,$DW24,  "")</f>
        <v/>
      </c>
      <c r="CW24" s="106" t="str">
        <f aca="false">IF(    OR(   AND($C24=10000000,    $A$17&lt;=CW$19,      ($A$17+$DI$17)&gt;CW$19    ),   AND($C24&lt;&gt;10000000,  CW$19&gt;=$DX24,    CW$19&lt;=($DY24+$DI$17)  ))   ,$DW24,  "")</f>
        <v/>
      </c>
      <c r="CX24" s="106" t="str">
        <f aca="false">IF(    OR(   AND($C24=10000000,    $A$17&lt;=CX$19,      ($A$17+$DI$17)&gt;CX$19    ),   AND($C24&lt;&gt;10000000,  CX$19&gt;=$DX24,    CX$19&lt;=($DY24+$DI$17)  ))   ,$DW24,  "")</f>
        <v/>
      </c>
      <c r="CY24" s="106" t="str">
        <f aca="false">IF(    OR(   AND($C24=10000000,    $A$17&lt;=CY$19,      ($A$17+$DI$17)&gt;CY$19    ),   AND($C24&lt;&gt;10000000,  CY$19&gt;=$DX24,    CY$19&lt;=($DY24+$DI$17)  ))   ,$DW24,  "")</f>
        <v/>
      </c>
      <c r="CZ24" s="106" t="str">
        <f aca="false">IF(    OR(   AND($C24=10000000,    $A$17&lt;=CZ$19,      ($A$17+$DI$17)&gt;CZ$19    ),   AND($C24&lt;&gt;10000000,  CZ$19&gt;=$DX24,    CZ$19&lt;=($DY24+$DI$17)  ))   ,$DW24,  "")</f>
        <v/>
      </c>
      <c r="DA24" s="106" t="str">
        <f aca="false">IF(    OR(   AND($C24=10000000,    $A$17&lt;=DA$19,      ($A$17+$DI$17)&gt;DA$19    ),   AND($C24&lt;&gt;10000000,  DA$19&gt;=$DX24,    DA$19&lt;=($DY24+$DI$17)  ))   ,$DW24,  "")</f>
        <v/>
      </c>
      <c r="DB24" s="106" t="str">
        <f aca="false">IF(    OR(   AND($C24=10000000,    $A$17&lt;=DB$19,      ($A$17+$DI$17)&gt;DB$19    ),   AND($C24&lt;&gt;10000000,  DB$19&gt;=$DX24,    DB$19&lt;=($DY24+$DI$17)  ))   ,$DW24,  "")</f>
        <v/>
      </c>
      <c r="DC24" s="106" t="str">
        <f aca="false">IF(    OR(   AND($C24=10000000,    $A$17&lt;=DC$19,      ($A$17+$DI$17)&gt;DC$19    ),   AND($C24&lt;&gt;10000000,  DC$19&gt;=$DX24,    DC$19&lt;=($DY24+$DI$17)  ))   ,$DW24,  "")</f>
        <v/>
      </c>
      <c r="DD24" s="106" t="str">
        <f aca="false">IF(    OR(   AND($C24=10000000,    $A$17&lt;=DD$19,      ($A$17+$DI$17)&gt;DD$19    ),   AND($C24&lt;&gt;10000000,  DD$19&gt;=$DX24,    DD$19&lt;=($DY24+$DI$17)  ))   ,$DW24,  "")</f>
        <v/>
      </c>
      <c r="DE24" s="106" t="str">
        <f aca="false">IF(    OR(   AND($C24=10000000,    $A$17&lt;=DE$19,      ($A$17+$DI$17)&gt;DE$19    ),   AND($C24&lt;&gt;10000000,  DE$19&gt;=$DX24,    DE$19&lt;=($DY24+$DI$17)  ))   ,$DW24,  "")</f>
        <v/>
      </c>
      <c r="DF24" s="106" t="str">
        <f aca="false">IF(    OR(   AND($C24=10000000,    $A$17&lt;=DF$19,      ($A$17+$DI$17)&gt;DF$19    ),   AND($C24&lt;&gt;10000000,  DF$19&gt;=$DX24,    DF$19&lt;=($DY24+$DI$17)  ))   ,$DW24,  "")</f>
        <v/>
      </c>
      <c r="DG24" s="106" t="str">
        <f aca="false">IF(    OR(   AND($C24=10000000,    $A$17&lt;=DG$19,      ($A$17+$DI$17)&gt;DG$19    ),   AND($C24&lt;&gt;10000000,  DG$19&gt;=$DX24,    DG$19&lt;=($DY24+$DI$17)  ))   ,$DW24,  "")</f>
        <v/>
      </c>
      <c r="DH24" s="106" t="str">
        <f aca="false">IF(    OR(   AND($C24=10000000,    $A$17&lt;=DH$19,      ($A$17+$DI$17)&gt;DH$19    ),   AND($C24&lt;&gt;10000000,  DH$19&gt;=$DX24,    DH$19&lt;=($DY24+$DI$17)  ))   ,$DW24,  "")</f>
        <v/>
      </c>
      <c r="DI24" s="106" t="str">
        <f aca="false">IF(    OR(   AND($C24=10000000,    $A$17&lt;=DI$19,      ($A$17+$DI$17)&gt;DI$19    ),   AND($C24&lt;&gt;10000000,  DI$19&gt;=$DX24,    DI$19&lt;=($DY24+$DI$17)  ))   ,$DW24,  "")</f>
        <v/>
      </c>
      <c r="DJ24" s="74" t="str">
        <f aca="false">IF(BC24="","",IF(ISERROR(FIND(CHAR(10),BC24,1)),BC24,LEFT(BC24,FIND(CHAR(10),BC24,1))))</f>
        <v>01-01-22: init</v>
      </c>
      <c r="DK24" s="61" t="str">
        <f aca="false">IF(BC24="","",IFERROR(RIGHT(BC24,LEN(BC24)-FIND("@@@",SUBSTITUTE(BC24,CHAR(10),"@@@",LEN(BC24)-LEN(SUBSTITUTE(BC24,CHAR(10),""))),1)),BC24))</f>
        <v>01-01-22: init</v>
      </c>
      <c r="DL24" s="61" t="str">
        <f aca="false">IF(BD24="","",IFERROR(RIGHT(BD24,LEN(BD24)-FIND("@@@",SUBSTITUTE(BD24,CHAR(10),"@@@",LEN(BD24)-LEN(SUBSTITUTE(BD24,CHAR(10),""))),1)),BD24))</f>
        <v/>
      </c>
      <c r="DM24" s="107" t="n">
        <f aca="false">IFERROR(DATE(("20"&amp;MID(DJ24,7,2))*1,MID(DJ24,4,2)*1,MID(DJ24,1,2)*1),"none")</f>
        <v>44562</v>
      </c>
      <c r="DN24" s="107" t="n">
        <f aca="false">IFERROR(DATE(("20"&amp;MID(DK24,7,2))*1,MID(DK24,4,2)*1,MID(DK24,1,2)*1),"none")</f>
        <v>44562</v>
      </c>
      <c r="DO24" s="107" t="n">
        <f aca="false">IF(DM24&lt;&gt;"none",DM24,DATE(1900,1,1))</f>
        <v>44562</v>
      </c>
      <c r="DP24" s="107" t="n">
        <f aca="false">IF(DN24&lt;&gt;"none",DN24,DO24)</f>
        <v>44562</v>
      </c>
      <c r="DQ24" s="108" t="n">
        <f aca="false">_xlfn.DAYS($A$17,DO24)</f>
        <v>1759</v>
      </c>
      <c r="DR24" s="108" t="n">
        <f aca="false">_xlfn.DAYS($A$17, DP24)</f>
        <v>1759</v>
      </c>
      <c r="DS24" s="60" t="n">
        <f aca="false">IF(DP24&lt;&gt;"",INT(DR24/7),0)</f>
        <v>251</v>
      </c>
      <c r="DT24" s="108" t="n">
        <f aca="false">IF(N24="Overdue",_xlfn.DAYS($A$17,AM24),0)</f>
        <v>299</v>
      </c>
      <c r="DU24" s="108" t="n">
        <f aca="false">IF(AI24="Project",_xlfn.DAYS(AM24,$A$17),0)</f>
        <v>0</v>
      </c>
      <c r="DV24" s="60" t="str">
        <f aca="false">IFERROR(INDEX(Static!$D$5:$E$13,MATCH(AI24,Static!$D$5:$D$13,0),2),"")</f>
        <v>Chg</v>
      </c>
      <c r="DW24" s="60" t="str">
        <f aca="false">IF(C24=10000000,"Red",IF(OR(C24=11000000,C24=12000000),"Black",IF(C24=11100000,"Dark",IF(AND(C24=12100000,N24="Completed"),"Green",IF(AND(C24=12100000,N24="Overdue"),"Red",IF(C24=12100000,"Dark",IF(AND(C24=12110000,N24="Overdue"),"LightRed",IF(AND(C24=12110000,N24="Completed"),"LightGreen",IF(OR(C24=11110000,C24=12110000),"Light",IF(AND(C24=12111000,N24="Overdue"),"SoftRed",IF(AND(C24=12111000,N24="Completed"),"SoftGreen",IF(OR(C24=11111000,C24=12111000),"Grey",""))))))))))))</f>
        <v>LightRed</v>
      </c>
      <c r="DX24" s="58" t="n">
        <f aca="false">IF(AL24&lt;&gt;"",AL24,$BJ$19)</f>
        <v>45658</v>
      </c>
      <c r="DY24" s="58" t="n">
        <f aca="false">IF(AM24&lt;&gt;"",AM24,$DI$19)</f>
        <v>46022</v>
      </c>
      <c r="DZ24" s="62" t="s">
        <v>364</v>
      </c>
    </row>
    <row r="25" customFormat="false" ht="14.15" hidden="false" customHeight="true" outlineLevel="0" collapsed="false">
      <c r="A25" s="54"/>
      <c r="B25" s="61" t="str">
        <f aca="false">AI25</f>
        <v>Action</v>
      </c>
      <c r="C25" s="60" t="n">
        <f aca="false">IFERROR(INDEX(Static!$D$5:$F$13,MATCH(AI25,Static!$D$5:$D$13,0),3),90000000)</f>
        <v>12111000</v>
      </c>
      <c r="D25" s="60" t="str">
        <f aca="false">MID(C25,2,1)</f>
        <v>2</v>
      </c>
      <c r="E25" s="61" t="str">
        <f aca="false">AC25</f>
        <v>Action        Some Action for the Study</v>
      </c>
      <c r="F25" s="58" t="n">
        <f aca="false">IF(B25="Venture",0,IF(OR(B25="Project",B25="Stream",B25="Action"),AL25,0))</f>
        <v>45658</v>
      </c>
      <c r="G25" s="60" t="str">
        <f aca="false">AT25</f>
        <v>Stream    Some Stream of the project</v>
      </c>
      <c r="H25" s="58" t="n">
        <f aca="false">IF(B25="Venture",0,IFERROR(INDEX($E$20:$F$55,MATCH(G25,$E$20:$E$55,0),2),0))</f>
        <v>45658</v>
      </c>
      <c r="I25" s="60" t="str">
        <f aca="false">IF(B25="Venture",0,IFERROR(INDEX($E$20:$G$55,MATCH(G25,$E$20:$E$55,0),3),""))</f>
        <v>ProjectSome Study Project for sub-cat 2</v>
      </c>
      <c r="J25" s="58" t="n">
        <f aca="false">IF(B25="Venture",0,IFERROR(INDEX($E$20:$H$55,MATCH(G25,$E$20:$E$55,0),4),0))</f>
        <v>45658</v>
      </c>
      <c r="K25" s="60" t="str">
        <f aca="false">IF(B25="Venture",0,IFERROR(INDEX($E$20:$G$55,MATCH(I25,$E$20:$E$55,0),3),""))</f>
        <v>Chg GoalDMM</v>
      </c>
      <c r="L25" s="60" t="n">
        <f aca="false">IF(C25="Venture",0,IFERROR(INDEX($E$20:$G$55,MATCH(J25,$E$20:$E$55,0),4),0))</f>
        <v>0</v>
      </c>
      <c r="M25" s="60" t="str">
        <f aca="false">IF(N25="Completed","Completed","Ongoing")</f>
        <v>Ongoing</v>
      </c>
      <c r="N25" s="60" t="str">
        <f aca="false">IF(OR(AI25="Venture",AI25="Routine",AI25="Run Goal", AI25="Chg Goal", AI25=""),AI25,IF(AO25&lt;&gt;"","Completed",IF(AN25&lt;&gt;"","Pending",IF(AND(AM25&lt;&gt;"",$A$17&gt;AM25),"Overdue",IF($A$17&gt;AL25,"Started","Open")))))</f>
        <v>Overdue</v>
      </c>
      <c r="O25" s="59" t="n">
        <f aca="false">((LEN($BD25)-LEN(SUBSTITUTE($BD25,CHAR(10)&amp;". ","")))/3)+IF(LEFT(TRIM($BD25),2)=". ",1,0)</f>
        <v>0</v>
      </c>
      <c r="P25" s="59" t="n">
        <f aca="false">((LEN($BD25)-LEN(SUBSTITUTE($BD25,CHAR(10)&amp;"/ ","")))/3)+IF(LEFT(TRIM($BD25),2)="/ ",1,0)</f>
        <v>0</v>
      </c>
      <c r="Q25" s="59" t="n">
        <f aca="false">((LEN($BD25)-LEN(SUBSTITUTE($BD25,CHAR(10)&amp;"~ ","")))/3)+IF(LEFT(TRIM($BD25),2)="~ ",1,0)</f>
        <v>0</v>
      </c>
      <c r="R25" s="59" t="n">
        <f aca="false">((LEN($BD25)-LEN(SUBSTITUTE($BD25,CHAR(10)&amp;"! ","")))/3)+IF(LEFT(TRIM($BD25),2)="! ",1,0)</f>
        <v>0</v>
      </c>
      <c r="S25" s="59" t="n">
        <f aca="false">((LEN($BD25)-LEN(SUBSTITUTE($BD25,CHAR(10)&amp;"x ","")))/3)+IF(LEFT(TRIM($BD25),2)="x ",1,0)</f>
        <v>0</v>
      </c>
      <c r="T25" s="59" t="n">
        <f aca="false">SUM(O25:S25)</f>
        <v>0</v>
      </c>
      <c r="U25" s="109" t="n">
        <f aca="false">IF(OR($B25="Drill",$B25="Action"),$AP25,0)</f>
        <v>0</v>
      </c>
      <c r="V25" s="60" t="n">
        <f aca="false">IF(OR($B25="Sub",$B25="Stream"),$AP25+SUMIFS($AP$20:$AP$55,$G$20:$G$55,$E25),0)</f>
        <v>0</v>
      </c>
      <c r="W25" s="60" t="n">
        <f aca="false">IF(OR($B25="Routine",$B25="Project"),$AP25+SUMIFS($V$20:$V$55,$G$20:$G$55,$E25),0)</f>
        <v>0</v>
      </c>
      <c r="X25" s="60" t="n">
        <f aca="false">IF($B25="Venture",$AP25+SUMIFS($W$20:$W$55,$G$20:$G$55,$E25),0)</f>
        <v>0</v>
      </c>
      <c r="Y25" s="109" t="n">
        <f aca="false">IF(OR($B25="Drill",$B25="Action"),$AQ25,0)</f>
        <v>0</v>
      </c>
      <c r="Z25" s="60" t="n">
        <f aca="false">IF(OR($B25="Sub",$B25="Stream"),$AQ25+SUMIFS($AQ$20:$AQ$55,$G$20:$G$55,$E25),0)</f>
        <v>0</v>
      </c>
      <c r="AA25" s="60" t="n">
        <f aca="false">IF(OR($B25="Routine",$B25="Project"),$AQ25+SUMIFS($Z$20:$Z$55,$G$20:$G$55,$E25),0)</f>
        <v>0</v>
      </c>
      <c r="AB25" s="60" t="n">
        <f aca="false">IF($B25="Venture",$AQ25+SUMIFS($AA$20:$AA$55,$G$20:$G$55,$E25),0)</f>
        <v>0</v>
      </c>
      <c r="AC25" s="60" t="str">
        <f aca="false">IF(AI25="Venture",AJ25,AI25&amp;AJ25)</f>
        <v>Action        Some Action for the Study</v>
      </c>
      <c r="AD25" s="61" t="str">
        <f aca="false">"  -  "&amp;IF(E25="","ZZZ",D25&amp;AF25&amp;IF(OR(B25="Run Goal",B25="Chg Goal", B25="Venture"),F25&amp;E25,IF(OR(B25="Routine",B25="Project"),H25&amp;G25&amp;F25&amp;E25,  IF(OR(B25="Sub",B25="Stream"),J25&amp;I25&amp;H25&amp;G25&amp;F25&amp;E25,IF(OR(B25="Drill",B25="Action"),L25&amp;K25&amp;J25&amp;I25&amp;H25&amp;G25&amp;F25&amp;E25,     "") )    )))</f>
        <v>  -  2N0Chg GoalDMM45658ProjectSome Study Project for sub-cat 245658Stream    Some Stream of the project45658Action        Some Action for the Study</v>
      </c>
      <c r="AE25" s="60" t="str">
        <f aca="false">IF(AND(AN25="",AO25=""),"Y","N")</f>
        <v>Y</v>
      </c>
      <c r="AF25" s="99" t="str">
        <f aca="false">IF(OR(AG25="Y",AG25="Y"),AG25,IF(DN25="none","N",IF(DN25&gt;($A$17-WEEKDAY($A$17,2)-(7*$AF$18)),"Y","N")))</f>
        <v>N</v>
      </c>
      <c r="AG25" s="100"/>
      <c r="AH25" s="101"/>
      <c r="AI25" s="62" t="s">
        <v>741</v>
      </c>
      <c r="AJ25" s="64" t="s">
        <v>742</v>
      </c>
      <c r="AK25" s="64" t="s">
        <v>743</v>
      </c>
      <c r="AL25" s="70" t="n">
        <v>45658</v>
      </c>
      <c r="AM25" s="70" t="n">
        <v>46022</v>
      </c>
      <c r="AN25" s="70"/>
      <c r="AO25" s="70"/>
      <c r="AP25" s="102"/>
      <c r="AQ25" s="102"/>
      <c r="AR25" s="62" t="s">
        <v>729</v>
      </c>
      <c r="AS25" s="62" t="s">
        <v>605</v>
      </c>
      <c r="AT25" s="62" t="s">
        <v>362</v>
      </c>
      <c r="AU25" s="62" t="s">
        <v>736</v>
      </c>
      <c r="AV25" s="62" t="s">
        <v>737</v>
      </c>
      <c r="AW25" s="62"/>
      <c r="AX25" s="62"/>
      <c r="AY25" s="62"/>
      <c r="AZ25" s="62"/>
      <c r="BA25" s="62"/>
      <c r="BB25" s="54"/>
      <c r="BC25" s="103" t="s">
        <v>730</v>
      </c>
      <c r="BD25" s="54"/>
      <c r="BE25" s="60" t="n">
        <f aca="false">SUM(O25:R25)</f>
        <v>0</v>
      </c>
      <c r="BF25" s="66" t="n">
        <f aca="false">IF(AJ25="",1,IF(T25&lt;&gt;0,(P25*0.5+S25)/T25,1))</f>
        <v>1</v>
      </c>
      <c r="BG25" s="69" t="n">
        <f aca="false">IF(AI25="","",IF(AI25="Venture",X25,IF(OR(AI25="Chg Goal",AI25="RUn Goal"),W25,IF(OR(AI25="ROutine",AI25="Project"),W25,IF(OR(AI25="Sub",AI25="Stream"),V25,IF(OR(AI25="Drill",AI25="Action"),U25,0))))))</f>
        <v>0</v>
      </c>
      <c r="BH25" s="69" t="n">
        <f aca="false">IF(AI25="","",IF(AI25="Venture",AB25,IF(OR(AI25="Chg Goal",AI25="RUn Goal"),AA25,IF(OR(AI25="ROutine",AI25="Project"),AA25,IF(OR(AI25="Sub",AI25="Stream"),Z25,IF(OR(AI25="Drill",AI25="Action"),Y25,0))))))</f>
        <v>0</v>
      </c>
      <c r="BI25" s="104" t="n">
        <f aca="false">IF(AJ25="","",IF(OR(BG25=0, BG25=""),0,BH25/BG25))</f>
        <v>0</v>
      </c>
      <c r="BJ25" s="105" t="str">
        <f aca="false">IF(    OR(   AND($C25=10000000,    BJ$19&gt;=$A$17,      BJ$19 &lt;($A$17+$DI$17)   ),   AND($C25&lt;&gt;10000000,  BJ$19&gt;=$DX25,    BJ$19&lt;=($DY25+$DI$17)  ))   ,$DW25,  "")</f>
        <v>SoftRed</v>
      </c>
      <c r="BK25" s="106" t="str">
        <f aca="false">IF(    OR(   AND($C25=10000000,    $A$17&lt;=BK$19,      ($A$17+$DI$17)&gt;BK$19    ),   AND($C25&lt;&gt;10000000,  BK$19&gt;=$DX25,    BK$19&lt;=($DY25+$DI$17)  ))   ,$DW25,  "")</f>
        <v>SoftRed</v>
      </c>
      <c r="BL25" s="106" t="str">
        <f aca="false">IF(    OR(   AND($C25=10000000,    $A$17&lt;=BL$19,      ($A$17+$DI$17)&gt;BL$19    ),   AND($C25&lt;&gt;10000000,  BL$19&gt;=$DX25,    BL$19&lt;=($DY25+$DI$17)  ))   ,$DW25,  "")</f>
        <v>SoftRed</v>
      </c>
      <c r="BM25" s="106" t="str">
        <f aca="false">IF(    OR(   AND($C25=10000000,    $A$17&lt;=BM$19,      ($A$17+$DI$17)&gt;BM$19    ),   AND($C25&lt;&gt;10000000,  BM$19&gt;=$DX25,    BM$19&lt;=($DY25+$DI$17)  ))   ,$DW25,  "")</f>
        <v>SoftRed</v>
      </c>
      <c r="BN25" s="106" t="str">
        <f aca="false">IF(    OR(   AND($C25=10000000,    $A$17&lt;=BN$19,      ($A$17+$DI$17)&gt;BN$19    ),   AND($C25&lt;&gt;10000000,  BN$19&gt;=$DX25,    BN$19&lt;=($DY25+$DI$17)  ))   ,$DW25,  "")</f>
        <v>SoftRed</v>
      </c>
      <c r="BO25" s="106" t="str">
        <f aca="false">IF(    OR(   AND($C25=10000000,    $A$17&lt;=BO$19,      ($A$17+$DI$17)&gt;BO$19    ),   AND($C25&lt;&gt;10000000,  BO$19&gt;=$DX25,    BO$19&lt;=($DY25+$DI$17)  ))   ,$DW25,  "")</f>
        <v>SoftRed</v>
      </c>
      <c r="BP25" s="106" t="str">
        <f aca="false">IF(    OR(   AND($C25=10000000,    $A$17&lt;=BP$19,      ($A$17+$DI$17)&gt;BP$19    ),   AND($C25&lt;&gt;10000000,  BP$19&gt;=$DX25,    BP$19&lt;=($DY25+$DI$17)  ))   ,$DW25,  "")</f>
        <v>SoftRed</v>
      </c>
      <c r="BQ25" s="106" t="str">
        <f aca="false">IF(    OR(   AND($C25=10000000,    $A$17&lt;=BQ$19,      ($A$17+$DI$17)&gt;BQ$19    ),   AND($C25&lt;&gt;10000000,  BQ$19&gt;=$DX25,    BQ$19&lt;=($DY25+$DI$17)  ))   ,$DW25,  "")</f>
        <v>SoftRed</v>
      </c>
      <c r="BR25" s="106" t="str">
        <f aca="false">IF(    OR(   AND($C25=10000000,    $A$17&lt;=BR$19,      ($A$17+$DI$17)&gt;BR$19    ),   AND($C25&lt;&gt;10000000,  BR$19&gt;=$DX25,    BR$19&lt;=($DY25+$DI$17)  ))   ,$DW25,  "")</f>
        <v>SoftRed</v>
      </c>
      <c r="BS25" s="106" t="str">
        <f aca="false">IF(    OR(   AND($C25=10000000,    $A$17&lt;=BS$19,      ($A$17+$DI$17)&gt;BS$19    ),   AND($C25&lt;&gt;10000000,  BS$19&gt;=$DX25,    BS$19&lt;=($DY25+$DI$17)  ))   ,$DW25,  "")</f>
        <v>SoftRed</v>
      </c>
      <c r="BT25" s="106" t="str">
        <f aca="false">IF(    OR(   AND($C25=10000000,    $A$17&lt;=BT$19,      ($A$17+$DI$17)&gt;BT$19    ),   AND($C25&lt;&gt;10000000,  BT$19&gt;=$DX25,    BT$19&lt;=($DY25+$DI$17)  ))   ,$DW25,  "")</f>
        <v>SoftRed</v>
      </c>
      <c r="BU25" s="106" t="str">
        <f aca="false">IF(    OR(   AND($C25=10000000,    $A$17&lt;=BU$19,      ($A$17+$DI$17)&gt;BU$19    ),   AND($C25&lt;&gt;10000000,  BU$19&gt;=$DX25,    BU$19&lt;=($DY25+$DI$17)  ))   ,$DW25,  "")</f>
        <v>SoftRed</v>
      </c>
      <c r="BV25" s="106" t="str">
        <f aca="false">IF(    OR(   AND($C25=10000000,    $A$17&lt;=BV$19,      ($A$17+$DI$17)&gt;BV$19    ),   AND($C25&lt;&gt;10000000,  BV$19&gt;=$DX25,    BV$19&lt;=($DY25+$DI$17)  ))   ,$DW25,  "")</f>
        <v>SoftRed</v>
      </c>
      <c r="BW25" s="106" t="str">
        <f aca="false">IF(    OR(   AND($C25=10000000,    $A$17&lt;=BW$19,      ($A$17+$DI$17)&gt;BW$19    ),   AND($C25&lt;&gt;10000000,  BW$19&gt;=$DX25,    BW$19&lt;=($DY25+$DI$17)  ))   ,$DW25,  "")</f>
        <v>SoftRed</v>
      </c>
      <c r="BX25" s="106" t="str">
        <f aca="false">IF(    OR(   AND($C25=10000000,    $A$17&lt;=BX$19,      ($A$17+$DI$17)&gt;BX$19    ),   AND($C25&lt;&gt;10000000,  BX$19&gt;=$DX25,    BX$19&lt;=($DY25+$DI$17)  ))   ,$DW25,  "")</f>
        <v>SoftRed</v>
      </c>
      <c r="BY25" s="106" t="str">
        <f aca="false">IF(    OR(   AND($C25=10000000,    $A$17&lt;=BY$19,      ($A$17+$DI$17)&gt;BY$19    ),   AND($C25&lt;&gt;10000000,  BY$19&gt;=$DX25,    BY$19&lt;=($DY25+$DI$17)  ))   ,$DW25,  "")</f>
        <v>SoftRed</v>
      </c>
      <c r="BZ25" s="106" t="str">
        <f aca="false">IF(    OR(   AND($C25=10000000,    $A$17&lt;=BZ$19,      ($A$17+$DI$17)&gt;BZ$19    ),   AND($C25&lt;&gt;10000000,  BZ$19&gt;=$DX25,    BZ$19&lt;=($DY25+$DI$17)  ))   ,$DW25,  "")</f>
        <v>SoftRed</v>
      </c>
      <c r="CA25" s="106" t="str">
        <f aca="false">IF(    OR(   AND($C25=10000000,    $A$17&lt;=CA$19,      ($A$17+$DI$17)&gt;CA$19    ),   AND($C25&lt;&gt;10000000,  CA$19&gt;=$DX25,    CA$19&lt;=($DY25+$DI$17)  ))   ,$DW25,  "")</f>
        <v>SoftRed</v>
      </c>
      <c r="CB25" s="106" t="str">
        <f aca="false">IF(    OR(   AND($C25=10000000,    $A$17&lt;=CB$19,      ($A$17+$DI$17)&gt;CB$19    ),   AND($C25&lt;&gt;10000000,  CB$19&gt;=$DX25,    CB$19&lt;=($DY25+$DI$17)  ))   ,$DW25,  "")</f>
        <v>SoftRed</v>
      </c>
      <c r="CC25" s="106" t="str">
        <f aca="false">IF(    OR(   AND($C25=10000000,    $A$17&lt;=CC$19,      ($A$17+$DI$17)&gt;CC$19    ),   AND($C25&lt;&gt;10000000,  CC$19&gt;=$DX25,    CC$19&lt;=($DY25+$DI$17)  ))   ,$DW25,  "")</f>
        <v>SoftRed</v>
      </c>
      <c r="CD25" s="106" t="str">
        <f aca="false">IF(    OR(   AND($C25=10000000,    $A$17&lt;=CD$19,      ($A$17+$DI$17)&gt;CD$19    ),   AND($C25&lt;&gt;10000000,  CD$19&gt;=$DX25,    CD$19&lt;=($DY25+$DI$17)  ))   ,$DW25,  "")</f>
        <v>SoftRed</v>
      </c>
      <c r="CE25" s="106" t="str">
        <f aca="false">IF(    OR(   AND($C25=10000000,    $A$17&lt;=CE$19,      ($A$17+$DI$17)&gt;CE$19    ),   AND($C25&lt;&gt;10000000,  CE$19&gt;=$DX25,    CE$19&lt;=($DY25+$DI$17)  ))   ,$DW25,  "")</f>
        <v>SoftRed</v>
      </c>
      <c r="CF25" s="106" t="str">
        <f aca="false">IF(    OR(   AND($C25=10000000,    $A$17&lt;=CF$19,      ($A$17+$DI$17)&gt;CF$19    ),   AND($C25&lt;&gt;10000000,  CF$19&gt;=$DX25,    CF$19&lt;=($DY25+$DI$17)  ))   ,$DW25,  "")</f>
        <v>SoftRed</v>
      </c>
      <c r="CG25" s="106" t="str">
        <f aca="false">IF(    OR(   AND($C25=10000000,    $A$17&lt;=CG$19,      ($A$17+$DI$17)&gt;CG$19    ),   AND($C25&lt;&gt;10000000,  CG$19&gt;=$DX25,    CG$19&lt;=($DY25+$DI$17)  ))   ,$DW25,  "")</f>
        <v>SoftRed</v>
      </c>
      <c r="CH25" s="106" t="str">
        <f aca="false">IF(    OR(   AND($C25=10000000,    $A$17&lt;=CH$19,      ($A$17+$DI$17)&gt;CH$19    ),   AND($C25&lt;&gt;10000000,  CH$19&gt;=$DX25,    CH$19&lt;=($DY25+$DI$17)  ))   ,$DW25,  "")</f>
        <v>SoftRed</v>
      </c>
      <c r="CI25" s="106" t="str">
        <f aca="false">IF(    OR(   AND($C25=10000000,    $A$17&lt;=CI$19,      ($A$17+$DI$17)&gt;CI$19    ),   AND($C25&lt;&gt;10000000,  CI$19&gt;=$DX25,    CI$19&lt;=($DY25+$DI$17)  ))   ,$DW25,  "")</f>
        <v>SoftRed</v>
      </c>
      <c r="CJ25" s="106" t="str">
        <f aca="false">IF(    OR(   AND($C25=10000000,    $A$17&lt;=CJ$19,      ($A$17+$DI$17)&gt;CJ$19    ),   AND($C25&lt;&gt;10000000,  CJ$19&gt;=$DX25,    CJ$19&lt;=($DY25+$DI$17)  ))   ,$DW25,  "")</f>
        <v>SoftRed</v>
      </c>
      <c r="CK25" s="106" t="str">
        <f aca="false">IF(    OR(   AND($C25=10000000,    $A$17&lt;=CK$19,      ($A$17+$DI$17)&gt;CK$19    ),   AND($C25&lt;&gt;10000000,  CK$19&gt;=$DX25,    CK$19&lt;=($DY25+$DI$17)  ))   ,$DW25,  "")</f>
        <v/>
      </c>
      <c r="CL25" s="106" t="str">
        <f aca="false">IF(    OR(   AND($C25=10000000,    $A$17&lt;=CL$19,      ($A$17+$DI$17)&gt;CL$19    ),   AND($C25&lt;&gt;10000000,  CL$19&gt;=$DX25,    CL$19&lt;=($DY25+$DI$17)  ))   ,$DW25,  "")</f>
        <v/>
      </c>
      <c r="CM25" s="106" t="str">
        <f aca="false">IF(    OR(   AND($C25=10000000,    $A$17&lt;=CM$19,      ($A$17+$DI$17)&gt;CM$19    ),   AND($C25&lt;&gt;10000000,  CM$19&gt;=$DX25,    CM$19&lt;=($DY25+$DI$17)  ))   ,$DW25,  "")</f>
        <v/>
      </c>
      <c r="CN25" s="106" t="str">
        <f aca="false">IF(    OR(   AND($C25=10000000,    $A$17&lt;=CN$19,      ($A$17+$DI$17)&gt;CN$19    ),   AND($C25&lt;&gt;10000000,  CN$19&gt;=$DX25,    CN$19&lt;=($DY25+$DI$17)  ))   ,$DW25,  "")</f>
        <v/>
      </c>
      <c r="CO25" s="106" t="str">
        <f aca="false">IF(    OR(   AND($C25=10000000,    $A$17&lt;=CO$19,      ($A$17+$DI$17)&gt;CO$19    ),   AND($C25&lt;&gt;10000000,  CO$19&gt;=$DX25,    CO$19&lt;=($DY25+$DI$17)  ))   ,$DW25,  "")</f>
        <v/>
      </c>
      <c r="CP25" s="106" t="str">
        <f aca="false">IF(    OR(   AND($C25=10000000,    $A$17&lt;=CP$19,      ($A$17+$DI$17)&gt;CP$19    ),   AND($C25&lt;&gt;10000000,  CP$19&gt;=$DX25,    CP$19&lt;=($DY25+$DI$17)  ))   ,$DW25,  "")</f>
        <v/>
      </c>
      <c r="CQ25" s="106" t="str">
        <f aca="false">IF(    OR(   AND($C25=10000000,    $A$17&lt;=CQ$19,      ($A$17+$DI$17)&gt;CQ$19    ),   AND($C25&lt;&gt;10000000,  CQ$19&gt;=$DX25,    CQ$19&lt;=($DY25+$DI$17)  ))   ,$DW25,  "")</f>
        <v/>
      </c>
      <c r="CR25" s="106" t="str">
        <f aca="false">IF(    OR(   AND($C25=10000000,    $A$17&lt;=CR$19,      ($A$17+$DI$17)&gt;CR$19    ),   AND($C25&lt;&gt;10000000,  CR$19&gt;=$DX25,    CR$19&lt;=($DY25+$DI$17)  ))   ,$DW25,  "")</f>
        <v/>
      </c>
      <c r="CS25" s="106" t="str">
        <f aca="false">IF(    OR(   AND($C25=10000000,    $A$17&lt;=CS$19,      ($A$17+$DI$17)&gt;CS$19    ),   AND($C25&lt;&gt;10000000,  CS$19&gt;=$DX25,    CS$19&lt;=($DY25+$DI$17)  ))   ,$DW25,  "")</f>
        <v/>
      </c>
      <c r="CT25" s="106" t="str">
        <f aca="false">IF(    OR(   AND($C25=10000000,    $A$17&lt;=CT$19,      ($A$17+$DI$17)&gt;CT$19    ),   AND($C25&lt;&gt;10000000,  CT$19&gt;=$DX25,    CT$19&lt;=($DY25+$DI$17)  ))   ,$DW25,  "")</f>
        <v/>
      </c>
      <c r="CU25" s="106" t="str">
        <f aca="false">IF(    OR(   AND($C25=10000000,    $A$17&lt;=CU$19,      ($A$17+$DI$17)&gt;CU$19    ),   AND($C25&lt;&gt;10000000,  CU$19&gt;=$DX25,    CU$19&lt;=($DY25+$DI$17)  ))   ,$DW25,  "")</f>
        <v/>
      </c>
      <c r="CV25" s="106" t="str">
        <f aca="false">IF(    OR(   AND($C25=10000000,    $A$17&lt;=CV$19,      ($A$17+$DI$17)&gt;CV$19    ),   AND($C25&lt;&gt;10000000,  CV$19&gt;=$DX25,    CV$19&lt;=($DY25+$DI$17)  ))   ,$DW25,  "")</f>
        <v/>
      </c>
      <c r="CW25" s="106" t="str">
        <f aca="false">IF(    OR(   AND($C25=10000000,    $A$17&lt;=CW$19,      ($A$17+$DI$17)&gt;CW$19    ),   AND($C25&lt;&gt;10000000,  CW$19&gt;=$DX25,    CW$19&lt;=($DY25+$DI$17)  ))   ,$DW25,  "")</f>
        <v/>
      </c>
      <c r="CX25" s="106" t="str">
        <f aca="false">IF(    OR(   AND($C25=10000000,    $A$17&lt;=CX$19,      ($A$17+$DI$17)&gt;CX$19    ),   AND($C25&lt;&gt;10000000,  CX$19&gt;=$DX25,    CX$19&lt;=($DY25+$DI$17)  ))   ,$DW25,  "")</f>
        <v/>
      </c>
      <c r="CY25" s="106" t="str">
        <f aca="false">IF(    OR(   AND($C25=10000000,    $A$17&lt;=CY$19,      ($A$17+$DI$17)&gt;CY$19    ),   AND($C25&lt;&gt;10000000,  CY$19&gt;=$DX25,    CY$19&lt;=($DY25+$DI$17)  ))   ,$DW25,  "")</f>
        <v/>
      </c>
      <c r="CZ25" s="106" t="str">
        <f aca="false">IF(    OR(   AND($C25=10000000,    $A$17&lt;=CZ$19,      ($A$17+$DI$17)&gt;CZ$19    ),   AND($C25&lt;&gt;10000000,  CZ$19&gt;=$DX25,    CZ$19&lt;=($DY25+$DI$17)  ))   ,$DW25,  "")</f>
        <v/>
      </c>
      <c r="DA25" s="106" t="str">
        <f aca="false">IF(    OR(   AND($C25=10000000,    $A$17&lt;=DA$19,      ($A$17+$DI$17)&gt;DA$19    ),   AND($C25&lt;&gt;10000000,  DA$19&gt;=$DX25,    DA$19&lt;=($DY25+$DI$17)  ))   ,$DW25,  "")</f>
        <v/>
      </c>
      <c r="DB25" s="106" t="str">
        <f aca="false">IF(    OR(   AND($C25=10000000,    $A$17&lt;=DB$19,      ($A$17+$DI$17)&gt;DB$19    ),   AND($C25&lt;&gt;10000000,  DB$19&gt;=$DX25,    DB$19&lt;=($DY25+$DI$17)  ))   ,$DW25,  "")</f>
        <v/>
      </c>
      <c r="DC25" s="106" t="str">
        <f aca="false">IF(    OR(   AND($C25=10000000,    $A$17&lt;=DC$19,      ($A$17+$DI$17)&gt;DC$19    ),   AND($C25&lt;&gt;10000000,  DC$19&gt;=$DX25,    DC$19&lt;=($DY25+$DI$17)  ))   ,$DW25,  "")</f>
        <v/>
      </c>
      <c r="DD25" s="106" t="str">
        <f aca="false">IF(    OR(   AND($C25=10000000,    $A$17&lt;=DD$19,      ($A$17+$DI$17)&gt;DD$19    ),   AND($C25&lt;&gt;10000000,  DD$19&gt;=$DX25,    DD$19&lt;=($DY25+$DI$17)  ))   ,$DW25,  "")</f>
        <v/>
      </c>
      <c r="DE25" s="106" t="str">
        <f aca="false">IF(    OR(   AND($C25=10000000,    $A$17&lt;=DE$19,      ($A$17+$DI$17)&gt;DE$19    ),   AND($C25&lt;&gt;10000000,  DE$19&gt;=$DX25,    DE$19&lt;=($DY25+$DI$17)  ))   ,$DW25,  "")</f>
        <v/>
      </c>
      <c r="DF25" s="106" t="str">
        <f aca="false">IF(    OR(   AND($C25=10000000,    $A$17&lt;=DF$19,      ($A$17+$DI$17)&gt;DF$19    ),   AND($C25&lt;&gt;10000000,  DF$19&gt;=$DX25,    DF$19&lt;=($DY25+$DI$17)  ))   ,$DW25,  "")</f>
        <v/>
      </c>
      <c r="DG25" s="106" t="str">
        <f aca="false">IF(    OR(   AND($C25=10000000,    $A$17&lt;=DG$19,      ($A$17+$DI$17)&gt;DG$19    ),   AND($C25&lt;&gt;10000000,  DG$19&gt;=$DX25,    DG$19&lt;=($DY25+$DI$17)  ))   ,$DW25,  "")</f>
        <v/>
      </c>
      <c r="DH25" s="106" t="str">
        <f aca="false">IF(    OR(   AND($C25=10000000,    $A$17&lt;=DH$19,      ($A$17+$DI$17)&gt;DH$19    ),   AND($C25&lt;&gt;10000000,  DH$19&gt;=$DX25,    DH$19&lt;=($DY25+$DI$17)  ))   ,$DW25,  "")</f>
        <v/>
      </c>
      <c r="DI25" s="106" t="str">
        <f aca="false">IF(    OR(   AND($C25=10000000,    $A$17&lt;=DI$19,      ($A$17+$DI$17)&gt;DI$19    ),   AND($C25&lt;&gt;10000000,  DI$19&gt;=$DX25,    DI$19&lt;=($DY25+$DI$17)  ))   ,$DW25,  "")</f>
        <v/>
      </c>
      <c r="DJ25" s="74" t="str">
        <f aca="false">IF(BC25="","",IF(ISERROR(FIND(CHAR(10),BC25,1)),BC25,LEFT(BC25,FIND(CHAR(10),BC25,1))))</f>
        <v>01-01-22: init</v>
      </c>
      <c r="DK25" s="61" t="str">
        <f aca="false">IF(BC25="","",IFERROR(RIGHT(BC25,LEN(BC25)-FIND("@@@",SUBSTITUTE(BC25,CHAR(10),"@@@",LEN(BC25)-LEN(SUBSTITUTE(BC25,CHAR(10),""))),1)),BC25))</f>
        <v>01-01-22: init</v>
      </c>
      <c r="DL25" s="61" t="str">
        <f aca="false">IF(BD25="","",IFERROR(RIGHT(BD25,LEN(BD25)-FIND("@@@",SUBSTITUTE(BD25,CHAR(10),"@@@",LEN(BD25)-LEN(SUBSTITUTE(BD25,CHAR(10),""))),1)),BD25))</f>
        <v/>
      </c>
      <c r="DM25" s="107" t="n">
        <f aca="false">IFERROR(DATE(("20"&amp;MID(DJ25,7,2))*1,MID(DJ25,4,2)*1,MID(DJ25,1,2)*1),"none")</f>
        <v>44562</v>
      </c>
      <c r="DN25" s="107" t="n">
        <f aca="false">IFERROR(DATE(("20"&amp;MID(DK25,7,2))*1,MID(DK25,4,2)*1,MID(DK25,1,2)*1),"none")</f>
        <v>44562</v>
      </c>
      <c r="DO25" s="107" t="n">
        <f aca="false">IF(DM25&lt;&gt;"none",DM25,DATE(1900,1,1))</f>
        <v>44562</v>
      </c>
      <c r="DP25" s="107" t="n">
        <f aca="false">IF(DN25&lt;&gt;"none",DN25,DO25)</f>
        <v>44562</v>
      </c>
      <c r="DQ25" s="108" t="n">
        <f aca="false">_xlfn.DAYS($A$17,DO25)</f>
        <v>1759</v>
      </c>
      <c r="DR25" s="108" t="n">
        <f aca="false">_xlfn.DAYS($A$17, DP25)</f>
        <v>1759</v>
      </c>
      <c r="DS25" s="60" t="n">
        <f aca="false">IF(DP25&lt;&gt;"",INT(DR25/7),0)</f>
        <v>251</v>
      </c>
      <c r="DT25" s="108" t="n">
        <f aca="false">IF(N25="Overdue",_xlfn.DAYS($A$17,AM25),0)</f>
        <v>299</v>
      </c>
      <c r="DU25" s="108" t="n">
        <f aca="false">IF(AI25="Project",_xlfn.DAYS(AM25,$A$17),0)</f>
        <v>0</v>
      </c>
      <c r="DV25" s="60" t="str">
        <f aca="false">IFERROR(INDEX(Static!$D$5:$E$13,MATCH(AI25,Static!$D$5:$D$13,0),2),"")</f>
        <v>Chg</v>
      </c>
      <c r="DW25" s="60" t="str">
        <f aca="false">IF(C25=10000000,"Red",IF(OR(C25=11000000,C25=12000000),"Black",IF(C25=11100000,"Dark",IF(AND(C25=12100000,N25="Completed"),"Green",IF(AND(C25=12100000,N25="Overdue"),"Red",IF(C25=12100000,"Dark",IF(AND(C25=12110000,N25="Overdue"),"LightRed",IF(AND(C25=12110000,N25="Completed"),"LightGreen",IF(OR(C25=11110000,C25=12110000),"Light",IF(AND(C25=12111000,N25="Overdue"),"SoftRed",IF(AND(C25=12111000,N25="Completed"),"SoftGreen",IF(OR(C25=11111000,C25=12111000),"Grey",""))))))))))))</f>
        <v>SoftRed</v>
      </c>
      <c r="DX25" s="58" t="n">
        <f aca="false">IF(AL25&lt;&gt;"",AL25,$BJ$19)</f>
        <v>45658</v>
      </c>
      <c r="DY25" s="58" t="n">
        <f aca="false">IF(AM25&lt;&gt;"",AM25,$DI$19)</f>
        <v>46022</v>
      </c>
      <c r="DZ25" s="62" t="s">
        <v>364</v>
      </c>
    </row>
    <row r="26" customFormat="false" ht="14.15" hidden="false" customHeight="true" outlineLevel="0" collapsed="false">
      <c r="A26" s="54"/>
      <c r="B26" s="61" t="str">
        <f aca="false">AI26</f>
        <v>Chg Goal</v>
      </c>
      <c r="C26" s="60" t="n">
        <f aca="false">IFERROR(INDEX(Static!$D$5:$F$13,MATCH(AI26,Static!$D$5:$D$13,0),3),90000000)</f>
        <v>12000000</v>
      </c>
      <c r="D26" s="60" t="str">
        <f aca="false">MID(C26,2,1)</f>
        <v>2</v>
      </c>
      <c r="E26" s="61" t="str">
        <f aca="false">AC26</f>
        <v>Chg GoalEMM</v>
      </c>
      <c r="F26" s="60" t="n">
        <f aca="false">IF(B26="Venture",0,IF(OR(B26="Project",B26="Stream",B26="Action"),AL26,0))</f>
        <v>0</v>
      </c>
      <c r="G26" s="60" t="str">
        <f aca="false">AT26</f>
        <v>VNT</v>
      </c>
      <c r="H26" s="60" t="n">
        <f aca="false">IF(B26="Venture",0,IFERROR(INDEX($E$20:$F$55,MATCH(G26,$E$20:$E$55,0),2),0))</f>
        <v>0</v>
      </c>
      <c r="I26" s="60" t="str">
        <f aca="false">IF(B26="Venture",0,IFERROR(INDEX($E$20:$G$55,MATCH(G26,$E$20:$E$55,0),3),""))</f>
        <v>VNT</v>
      </c>
      <c r="J26" s="60" t="n">
        <f aca="false">IF(B26="Venture",0,IFERROR(INDEX($E$20:$H$55,MATCH(G26,$E$20:$E$55,0),4),0))</f>
        <v>0</v>
      </c>
      <c r="K26" s="60" t="str">
        <f aca="false">IF(B26="Venture",0,IFERROR(INDEX($E$20:$G$55,MATCH(I26,$E$20:$E$55,0),3),""))</f>
        <v>VNT</v>
      </c>
      <c r="L26" s="60" t="n">
        <f aca="false">IF(C26="Venture",0,IFERROR(INDEX($E$20:$G$55,MATCH(J26,$E$20:$E$55,0),4),0))</f>
        <v>0</v>
      </c>
      <c r="M26" s="60" t="str">
        <f aca="false">IF(N26="Completed","Completed","Ongoing")</f>
        <v>Ongoing</v>
      </c>
      <c r="N26" s="60" t="str">
        <f aca="false">IF(OR(AI26="Venture",AI26="Routine",AI26="Run Goal", AI26="Chg Goal", AI26=""),AI26,IF(AO26&lt;&gt;"","Completed",IF(AN26&lt;&gt;"","Pending",IF(AND(AM26&lt;&gt;"",$A$17&gt;AM26),"Overdue",IF($A$17&gt;AL26,"Started","Open")))))</f>
        <v>Chg Goal</v>
      </c>
      <c r="O26" s="59" t="n">
        <f aca="false">((LEN($BD26)-LEN(SUBSTITUTE($BD26,CHAR(10)&amp;". ","")))/3)+IF(LEFT(TRIM($BD26),2)=". ",1,0)</f>
        <v>0</v>
      </c>
      <c r="P26" s="59" t="n">
        <f aca="false">((LEN($BD26)-LEN(SUBSTITUTE($BD26,CHAR(10)&amp;"/ ","")))/3)+IF(LEFT(TRIM($BD26),2)="/ ",1,0)</f>
        <v>0</v>
      </c>
      <c r="Q26" s="59" t="n">
        <f aca="false">((LEN($BD26)-LEN(SUBSTITUTE($BD26,CHAR(10)&amp;"~ ","")))/3)+IF(LEFT(TRIM($BD26),2)="~ ",1,0)</f>
        <v>0</v>
      </c>
      <c r="R26" s="59" t="n">
        <f aca="false">((LEN($BD26)-LEN(SUBSTITUTE($BD26,CHAR(10)&amp;"! ","")))/3)+IF(LEFT(TRIM($BD26),2)="! ",1,0)</f>
        <v>0</v>
      </c>
      <c r="S26" s="59" t="n">
        <f aca="false">((LEN($BD26)-LEN(SUBSTITUTE($BD26,CHAR(10)&amp;"x ","")))/3)+IF(LEFT(TRIM($BD26),2)="x ",1,0)</f>
        <v>0</v>
      </c>
      <c r="T26" s="59" t="n">
        <f aca="false">SUM(O26:S26)</f>
        <v>0</v>
      </c>
      <c r="U26" s="60" t="n">
        <f aca="false">IF(OR($B26="Drill",$B26="Action"),$AP26,0)</f>
        <v>0</v>
      </c>
      <c r="V26" s="60" t="n">
        <f aca="false">IF(OR($B26="Sub",$B26="Stream"),$AP26+SUMIFS($AP$20:$AP$55,$G$20:$G$55,$E26),0)</f>
        <v>0</v>
      </c>
      <c r="W26" s="60" t="n">
        <f aca="false">IF(OR($B26="Routine",$B26="Project"),$AP26+SUMIFS($V$20:$V$55,$G$20:$G$55,$E26),0)</f>
        <v>0</v>
      </c>
      <c r="X26" s="60" t="n">
        <f aca="false">IF($B26="Venture",$AP26+SUMIFS($W$20:$W$55,$G$20:$G$55,$E26),0)</f>
        <v>0</v>
      </c>
      <c r="Y26" s="60" t="n">
        <f aca="false">IF(OR($B26="Drill",$B26="Action"),$AQ26,0)</f>
        <v>0</v>
      </c>
      <c r="Z26" s="60" t="n">
        <f aca="false">IF(OR($B26="Sub",$B26="Stream"),$AQ26+SUMIFS($AQ$20:$AQ$55,$G$20:$G$55,$E26),0)</f>
        <v>0</v>
      </c>
      <c r="AA26" s="60" t="n">
        <f aca="false">IF(OR($B26="Routine",$B26="Project"),$AQ26+SUMIFS($Z$20:$Z$55,$G$20:$G$55,$E26),0)</f>
        <v>0</v>
      </c>
      <c r="AB26" s="60" t="n">
        <f aca="false">IF($B26="Venture",$AQ26+SUMIFS($AA$20:$AA$55,$G$20:$G$55,$E26),0)</f>
        <v>0</v>
      </c>
      <c r="AC26" s="60" t="str">
        <f aca="false">IF(AI26="Venture",AJ26,AI26&amp;AJ26)</f>
        <v>Chg GoalEMM</v>
      </c>
      <c r="AD26" s="61" t="str">
        <f aca="false">"  -  "&amp;IF(E26="","ZZZ",D26&amp;AF26&amp;IF(OR(B26="Run Goal",B26="Chg Goal", B26="Venture"),F26&amp;E26,IF(OR(B26="Routine",B26="Project"),H26&amp;G26&amp;F26&amp;E26,  IF(OR(B26="Sub",B26="Stream"),J26&amp;I26&amp;H26&amp;G26&amp;F26&amp;E26,IF(OR(B26="Drill",B26="Action"),L26&amp;K26&amp;J26&amp;I26&amp;H26&amp;G26&amp;F26&amp;E26,     "") )    )))</f>
        <v>  -  2N0Chg GoalEMM</v>
      </c>
      <c r="AE26" s="60" t="str">
        <f aca="false">IF(AND(AN26="",AO26=""),"Y","N")</f>
        <v>Y</v>
      </c>
      <c r="AF26" s="99" t="str">
        <f aca="false">IF(OR(AG26="Y",AG26="Y"),AG26,IF(DN26="none","N",IF(DN26&gt;($A$17-WEEKDAY($A$17,2)-(7*$AF$18)),"Y","N")))</f>
        <v>N</v>
      </c>
      <c r="AG26" s="100"/>
      <c r="AH26" s="101"/>
      <c r="AI26" s="62" t="s">
        <v>732</v>
      </c>
      <c r="AJ26" s="64" t="s">
        <v>744</v>
      </c>
      <c r="AK26" s="64"/>
      <c r="AL26" s="70" t="n">
        <v>45658</v>
      </c>
      <c r="AM26" s="70" t="n">
        <v>46022</v>
      </c>
      <c r="AN26" s="70"/>
      <c r="AO26" s="70"/>
      <c r="AP26" s="102"/>
      <c r="AQ26" s="102"/>
      <c r="AR26" s="62"/>
      <c r="AS26" s="62"/>
      <c r="AT26" s="62" t="s">
        <v>356</v>
      </c>
      <c r="AU26" s="62" t="s">
        <v>745</v>
      </c>
      <c r="AV26" s="62"/>
      <c r="AW26" s="62"/>
      <c r="AX26" s="62"/>
      <c r="AY26" s="62"/>
      <c r="AZ26" s="62"/>
      <c r="BA26" s="62"/>
      <c r="BB26" s="54"/>
      <c r="BC26" s="103"/>
      <c r="BD26" s="54"/>
      <c r="BE26" s="60" t="n">
        <f aca="false">SUM(O26:R26)</f>
        <v>0</v>
      </c>
      <c r="BF26" s="66" t="n">
        <f aca="false">IF(AJ26="",1,IF(T26&lt;&gt;0,(P26*0.5+S26)/T26,1))</f>
        <v>1</v>
      </c>
      <c r="BG26" s="69" t="n">
        <f aca="false">IF(AI26="","",IF(AI26="Venture",X26,IF(OR(AI26="Chg Goal",AI26="RUn Goal"),W26,IF(OR(AI26="ROutine",AI26="Project"),W26,IF(OR(AI26="Sub",AI26="Stream"),V26,IF(OR(AI26="Drill",AI26="Action"),U26,0))))))</f>
        <v>0</v>
      </c>
      <c r="BH26" s="69" t="n">
        <f aca="false">IF(AI26="","",IF(AI26="Venture",AB26,IF(OR(AI26="Chg Goal",AI26="RUn Goal"),AA26,IF(OR(AI26="ROutine",AI26="Project"),AA26,IF(OR(AI26="Sub",AI26="Stream"),Z26,IF(OR(AI26="Drill",AI26="Action"),Y26,0))))))</f>
        <v>0</v>
      </c>
      <c r="BI26" s="104" t="n">
        <f aca="false">IF(AJ26="","",IF(OR(BG26=0, BG26=""),0,BH26/BG26))</f>
        <v>0</v>
      </c>
      <c r="BJ26" s="105" t="str">
        <f aca="false">IF(    OR(   AND($C26=10000000,    BJ$19&gt;=$A$17,      BJ$19 &lt;($A$17+$DI$17)   ),   AND($C26&lt;&gt;10000000,  BJ$19&gt;=$DX26,    BJ$19&lt;=($DY26+$DI$17)  ))   ,$DW26,  "")</f>
        <v>Black</v>
      </c>
      <c r="BK26" s="106" t="str">
        <f aca="false">IF(    OR(   AND($C26=10000000,    $A$17&lt;=BK$19,      ($A$17+$DI$17)&gt;BK$19    ),   AND($C26&lt;&gt;10000000,  BK$19&gt;=$DX26,    BK$19&lt;=($DY26+$DI$17)  ))   ,$DW26,  "")</f>
        <v>Black</v>
      </c>
      <c r="BL26" s="106" t="str">
        <f aca="false">IF(    OR(   AND($C26=10000000,    $A$17&lt;=BL$19,      ($A$17+$DI$17)&gt;BL$19    ),   AND($C26&lt;&gt;10000000,  BL$19&gt;=$DX26,    BL$19&lt;=($DY26+$DI$17)  ))   ,$DW26,  "")</f>
        <v>Black</v>
      </c>
      <c r="BM26" s="106" t="str">
        <f aca="false">IF(    OR(   AND($C26=10000000,    $A$17&lt;=BM$19,      ($A$17+$DI$17)&gt;BM$19    ),   AND($C26&lt;&gt;10000000,  BM$19&gt;=$DX26,    BM$19&lt;=($DY26+$DI$17)  ))   ,$DW26,  "")</f>
        <v>Black</v>
      </c>
      <c r="BN26" s="106" t="str">
        <f aca="false">IF(    OR(   AND($C26=10000000,    $A$17&lt;=BN$19,      ($A$17+$DI$17)&gt;BN$19    ),   AND($C26&lt;&gt;10000000,  BN$19&gt;=$DX26,    BN$19&lt;=($DY26+$DI$17)  ))   ,$DW26,  "")</f>
        <v>Black</v>
      </c>
      <c r="BO26" s="106" t="str">
        <f aca="false">IF(    OR(   AND($C26=10000000,    $A$17&lt;=BO$19,      ($A$17+$DI$17)&gt;BO$19    ),   AND($C26&lt;&gt;10000000,  BO$19&gt;=$DX26,    BO$19&lt;=($DY26+$DI$17)  ))   ,$DW26,  "")</f>
        <v>Black</v>
      </c>
      <c r="BP26" s="106" t="str">
        <f aca="false">IF(    OR(   AND($C26=10000000,    $A$17&lt;=BP$19,      ($A$17+$DI$17)&gt;BP$19    ),   AND($C26&lt;&gt;10000000,  BP$19&gt;=$DX26,    BP$19&lt;=($DY26+$DI$17)  ))   ,$DW26,  "")</f>
        <v>Black</v>
      </c>
      <c r="BQ26" s="106" t="str">
        <f aca="false">IF(    OR(   AND($C26=10000000,    $A$17&lt;=BQ$19,      ($A$17+$DI$17)&gt;BQ$19    ),   AND($C26&lt;&gt;10000000,  BQ$19&gt;=$DX26,    BQ$19&lt;=($DY26+$DI$17)  ))   ,$DW26,  "")</f>
        <v>Black</v>
      </c>
      <c r="BR26" s="106" t="str">
        <f aca="false">IF(    OR(   AND($C26=10000000,    $A$17&lt;=BR$19,      ($A$17+$DI$17)&gt;BR$19    ),   AND($C26&lt;&gt;10000000,  BR$19&gt;=$DX26,    BR$19&lt;=($DY26+$DI$17)  ))   ,$DW26,  "")</f>
        <v>Black</v>
      </c>
      <c r="BS26" s="106" t="str">
        <f aca="false">IF(    OR(   AND($C26=10000000,    $A$17&lt;=BS$19,      ($A$17+$DI$17)&gt;BS$19    ),   AND($C26&lt;&gt;10000000,  BS$19&gt;=$DX26,    BS$19&lt;=($DY26+$DI$17)  ))   ,$DW26,  "")</f>
        <v>Black</v>
      </c>
      <c r="BT26" s="106" t="str">
        <f aca="false">IF(    OR(   AND($C26=10000000,    $A$17&lt;=BT$19,      ($A$17+$DI$17)&gt;BT$19    ),   AND($C26&lt;&gt;10000000,  BT$19&gt;=$DX26,    BT$19&lt;=($DY26+$DI$17)  ))   ,$DW26,  "")</f>
        <v>Black</v>
      </c>
      <c r="BU26" s="106" t="str">
        <f aca="false">IF(    OR(   AND($C26=10000000,    $A$17&lt;=BU$19,      ($A$17+$DI$17)&gt;BU$19    ),   AND($C26&lt;&gt;10000000,  BU$19&gt;=$DX26,    BU$19&lt;=($DY26+$DI$17)  ))   ,$DW26,  "")</f>
        <v>Black</v>
      </c>
      <c r="BV26" s="106" t="str">
        <f aca="false">IF(    OR(   AND($C26=10000000,    $A$17&lt;=BV$19,      ($A$17+$DI$17)&gt;BV$19    ),   AND($C26&lt;&gt;10000000,  BV$19&gt;=$DX26,    BV$19&lt;=($DY26+$DI$17)  ))   ,$DW26,  "")</f>
        <v>Black</v>
      </c>
      <c r="BW26" s="106" t="str">
        <f aca="false">IF(    OR(   AND($C26=10000000,    $A$17&lt;=BW$19,      ($A$17+$DI$17)&gt;BW$19    ),   AND($C26&lt;&gt;10000000,  BW$19&gt;=$DX26,    BW$19&lt;=($DY26+$DI$17)  ))   ,$DW26,  "")</f>
        <v>Black</v>
      </c>
      <c r="BX26" s="106" t="str">
        <f aca="false">IF(    OR(   AND($C26=10000000,    $A$17&lt;=BX$19,      ($A$17+$DI$17)&gt;BX$19    ),   AND($C26&lt;&gt;10000000,  BX$19&gt;=$DX26,    BX$19&lt;=($DY26+$DI$17)  ))   ,$DW26,  "")</f>
        <v>Black</v>
      </c>
      <c r="BY26" s="106" t="str">
        <f aca="false">IF(    OR(   AND($C26=10000000,    $A$17&lt;=BY$19,      ($A$17+$DI$17)&gt;BY$19    ),   AND($C26&lt;&gt;10000000,  BY$19&gt;=$DX26,    BY$19&lt;=($DY26+$DI$17)  ))   ,$DW26,  "")</f>
        <v>Black</v>
      </c>
      <c r="BZ26" s="106" t="str">
        <f aca="false">IF(    OR(   AND($C26=10000000,    $A$17&lt;=BZ$19,      ($A$17+$DI$17)&gt;BZ$19    ),   AND($C26&lt;&gt;10000000,  BZ$19&gt;=$DX26,    BZ$19&lt;=($DY26+$DI$17)  ))   ,$DW26,  "")</f>
        <v>Black</v>
      </c>
      <c r="CA26" s="106" t="str">
        <f aca="false">IF(    OR(   AND($C26=10000000,    $A$17&lt;=CA$19,      ($A$17+$DI$17)&gt;CA$19    ),   AND($C26&lt;&gt;10000000,  CA$19&gt;=$DX26,    CA$19&lt;=($DY26+$DI$17)  ))   ,$DW26,  "")</f>
        <v>Black</v>
      </c>
      <c r="CB26" s="106" t="str">
        <f aca="false">IF(    OR(   AND($C26=10000000,    $A$17&lt;=CB$19,      ($A$17+$DI$17)&gt;CB$19    ),   AND($C26&lt;&gt;10000000,  CB$19&gt;=$DX26,    CB$19&lt;=($DY26+$DI$17)  ))   ,$DW26,  "")</f>
        <v>Black</v>
      </c>
      <c r="CC26" s="106" t="str">
        <f aca="false">IF(    OR(   AND($C26=10000000,    $A$17&lt;=CC$19,      ($A$17+$DI$17)&gt;CC$19    ),   AND($C26&lt;&gt;10000000,  CC$19&gt;=$DX26,    CC$19&lt;=($DY26+$DI$17)  ))   ,$DW26,  "")</f>
        <v>Black</v>
      </c>
      <c r="CD26" s="106" t="str">
        <f aca="false">IF(    OR(   AND($C26=10000000,    $A$17&lt;=CD$19,      ($A$17+$DI$17)&gt;CD$19    ),   AND($C26&lt;&gt;10000000,  CD$19&gt;=$DX26,    CD$19&lt;=($DY26+$DI$17)  ))   ,$DW26,  "")</f>
        <v>Black</v>
      </c>
      <c r="CE26" s="106" t="str">
        <f aca="false">IF(    OR(   AND($C26=10000000,    $A$17&lt;=CE$19,      ($A$17+$DI$17)&gt;CE$19    ),   AND($C26&lt;&gt;10000000,  CE$19&gt;=$DX26,    CE$19&lt;=($DY26+$DI$17)  ))   ,$DW26,  "")</f>
        <v>Black</v>
      </c>
      <c r="CF26" s="106" t="str">
        <f aca="false">IF(    OR(   AND($C26=10000000,    $A$17&lt;=CF$19,      ($A$17+$DI$17)&gt;CF$19    ),   AND($C26&lt;&gt;10000000,  CF$19&gt;=$DX26,    CF$19&lt;=($DY26+$DI$17)  ))   ,$DW26,  "")</f>
        <v>Black</v>
      </c>
      <c r="CG26" s="106" t="str">
        <f aca="false">IF(    OR(   AND($C26=10000000,    $A$17&lt;=CG$19,      ($A$17+$DI$17)&gt;CG$19    ),   AND($C26&lt;&gt;10000000,  CG$19&gt;=$DX26,    CG$19&lt;=($DY26+$DI$17)  ))   ,$DW26,  "")</f>
        <v>Black</v>
      </c>
      <c r="CH26" s="106" t="str">
        <f aca="false">IF(    OR(   AND($C26=10000000,    $A$17&lt;=CH$19,      ($A$17+$DI$17)&gt;CH$19    ),   AND($C26&lt;&gt;10000000,  CH$19&gt;=$DX26,    CH$19&lt;=($DY26+$DI$17)  ))   ,$DW26,  "")</f>
        <v>Black</v>
      </c>
      <c r="CI26" s="106" t="str">
        <f aca="false">IF(    OR(   AND($C26=10000000,    $A$17&lt;=CI$19,      ($A$17+$DI$17)&gt;CI$19    ),   AND($C26&lt;&gt;10000000,  CI$19&gt;=$DX26,    CI$19&lt;=($DY26+$DI$17)  ))   ,$DW26,  "")</f>
        <v>Black</v>
      </c>
      <c r="CJ26" s="106" t="str">
        <f aca="false">IF(    OR(   AND($C26=10000000,    $A$17&lt;=CJ$19,      ($A$17+$DI$17)&gt;CJ$19    ),   AND($C26&lt;&gt;10000000,  CJ$19&gt;=$DX26,    CJ$19&lt;=($DY26+$DI$17)  ))   ,$DW26,  "")</f>
        <v>Black</v>
      </c>
      <c r="CK26" s="106" t="str">
        <f aca="false">IF(    OR(   AND($C26=10000000,    $A$17&lt;=CK$19,      ($A$17+$DI$17)&gt;CK$19    ),   AND($C26&lt;&gt;10000000,  CK$19&gt;=$DX26,    CK$19&lt;=($DY26+$DI$17)  ))   ,$DW26,  "")</f>
        <v/>
      </c>
      <c r="CL26" s="106" t="str">
        <f aca="false">IF(    OR(   AND($C26=10000000,    $A$17&lt;=CL$19,      ($A$17+$DI$17)&gt;CL$19    ),   AND($C26&lt;&gt;10000000,  CL$19&gt;=$DX26,    CL$19&lt;=($DY26+$DI$17)  ))   ,$DW26,  "")</f>
        <v/>
      </c>
      <c r="CM26" s="106" t="str">
        <f aca="false">IF(    OR(   AND($C26=10000000,    $A$17&lt;=CM$19,      ($A$17+$DI$17)&gt;CM$19    ),   AND($C26&lt;&gt;10000000,  CM$19&gt;=$DX26,    CM$19&lt;=($DY26+$DI$17)  ))   ,$DW26,  "")</f>
        <v/>
      </c>
      <c r="CN26" s="106" t="str">
        <f aca="false">IF(    OR(   AND($C26=10000000,    $A$17&lt;=CN$19,      ($A$17+$DI$17)&gt;CN$19    ),   AND($C26&lt;&gt;10000000,  CN$19&gt;=$DX26,    CN$19&lt;=($DY26+$DI$17)  ))   ,$DW26,  "")</f>
        <v/>
      </c>
      <c r="CO26" s="106" t="str">
        <f aca="false">IF(    OR(   AND($C26=10000000,    $A$17&lt;=CO$19,      ($A$17+$DI$17)&gt;CO$19    ),   AND($C26&lt;&gt;10000000,  CO$19&gt;=$DX26,    CO$19&lt;=($DY26+$DI$17)  ))   ,$DW26,  "")</f>
        <v/>
      </c>
      <c r="CP26" s="106" t="str">
        <f aca="false">IF(    OR(   AND($C26=10000000,    $A$17&lt;=CP$19,      ($A$17+$DI$17)&gt;CP$19    ),   AND($C26&lt;&gt;10000000,  CP$19&gt;=$DX26,    CP$19&lt;=($DY26+$DI$17)  ))   ,$DW26,  "")</f>
        <v/>
      </c>
      <c r="CQ26" s="106" t="str">
        <f aca="false">IF(    OR(   AND($C26=10000000,    $A$17&lt;=CQ$19,      ($A$17+$DI$17)&gt;CQ$19    ),   AND($C26&lt;&gt;10000000,  CQ$19&gt;=$DX26,    CQ$19&lt;=($DY26+$DI$17)  ))   ,$DW26,  "")</f>
        <v/>
      </c>
      <c r="CR26" s="106" t="str">
        <f aca="false">IF(    OR(   AND($C26=10000000,    $A$17&lt;=CR$19,      ($A$17+$DI$17)&gt;CR$19    ),   AND($C26&lt;&gt;10000000,  CR$19&gt;=$DX26,    CR$19&lt;=($DY26+$DI$17)  ))   ,$DW26,  "")</f>
        <v/>
      </c>
      <c r="CS26" s="106" t="str">
        <f aca="false">IF(    OR(   AND($C26=10000000,    $A$17&lt;=CS$19,      ($A$17+$DI$17)&gt;CS$19    ),   AND($C26&lt;&gt;10000000,  CS$19&gt;=$DX26,    CS$19&lt;=($DY26+$DI$17)  ))   ,$DW26,  "")</f>
        <v/>
      </c>
      <c r="CT26" s="106" t="str">
        <f aca="false">IF(    OR(   AND($C26=10000000,    $A$17&lt;=CT$19,      ($A$17+$DI$17)&gt;CT$19    ),   AND($C26&lt;&gt;10000000,  CT$19&gt;=$DX26,    CT$19&lt;=($DY26+$DI$17)  ))   ,$DW26,  "")</f>
        <v/>
      </c>
      <c r="CU26" s="106" t="str">
        <f aca="false">IF(    OR(   AND($C26=10000000,    $A$17&lt;=CU$19,      ($A$17+$DI$17)&gt;CU$19    ),   AND($C26&lt;&gt;10000000,  CU$19&gt;=$DX26,    CU$19&lt;=($DY26+$DI$17)  ))   ,$DW26,  "")</f>
        <v/>
      </c>
      <c r="CV26" s="106" t="str">
        <f aca="false">IF(    OR(   AND($C26=10000000,    $A$17&lt;=CV$19,      ($A$17+$DI$17)&gt;CV$19    ),   AND($C26&lt;&gt;10000000,  CV$19&gt;=$DX26,    CV$19&lt;=($DY26+$DI$17)  ))   ,$DW26,  "")</f>
        <v/>
      </c>
      <c r="CW26" s="106" t="str">
        <f aca="false">IF(    OR(   AND($C26=10000000,    $A$17&lt;=CW$19,      ($A$17+$DI$17)&gt;CW$19    ),   AND($C26&lt;&gt;10000000,  CW$19&gt;=$DX26,    CW$19&lt;=($DY26+$DI$17)  ))   ,$DW26,  "")</f>
        <v/>
      </c>
      <c r="CX26" s="106" t="str">
        <f aca="false">IF(    OR(   AND($C26=10000000,    $A$17&lt;=CX$19,      ($A$17+$DI$17)&gt;CX$19    ),   AND($C26&lt;&gt;10000000,  CX$19&gt;=$DX26,    CX$19&lt;=($DY26+$DI$17)  ))   ,$DW26,  "")</f>
        <v/>
      </c>
      <c r="CY26" s="106" t="str">
        <f aca="false">IF(    OR(   AND($C26=10000000,    $A$17&lt;=CY$19,      ($A$17+$DI$17)&gt;CY$19    ),   AND($C26&lt;&gt;10000000,  CY$19&gt;=$DX26,    CY$19&lt;=($DY26+$DI$17)  ))   ,$DW26,  "")</f>
        <v/>
      </c>
      <c r="CZ26" s="106" t="str">
        <f aca="false">IF(    OR(   AND($C26=10000000,    $A$17&lt;=CZ$19,      ($A$17+$DI$17)&gt;CZ$19    ),   AND($C26&lt;&gt;10000000,  CZ$19&gt;=$DX26,    CZ$19&lt;=($DY26+$DI$17)  ))   ,$DW26,  "")</f>
        <v/>
      </c>
      <c r="DA26" s="106" t="str">
        <f aca="false">IF(    OR(   AND($C26=10000000,    $A$17&lt;=DA$19,      ($A$17+$DI$17)&gt;DA$19    ),   AND($C26&lt;&gt;10000000,  DA$19&gt;=$DX26,    DA$19&lt;=($DY26+$DI$17)  ))   ,$DW26,  "")</f>
        <v/>
      </c>
      <c r="DB26" s="106" t="str">
        <f aca="false">IF(    OR(   AND($C26=10000000,    $A$17&lt;=DB$19,      ($A$17+$DI$17)&gt;DB$19    ),   AND($C26&lt;&gt;10000000,  DB$19&gt;=$DX26,    DB$19&lt;=($DY26+$DI$17)  ))   ,$DW26,  "")</f>
        <v/>
      </c>
      <c r="DC26" s="106" t="str">
        <f aca="false">IF(    OR(   AND($C26=10000000,    $A$17&lt;=DC$19,      ($A$17+$DI$17)&gt;DC$19    ),   AND($C26&lt;&gt;10000000,  DC$19&gt;=$DX26,    DC$19&lt;=($DY26+$DI$17)  ))   ,$DW26,  "")</f>
        <v/>
      </c>
      <c r="DD26" s="106" t="str">
        <f aca="false">IF(    OR(   AND($C26=10000000,    $A$17&lt;=DD$19,      ($A$17+$DI$17)&gt;DD$19    ),   AND($C26&lt;&gt;10000000,  DD$19&gt;=$DX26,    DD$19&lt;=($DY26+$DI$17)  ))   ,$DW26,  "")</f>
        <v/>
      </c>
      <c r="DE26" s="106" t="str">
        <f aca="false">IF(    OR(   AND($C26=10000000,    $A$17&lt;=DE$19,      ($A$17+$DI$17)&gt;DE$19    ),   AND($C26&lt;&gt;10000000,  DE$19&gt;=$DX26,    DE$19&lt;=($DY26+$DI$17)  ))   ,$DW26,  "")</f>
        <v/>
      </c>
      <c r="DF26" s="106" t="str">
        <f aca="false">IF(    OR(   AND($C26=10000000,    $A$17&lt;=DF$19,      ($A$17+$DI$17)&gt;DF$19    ),   AND($C26&lt;&gt;10000000,  DF$19&gt;=$DX26,    DF$19&lt;=($DY26+$DI$17)  ))   ,$DW26,  "")</f>
        <v/>
      </c>
      <c r="DG26" s="106" t="str">
        <f aca="false">IF(    OR(   AND($C26=10000000,    $A$17&lt;=DG$19,      ($A$17+$DI$17)&gt;DG$19    ),   AND($C26&lt;&gt;10000000,  DG$19&gt;=$DX26,    DG$19&lt;=($DY26+$DI$17)  ))   ,$DW26,  "")</f>
        <v/>
      </c>
      <c r="DH26" s="106" t="str">
        <f aca="false">IF(    OR(   AND($C26=10000000,    $A$17&lt;=DH$19,      ($A$17+$DI$17)&gt;DH$19    ),   AND($C26&lt;&gt;10000000,  DH$19&gt;=$DX26,    DH$19&lt;=($DY26+$DI$17)  ))   ,$DW26,  "")</f>
        <v/>
      </c>
      <c r="DI26" s="106" t="str">
        <f aca="false">IF(    OR(   AND($C26=10000000,    $A$17&lt;=DI$19,      ($A$17+$DI$17)&gt;DI$19    ),   AND($C26&lt;&gt;10000000,  DI$19&gt;=$DX26,    DI$19&lt;=($DY26+$DI$17)  ))   ,$DW26,  "")</f>
        <v/>
      </c>
      <c r="DJ26" s="74" t="str">
        <f aca="false">IF(BC26="","",IF(ISERROR(FIND(CHAR(10),BC26,1)),BC26,LEFT(BC26,FIND(CHAR(10),BC26,1))))</f>
        <v/>
      </c>
      <c r="DK26" s="61" t="str">
        <f aca="false">IF(BC26="","",IFERROR(RIGHT(BC26,LEN(BC26)-FIND("@@@",SUBSTITUTE(BC26,CHAR(10),"@@@",LEN(BC26)-LEN(SUBSTITUTE(BC26,CHAR(10),""))),1)),BC26))</f>
        <v/>
      </c>
      <c r="DL26" s="61" t="str">
        <f aca="false">IF(BD26="","",IFERROR(RIGHT(BD26,LEN(BD26)-FIND("@@@",SUBSTITUTE(BD26,CHAR(10),"@@@",LEN(BD26)-LEN(SUBSTITUTE(BD26,CHAR(10),""))),1)),BD26))</f>
        <v/>
      </c>
      <c r="DM26" s="107" t="str">
        <f aca="false">IFERROR(DATE(("20"&amp;MID(DJ26,7,2))*1,MID(DJ26,4,2)*1,MID(DJ26,1,2)*1),"none")</f>
        <v>none</v>
      </c>
      <c r="DN26" s="107" t="str">
        <f aca="false">IFERROR(DATE(("20"&amp;MID(DK26,7,2))*1,MID(DK26,4,2)*1,MID(DK26,1,2)*1),"none")</f>
        <v>none</v>
      </c>
      <c r="DO26" s="107" t="n">
        <f aca="false">IF(DM26&lt;&gt;"none",DM26,DATE(1900,1,1))</f>
        <v>2</v>
      </c>
      <c r="DP26" s="107" t="n">
        <f aca="false">IF(DN26&lt;&gt;"none",DN26,DO26)</f>
        <v>2</v>
      </c>
      <c r="DQ26" s="108" t="n">
        <f aca="false">_xlfn.DAYS($A$17,DO26)</f>
        <v>46319</v>
      </c>
      <c r="DR26" s="108" t="n">
        <f aca="false">_xlfn.DAYS($A$17, DP26)</f>
        <v>46319</v>
      </c>
      <c r="DS26" s="60" t="n">
        <f aca="false">IF(DP26&lt;&gt;"",INT(DR26/7),0)</f>
        <v>6617</v>
      </c>
      <c r="DT26" s="108" t="n">
        <f aca="false">IF(N26="Overdue",_xlfn.DAYS($A$17,AM26),0)</f>
        <v>0</v>
      </c>
      <c r="DU26" s="108" t="n">
        <f aca="false">IF(AI26="Project",_xlfn.DAYS(AM26,$A$17),0)</f>
        <v>0</v>
      </c>
      <c r="DV26" s="60" t="str">
        <f aca="false">IFERROR(INDEX(Static!$D$5:$E$13,MATCH(AI26,Static!$D$5:$D$13,0),2),"")</f>
        <v>Chg</v>
      </c>
      <c r="DW26" s="60" t="str">
        <f aca="false">IF(C26=10000000,"Red",IF(OR(C26=11000000,C26=12000000),"Black",IF(C26=11100000,"Dark",IF(AND(C26=12100000,N26="Completed"),"Green",IF(AND(C26=12100000,N26="Overdue"),"Red",IF(C26=12100000,"Dark",IF(AND(C26=12110000,N26="Overdue"),"LightRed",IF(AND(C26=12110000,N26="Completed"),"LightGreen",IF(OR(C26=11110000,C26=12110000),"Light",IF(AND(C26=12111000,N26="Overdue"),"SoftRed",IF(AND(C26=12111000,N26="Completed"),"SoftGreen",IF(OR(C26=11111000,C26=12111000),"Grey",""))))))))))))</f>
        <v>Black</v>
      </c>
      <c r="DX26" s="58" t="n">
        <f aca="false">IF(AL26&lt;&gt;"",AL26,$BJ$19)</f>
        <v>45658</v>
      </c>
      <c r="DY26" s="58" t="n">
        <f aca="false">IF(AM26&lt;&gt;"",AM26,$DI$19)</f>
        <v>46022</v>
      </c>
      <c r="DZ26" s="62" t="s">
        <v>364</v>
      </c>
    </row>
    <row r="27" customFormat="false" ht="14.15" hidden="false" customHeight="true" outlineLevel="0" collapsed="false">
      <c r="A27" s="54"/>
      <c r="B27" s="61" t="str">
        <f aca="false">AI27</f>
        <v>Project</v>
      </c>
      <c r="C27" s="60" t="n">
        <f aca="false">IFERROR(INDEX(Static!$D$5:$F$13,MATCH(AI27,Static!$D$5:$D$13,0),3),90000000)</f>
        <v>12100000</v>
      </c>
      <c r="D27" s="60" t="str">
        <f aca="false">MID(C27,2,1)</f>
        <v>2</v>
      </c>
      <c r="E27" s="61" t="str">
        <f aca="false">AC27</f>
        <v>ProjectSome Study Project for sub-cat 1</v>
      </c>
      <c r="F27" s="58" t="n">
        <f aca="false">IF(B27="Venture",0,IF(OR(B27="Project",B27="Stream",B27="Action"),AL27,0))</f>
        <v>45658</v>
      </c>
      <c r="G27" s="60" t="str">
        <f aca="false">AT27</f>
        <v>Chg GoalEMM</v>
      </c>
      <c r="H27" s="60" t="n">
        <f aca="false">IF(B27="Venture",0,IFERROR(INDEX($E$20:$F$55,MATCH(G27,$E$20:$E$55,0),2),0))</f>
        <v>0</v>
      </c>
      <c r="I27" s="60" t="str">
        <f aca="false">IF(B27="Venture",0,IFERROR(INDEX($E$20:$G$55,MATCH(G27,$E$20:$E$55,0),3),""))</f>
        <v>VNT</v>
      </c>
      <c r="J27" s="60" t="n">
        <f aca="false">IF(B27="Venture",0,IFERROR(INDEX($E$20:$H$55,MATCH(G27,$E$20:$E$55,0),4),0))</f>
        <v>0</v>
      </c>
      <c r="K27" s="60" t="str">
        <f aca="false">IF(B27="Venture",0,IFERROR(INDEX($E$20:$G$55,MATCH(I27,$E$20:$E$55,0),3),""))</f>
        <v>VNT</v>
      </c>
      <c r="L27" s="60" t="n">
        <f aca="false">IF(C27="Venture",0,IFERROR(INDEX($E$20:$G$55,MATCH(J27,$E$20:$E$55,0),4),0))</f>
        <v>0</v>
      </c>
      <c r="M27" s="60" t="str">
        <f aca="false">IF(N27="Completed","Completed","Ongoing")</f>
        <v>Ongoing</v>
      </c>
      <c r="N27" s="60" t="str">
        <f aca="false">IF(OR(AI27="Venture",AI27="Routine",AI27="Run Goal", AI27="Chg Goal", AI27=""),AI27,IF(AO27&lt;&gt;"","Completed",IF(AN27&lt;&gt;"","Pending",IF(AND(AM27&lt;&gt;"",$A$17&gt;AM27),"Overdue",IF($A$17&gt;AL27,"Started","Open")))))</f>
        <v>Overdue</v>
      </c>
      <c r="O27" s="59" t="n">
        <f aca="false">((LEN($BD27)-LEN(SUBSTITUTE($BD27,CHAR(10)&amp;". ","")))/3)+IF(LEFT(TRIM($BD27),2)=". ",1,0)</f>
        <v>0</v>
      </c>
      <c r="P27" s="59" t="n">
        <f aca="false">((LEN($BD27)-LEN(SUBSTITUTE($BD27,CHAR(10)&amp;"/ ","")))/3)+IF(LEFT(TRIM($BD27),2)="/ ",1,0)</f>
        <v>0</v>
      </c>
      <c r="Q27" s="59" t="n">
        <f aca="false">((LEN($BD27)-LEN(SUBSTITUTE($BD27,CHAR(10)&amp;"~ ","")))/3)+IF(LEFT(TRIM($BD27),2)="~ ",1,0)</f>
        <v>0</v>
      </c>
      <c r="R27" s="59" t="n">
        <f aca="false">((LEN($BD27)-LEN(SUBSTITUTE($BD27,CHAR(10)&amp;"! ","")))/3)+IF(LEFT(TRIM($BD27),2)="! ",1,0)</f>
        <v>0</v>
      </c>
      <c r="S27" s="59" t="n">
        <f aca="false">((LEN($BD27)-LEN(SUBSTITUTE($BD27,CHAR(10)&amp;"x ","")))/3)+IF(LEFT(TRIM($BD27),2)="x ",1,0)</f>
        <v>0</v>
      </c>
      <c r="T27" s="59" t="n">
        <f aca="false">SUM(O27:S27)</f>
        <v>0</v>
      </c>
      <c r="U27" s="60" t="n">
        <f aca="false">IF(OR($B27="Drill",$B27="Action"),$AP27,0)</f>
        <v>0</v>
      </c>
      <c r="V27" s="60" t="n">
        <f aca="false">IF(OR($B27="Sub",$B27="Stream"),$AP27+SUMIFS($AP$20:$AP$55,$G$20:$G$55,$E27),0)</f>
        <v>0</v>
      </c>
      <c r="W27" s="60" t="n">
        <f aca="false">IF(OR($B27="Routine",$B27="Project"),$AP27+SUMIFS($V$20:$V$55,$G$20:$G$55,$E27),0)</f>
        <v>3</v>
      </c>
      <c r="X27" s="60" t="n">
        <f aca="false">IF($B27="Venture",$AP27+SUMIFS($W$20:$W$55,$G$20:$G$55,$E27),0)</f>
        <v>0</v>
      </c>
      <c r="Y27" s="60" t="n">
        <f aca="false">IF(OR($B27="Drill",$B27="Action"),$AQ27,0)</f>
        <v>0</v>
      </c>
      <c r="Z27" s="60" t="n">
        <f aca="false">IF(OR($B27="Sub",$B27="Stream"),$AQ27+SUMIFS($AQ$20:$AQ$55,$G$20:$G$55,$E27),0)</f>
        <v>0</v>
      </c>
      <c r="AA27" s="60" t="n">
        <f aca="false">IF(OR($B27="Routine",$B27="Project"),$AQ27+SUMIFS($Z$20:$Z$55,$G$20:$G$55,$E27),0)</f>
        <v>2</v>
      </c>
      <c r="AB27" s="60" t="n">
        <f aca="false">IF($B27="Venture",$AQ27+SUMIFS($AA$20:$AA$55,$G$20:$G$55,$E27),0)</f>
        <v>0</v>
      </c>
      <c r="AC27" s="60" t="str">
        <f aca="false">IF(AI27="Venture",AJ27,AI27&amp;AJ27)</f>
        <v>ProjectSome Study Project for sub-cat 1</v>
      </c>
      <c r="AD27" s="61" t="str">
        <f aca="false">"  -  "&amp;IF(E27="","ZZZ",D27&amp;AF27&amp;IF(OR(B27="Run Goal",B27="Chg Goal", B27="Venture"),F27&amp;E27,IF(OR(B27="Routine",B27="Project"),H27&amp;G27&amp;F27&amp;E27,  IF(OR(B27="Sub",B27="Stream"),J27&amp;I27&amp;H27&amp;G27&amp;F27&amp;E27,IF(OR(B27="Drill",B27="Action"),L27&amp;K27&amp;J27&amp;I27&amp;H27&amp;G27&amp;F27&amp;E27,     "") )    )))</f>
        <v>  -  2N0Chg GoalEMM45658ProjectSome Study Project for sub-cat 1</v>
      </c>
      <c r="AE27" s="60" t="str">
        <f aca="false">IF(AND(AN27="",AO27=""),"Y","N")</f>
        <v>Y</v>
      </c>
      <c r="AF27" s="99" t="str">
        <f aca="false">IF(OR(AG27="Y",AG27="Y"),AG27,IF(DN27="none","N",IF(DN27&gt;($A$17-WEEKDAY($A$17,2)-(7*$AF$18)),"Y","N")))</f>
        <v>N</v>
      </c>
      <c r="AG27" s="100"/>
      <c r="AH27" s="101"/>
      <c r="AI27" s="62" t="s">
        <v>548</v>
      </c>
      <c r="AJ27" s="64" t="s">
        <v>746</v>
      </c>
      <c r="AK27" s="64" t="s">
        <v>735</v>
      </c>
      <c r="AL27" s="70" t="n">
        <v>45658</v>
      </c>
      <c r="AM27" s="70" t="n">
        <v>46022</v>
      </c>
      <c r="AN27" s="70"/>
      <c r="AO27" s="70"/>
      <c r="AP27" s="102" t="n">
        <v>1</v>
      </c>
      <c r="AQ27" s="102" t="n">
        <v>0.5</v>
      </c>
      <c r="AR27" s="62" t="s">
        <v>729</v>
      </c>
      <c r="AS27" s="62" t="s">
        <v>605</v>
      </c>
      <c r="AT27" s="62" t="s">
        <v>359</v>
      </c>
      <c r="AU27" s="62" t="s">
        <v>747</v>
      </c>
      <c r="AV27" s="62" t="s">
        <v>748</v>
      </c>
      <c r="AW27" s="62"/>
      <c r="AX27" s="62"/>
      <c r="AY27" s="62"/>
      <c r="AZ27" s="62"/>
      <c r="BA27" s="62"/>
      <c r="BB27" s="54"/>
      <c r="BC27" s="103" t="s">
        <v>730</v>
      </c>
      <c r="BD27" s="54"/>
      <c r="BE27" s="60" t="n">
        <f aca="false">SUM(O27:R27)</f>
        <v>0</v>
      </c>
      <c r="BF27" s="66" t="n">
        <f aca="false">IF(AJ27="",1,IF(T27&lt;&gt;0,(P27*0.5+S27)/T27,1))</f>
        <v>1</v>
      </c>
      <c r="BG27" s="69" t="n">
        <f aca="false">IF(AI27="","",IF(AI27="Venture",X27,IF(OR(AI27="Chg Goal",AI27="RUn Goal"),W27,IF(OR(AI27="ROutine",AI27="Project"),W27,IF(OR(AI27="Sub",AI27="Stream"),V27,IF(OR(AI27="Drill",AI27="Action"),U27,0))))))</f>
        <v>3</v>
      </c>
      <c r="BH27" s="69" t="n">
        <f aca="false">IF(AI27="","",IF(AI27="Venture",AB27,IF(OR(AI27="Chg Goal",AI27="RUn Goal"),AA27,IF(OR(AI27="ROutine",AI27="Project"),AA27,IF(OR(AI27="Sub",AI27="Stream"),Z27,IF(OR(AI27="Drill",AI27="Action"),Y27,0))))))</f>
        <v>2</v>
      </c>
      <c r="BI27" s="104" t="n">
        <f aca="false">IF(AJ27="","",IF(OR(BG27=0, BG27=""),0,BH27/BG27))</f>
        <v>0.666666666666667</v>
      </c>
      <c r="BJ27" s="105" t="str">
        <f aca="false">IF(    OR(   AND($C27=10000000,    BJ$19&gt;=$A$17,      BJ$19 &lt;($A$17+$DI$17)   ),   AND($C27&lt;&gt;10000000,  BJ$19&gt;=$DX27,    BJ$19&lt;=($DY27+$DI$17)  ))   ,$DW27,  "")</f>
        <v>Red</v>
      </c>
      <c r="BK27" s="106" t="str">
        <f aca="false">IF(    OR(   AND($C27=10000000,    $A$17&lt;=BK$19,      ($A$17+$DI$17)&gt;BK$19    ),   AND($C27&lt;&gt;10000000,  BK$19&gt;=$DX27,    BK$19&lt;=($DY27+$DI$17)  ))   ,$DW27,  "")</f>
        <v>Red</v>
      </c>
      <c r="BL27" s="106" t="str">
        <f aca="false">IF(    OR(   AND($C27=10000000,    $A$17&lt;=BL$19,      ($A$17+$DI$17)&gt;BL$19    ),   AND($C27&lt;&gt;10000000,  BL$19&gt;=$DX27,    BL$19&lt;=($DY27+$DI$17)  ))   ,$DW27,  "")</f>
        <v>Red</v>
      </c>
      <c r="BM27" s="106" t="str">
        <f aca="false">IF(    OR(   AND($C27=10000000,    $A$17&lt;=BM$19,      ($A$17+$DI$17)&gt;BM$19    ),   AND($C27&lt;&gt;10000000,  BM$19&gt;=$DX27,    BM$19&lt;=($DY27+$DI$17)  ))   ,$DW27,  "")</f>
        <v>Red</v>
      </c>
      <c r="BN27" s="106" t="str">
        <f aca="false">IF(    OR(   AND($C27=10000000,    $A$17&lt;=BN$19,      ($A$17+$DI$17)&gt;BN$19    ),   AND($C27&lt;&gt;10000000,  BN$19&gt;=$DX27,    BN$19&lt;=($DY27+$DI$17)  ))   ,$DW27,  "")</f>
        <v>Red</v>
      </c>
      <c r="BO27" s="106" t="str">
        <f aca="false">IF(    OR(   AND($C27=10000000,    $A$17&lt;=BO$19,      ($A$17+$DI$17)&gt;BO$19    ),   AND($C27&lt;&gt;10000000,  BO$19&gt;=$DX27,    BO$19&lt;=($DY27+$DI$17)  ))   ,$DW27,  "")</f>
        <v>Red</v>
      </c>
      <c r="BP27" s="106" t="str">
        <f aca="false">IF(    OR(   AND($C27=10000000,    $A$17&lt;=BP$19,      ($A$17+$DI$17)&gt;BP$19    ),   AND($C27&lt;&gt;10000000,  BP$19&gt;=$DX27,    BP$19&lt;=($DY27+$DI$17)  ))   ,$DW27,  "")</f>
        <v>Red</v>
      </c>
      <c r="BQ27" s="106" t="str">
        <f aca="false">IF(    OR(   AND($C27=10000000,    $A$17&lt;=BQ$19,      ($A$17+$DI$17)&gt;BQ$19    ),   AND($C27&lt;&gt;10000000,  BQ$19&gt;=$DX27,    BQ$19&lt;=($DY27+$DI$17)  ))   ,$DW27,  "")</f>
        <v>Red</v>
      </c>
      <c r="BR27" s="106" t="str">
        <f aca="false">IF(    OR(   AND($C27=10000000,    $A$17&lt;=BR$19,      ($A$17+$DI$17)&gt;BR$19    ),   AND($C27&lt;&gt;10000000,  BR$19&gt;=$DX27,    BR$19&lt;=($DY27+$DI$17)  ))   ,$DW27,  "")</f>
        <v>Red</v>
      </c>
      <c r="BS27" s="106" t="str">
        <f aca="false">IF(    OR(   AND($C27=10000000,    $A$17&lt;=BS$19,      ($A$17+$DI$17)&gt;BS$19    ),   AND($C27&lt;&gt;10000000,  BS$19&gt;=$DX27,    BS$19&lt;=($DY27+$DI$17)  ))   ,$DW27,  "")</f>
        <v>Red</v>
      </c>
      <c r="BT27" s="106" t="str">
        <f aca="false">IF(    OR(   AND($C27=10000000,    $A$17&lt;=BT$19,      ($A$17+$DI$17)&gt;BT$19    ),   AND($C27&lt;&gt;10000000,  BT$19&gt;=$DX27,    BT$19&lt;=($DY27+$DI$17)  ))   ,$DW27,  "")</f>
        <v>Red</v>
      </c>
      <c r="BU27" s="106" t="str">
        <f aca="false">IF(    OR(   AND($C27=10000000,    $A$17&lt;=BU$19,      ($A$17+$DI$17)&gt;BU$19    ),   AND($C27&lt;&gt;10000000,  BU$19&gt;=$DX27,    BU$19&lt;=($DY27+$DI$17)  ))   ,$DW27,  "")</f>
        <v>Red</v>
      </c>
      <c r="BV27" s="106" t="str">
        <f aca="false">IF(    OR(   AND($C27=10000000,    $A$17&lt;=BV$19,      ($A$17+$DI$17)&gt;BV$19    ),   AND($C27&lt;&gt;10000000,  BV$19&gt;=$DX27,    BV$19&lt;=($DY27+$DI$17)  ))   ,$DW27,  "")</f>
        <v>Red</v>
      </c>
      <c r="BW27" s="106" t="str">
        <f aca="false">IF(    OR(   AND($C27=10000000,    $A$17&lt;=BW$19,      ($A$17+$DI$17)&gt;BW$19    ),   AND($C27&lt;&gt;10000000,  BW$19&gt;=$DX27,    BW$19&lt;=($DY27+$DI$17)  ))   ,$DW27,  "")</f>
        <v>Red</v>
      </c>
      <c r="BX27" s="106" t="str">
        <f aca="false">IF(    OR(   AND($C27=10000000,    $A$17&lt;=BX$19,      ($A$17+$DI$17)&gt;BX$19    ),   AND($C27&lt;&gt;10000000,  BX$19&gt;=$DX27,    BX$19&lt;=($DY27+$DI$17)  ))   ,$DW27,  "")</f>
        <v>Red</v>
      </c>
      <c r="BY27" s="106" t="str">
        <f aca="false">IF(    OR(   AND($C27=10000000,    $A$17&lt;=BY$19,      ($A$17+$DI$17)&gt;BY$19    ),   AND($C27&lt;&gt;10000000,  BY$19&gt;=$DX27,    BY$19&lt;=($DY27+$DI$17)  ))   ,$DW27,  "")</f>
        <v>Red</v>
      </c>
      <c r="BZ27" s="106" t="str">
        <f aca="false">IF(    OR(   AND($C27=10000000,    $A$17&lt;=BZ$19,      ($A$17+$DI$17)&gt;BZ$19    ),   AND($C27&lt;&gt;10000000,  BZ$19&gt;=$DX27,    BZ$19&lt;=($DY27+$DI$17)  ))   ,$DW27,  "")</f>
        <v>Red</v>
      </c>
      <c r="CA27" s="106" t="str">
        <f aca="false">IF(    OR(   AND($C27=10000000,    $A$17&lt;=CA$19,      ($A$17+$DI$17)&gt;CA$19    ),   AND($C27&lt;&gt;10000000,  CA$19&gt;=$DX27,    CA$19&lt;=($DY27+$DI$17)  ))   ,$DW27,  "")</f>
        <v>Red</v>
      </c>
      <c r="CB27" s="106" t="str">
        <f aca="false">IF(    OR(   AND($C27=10000000,    $A$17&lt;=CB$19,      ($A$17+$DI$17)&gt;CB$19    ),   AND($C27&lt;&gt;10000000,  CB$19&gt;=$DX27,    CB$19&lt;=($DY27+$DI$17)  ))   ,$DW27,  "")</f>
        <v>Red</v>
      </c>
      <c r="CC27" s="106" t="str">
        <f aca="false">IF(    OR(   AND($C27=10000000,    $A$17&lt;=CC$19,      ($A$17+$DI$17)&gt;CC$19    ),   AND($C27&lt;&gt;10000000,  CC$19&gt;=$DX27,    CC$19&lt;=($DY27+$DI$17)  ))   ,$DW27,  "")</f>
        <v>Red</v>
      </c>
      <c r="CD27" s="106" t="str">
        <f aca="false">IF(    OR(   AND($C27=10000000,    $A$17&lt;=CD$19,      ($A$17+$DI$17)&gt;CD$19    ),   AND($C27&lt;&gt;10000000,  CD$19&gt;=$DX27,    CD$19&lt;=($DY27+$DI$17)  ))   ,$DW27,  "")</f>
        <v>Red</v>
      </c>
      <c r="CE27" s="106" t="str">
        <f aca="false">IF(    OR(   AND($C27=10000000,    $A$17&lt;=CE$19,      ($A$17+$DI$17)&gt;CE$19    ),   AND($C27&lt;&gt;10000000,  CE$19&gt;=$DX27,    CE$19&lt;=($DY27+$DI$17)  ))   ,$DW27,  "")</f>
        <v>Red</v>
      </c>
      <c r="CF27" s="106" t="str">
        <f aca="false">IF(    OR(   AND($C27=10000000,    $A$17&lt;=CF$19,      ($A$17+$DI$17)&gt;CF$19    ),   AND($C27&lt;&gt;10000000,  CF$19&gt;=$DX27,    CF$19&lt;=($DY27+$DI$17)  ))   ,$DW27,  "")</f>
        <v>Red</v>
      </c>
      <c r="CG27" s="106" t="str">
        <f aca="false">IF(    OR(   AND($C27=10000000,    $A$17&lt;=CG$19,      ($A$17+$DI$17)&gt;CG$19    ),   AND($C27&lt;&gt;10000000,  CG$19&gt;=$DX27,    CG$19&lt;=($DY27+$DI$17)  ))   ,$DW27,  "")</f>
        <v>Red</v>
      </c>
      <c r="CH27" s="106" t="str">
        <f aca="false">IF(    OR(   AND($C27=10000000,    $A$17&lt;=CH$19,      ($A$17+$DI$17)&gt;CH$19    ),   AND($C27&lt;&gt;10000000,  CH$19&gt;=$DX27,    CH$19&lt;=($DY27+$DI$17)  ))   ,$DW27,  "")</f>
        <v>Red</v>
      </c>
      <c r="CI27" s="106" t="str">
        <f aca="false">IF(    OR(   AND($C27=10000000,    $A$17&lt;=CI$19,      ($A$17+$DI$17)&gt;CI$19    ),   AND($C27&lt;&gt;10000000,  CI$19&gt;=$DX27,    CI$19&lt;=($DY27+$DI$17)  ))   ,$DW27,  "")</f>
        <v>Red</v>
      </c>
      <c r="CJ27" s="106" t="str">
        <f aca="false">IF(    OR(   AND($C27=10000000,    $A$17&lt;=CJ$19,      ($A$17+$DI$17)&gt;CJ$19    ),   AND($C27&lt;&gt;10000000,  CJ$19&gt;=$DX27,    CJ$19&lt;=($DY27+$DI$17)  ))   ,$DW27,  "")</f>
        <v>Red</v>
      </c>
      <c r="CK27" s="106" t="str">
        <f aca="false">IF(    OR(   AND($C27=10000000,    $A$17&lt;=CK$19,      ($A$17+$DI$17)&gt;CK$19    ),   AND($C27&lt;&gt;10000000,  CK$19&gt;=$DX27,    CK$19&lt;=($DY27+$DI$17)  ))   ,$DW27,  "")</f>
        <v/>
      </c>
      <c r="CL27" s="106" t="str">
        <f aca="false">IF(    OR(   AND($C27=10000000,    $A$17&lt;=CL$19,      ($A$17+$DI$17)&gt;CL$19    ),   AND($C27&lt;&gt;10000000,  CL$19&gt;=$DX27,    CL$19&lt;=($DY27+$DI$17)  ))   ,$DW27,  "")</f>
        <v/>
      </c>
      <c r="CM27" s="106" t="str">
        <f aca="false">IF(    OR(   AND($C27=10000000,    $A$17&lt;=CM$19,      ($A$17+$DI$17)&gt;CM$19    ),   AND($C27&lt;&gt;10000000,  CM$19&gt;=$DX27,    CM$19&lt;=($DY27+$DI$17)  ))   ,$DW27,  "")</f>
        <v/>
      </c>
      <c r="CN27" s="106" t="str">
        <f aca="false">IF(    OR(   AND($C27=10000000,    $A$17&lt;=CN$19,      ($A$17+$DI$17)&gt;CN$19    ),   AND($C27&lt;&gt;10000000,  CN$19&gt;=$DX27,    CN$19&lt;=($DY27+$DI$17)  ))   ,$DW27,  "")</f>
        <v/>
      </c>
      <c r="CO27" s="106" t="str">
        <f aca="false">IF(    OR(   AND($C27=10000000,    $A$17&lt;=CO$19,      ($A$17+$DI$17)&gt;CO$19    ),   AND($C27&lt;&gt;10000000,  CO$19&gt;=$DX27,    CO$19&lt;=($DY27+$DI$17)  ))   ,$DW27,  "")</f>
        <v/>
      </c>
      <c r="CP27" s="106" t="str">
        <f aca="false">IF(    OR(   AND($C27=10000000,    $A$17&lt;=CP$19,      ($A$17+$DI$17)&gt;CP$19    ),   AND($C27&lt;&gt;10000000,  CP$19&gt;=$DX27,    CP$19&lt;=($DY27+$DI$17)  ))   ,$DW27,  "")</f>
        <v/>
      </c>
      <c r="CQ27" s="106" t="str">
        <f aca="false">IF(    OR(   AND($C27=10000000,    $A$17&lt;=CQ$19,      ($A$17+$DI$17)&gt;CQ$19    ),   AND($C27&lt;&gt;10000000,  CQ$19&gt;=$DX27,    CQ$19&lt;=($DY27+$DI$17)  ))   ,$DW27,  "")</f>
        <v/>
      </c>
      <c r="CR27" s="106" t="str">
        <f aca="false">IF(    OR(   AND($C27=10000000,    $A$17&lt;=CR$19,      ($A$17+$DI$17)&gt;CR$19    ),   AND($C27&lt;&gt;10000000,  CR$19&gt;=$DX27,    CR$19&lt;=($DY27+$DI$17)  ))   ,$DW27,  "")</f>
        <v/>
      </c>
      <c r="CS27" s="106" t="str">
        <f aca="false">IF(    OR(   AND($C27=10000000,    $A$17&lt;=CS$19,      ($A$17+$DI$17)&gt;CS$19    ),   AND($C27&lt;&gt;10000000,  CS$19&gt;=$DX27,    CS$19&lt;=($DY27+$DI$17)  ))   ,$DW27,  "")</f>
        <v/>
      </c>
      <c r="CT27" s="106" t="str">
        <f aca="false">IF(    OR(   AND($C27=10000000,    $A$17&lt;=CT$19,      ($A$17+$DI$17)&gt;CT$19    ),   AND($C27&lt;&gt;10000000,  CT$19&gt;=$DX27,    CT$19&lt;=($DY27+$DI$17)  ))   ,$DW27,  "")</f>
        <v/>
      </c>
      <c r="CU27" s="106" t="str">
        <f aca="false">IF(    OR(   AND($C27=10000000,    $A$17&lt;=CU$19,      ($A$17+$DI$17)&gt;CU$19    ),   AND($C27&lt;&gt;10000000,  CU$19&gt;=$DX27,    CU$19&lt;=($DY27+$DI$17)  ))   ,$DW27,  "")</f>
        <v/>
      </c>
      <c r="CV27" s="106" t="str">
        <f aca="false">IF(    OR(   AND($C27=10000000,    $A$17&lt;=CV$19,      ($A$17+$DI$17)&gt;CV$19    ),   AND($C27&lt;&gt;10000000,  CV$19&gt;=$DX27,    CV$19&lt;=($DY27+$DI$17)  ))   ,$DW27,  "")</f>
        <v/>
      </c>
      <c r="CW27" s="106" t="str">
        <f aca="false">IF(    OR(   AND($C27=10000000,    $A$17&lt;=CW$19,      ($A$17+$DI$17)&gt;CW$19    ),   AND($C27&lt;&gt;10000000,  CW$19&gt;=$DX27,    CW$19&lt;=($DY27+$DI$17)  ))   ,$DW27,  "")</f>
        <v/>
      </c>
      <c r="CX27" s="106" t="str">
        <f aca="false">IF(    OR(   AND($C27=10000000,    $A$17&lt;=CX$19,      ($A$17+$DI$17)&gt;CX$19    ),   AND($C27&lt;&gt;10000000,  CX$19&gt;=$DX27,    CX$19&lt;=($DY27+$DI$17)  ))   ,$DW27,  "")</f>
        <v/>
      </c>
      <c r="CY27" s="106" t="str">
        <f aca="false">IF(    OR(   AND($C27=10000000,    $A$17&lt;=CY$19,      ($A$17+$DI$17)&gt;CY$19    ),   AND($C27&lt;&gt;10000000,  CY$19&gt;=$DX27,    CY$19&lt;=($DY27+$DI$17)  ))   ,$DW27,  "")</f>
        <v/>
      </c>
      <c r="CZ27" s="106" t="str">
        <f aca="false">IF(    OR(   AND($C27=10000000,    $A$17&lt;=CZ$19,      ($A$17+$DI$17)&gt;CZ$19    ),   AND($C27&lt;&gt;10000000,  CZ$19&gt;=$DX27,    CZ$19&lt;=($DY27+$DI$17)  ))   ,$DW27,  "")</f>
        <v/>
      </c>
      <c r="DA27" s="106" t="str">
        <f aca="false">IF(    OR(   AND($C27=10000000,    $A$17&lt;=DA$19,      ($A$17+$DI$17)&gt;DA$19    ),   AND($C27&lt;&gt;10000000,  DA$19&gt;=$DX27,    DA$19&lt;=($DY27+$DI$17)  ))   ,$DW27,  "")</f>
        <v/>
      </c>
      <c r="DB27" s="106" t="str">
        <f aca="false">IF(    OR(   AND($C27=10000000,    $A$17&lt;=DB$19,      ($A$17+$DI$17)&gt;DB$19    ),   AND($C27&lt;&gt;10000000,  DB$19&gt;=$DX27,    DB$19&lt;=($DY27+$DI$17)  ))   ,$DW27,  "")</f>
        <v/>
      </c>
      <c r="DC27" s="106" t="str">
        <f aca="false">IF(    OR(   AND($C27=10000000,    $A$17&lt;=DC$19,      ($A$17+$DI$17)&gt;DC$19    ),   AND($C27&lt;&gt;10000000,  DC$19&gt;=$DX27,    DC$19&lt;=($DY27+$DI$17)  ))   ,$DW27,  "")</f>
        <v/>
      </c>
      <c r="DD27" s="106" t="str">
        <f aca="false">IF(    OR(   AND($C27=10000000,    $A$17&lt;=DD$19,      ($A$17+$DI$17)&gt;DD$19    ),   AND($C27&lt;&gt;10000000,  DD$19&gt;=$DX27,    DD$19&lt;=($DY27+$DI$17)  ))   ,$DW27,  "")</f>
        <v/>
      </c>
      <c r="DE27" s="106" t="str">
        <f aca="false">IF(    OR(   AND($C27=10000000,    $A$17&lt;=DE$19,      ($A$17+$DI$17)&gt;DE$19    ),   AND($C27&lt;&gt;10000000,  DE$19&gt;=$DX27,    DE$19&lt;=($DY27+$DI$17)  ))   ,$DW27,  "")</f>
        <v/>
      </c>
      <c r="DF27" s="106" t="str">
        <f aca="false">IF(    OR(   AND($C27=10000000,    $A$17&lt;=DF$19,      ($A$17+$DI$17)&gt;DF$19    ),   AND($C27&lt;&gt;10000000,  DF$19&gt;=$DX27,    DF$19&lt;=($DY27+$DI$17)  ))   ,$DW27,  "")</f>
        <v/>
      </c>
      <c r="DG27" s="106" t="str">
        <f aca="false">IF(    OR(   AND($C27=10000000,    $A$17&lt;=DG$19,      ($A$17+$DI$17)&gt;DG$19    ),   AND($C27&lt;&gt;10000000,  DG$19&gt;=$DX27,    DG$19&lt;=($DY27+$DI$17)  ))   ,$DW27,  "")</f>
        <v/>
      </c>
      <c r="DH27" s="106" t="str">
        <f aca="false">IF(    OR(   AND($C27=10000000,    $A$17&lt;=DH$19,      ($A$17+$DI$17)&gt;DH$19    ),   AND($C27&lt;&gt;10000000,  DH$19&gt;=$DX27,    DH$19&lt;=($DY27+$DI$17)  ))   ,$DW27,  "")</f>
        <v/>
      </c>
      <c r="DI27" s="106" t="str">
        <f aca="false">IF(    OR(   AND($C27=10000000,    $A$17&lt;=DI$19,      ($A$17+$DI$17)&gt;DI$19    ),   AND($C27&lt;&gt;10000000,  DI$19&gt;=$DX27,    DI$19&lt;=($DY27+$DI$17)  ))   ,$DW27,  "")</f>
        <v/>
      </c>
      <c r="DJ27" s="74" t="str">
        <f aca="false">IF(BC27="","",IF(ISERROR(FIND(CHAR(10),BC27,1)),BC27,LEFT(BC27,FIND(CHAR(10),BC27,1))))</f>
        <v>01-01-22: init</v>
      </c>
      <c r="DK27" s="61" t="str">
        <f aca="false">IF(BC27="","",IFERROR(RIGHT(BC27,LEN(BC27)-FIND("@@@",SUBSTITUTE(BC27,CHAR(10),"@@@",LEN(BC27)-LEN(SUBSTITUTE(BC27,CHAR(10),""))),1)),BC27))</f>
        <v>01-01-22: init</v>
      </c>
      <c r="DL27" s="61" t="str">
        <f aca="false">IF(BD27="","",IFERROR(RIGHT(BD27,LEN(BD27)-FIND("@@@",SUBSTITUTE(BD27,CHAR(10),"@@@",LEN(BD27)-LEN(SUBSTITUTE(BD27,CHAR(10),""))),1)),BD27))</f>
        <v/>
      </c>
      <c r="DM27" s="107" t="n">
        <f aca="false">IFERROR(DATE(("20"&amp;MID(DJ27,7,2))*1,MID(DJ27,4,2)*1,MID(DJ27,1,2)*1),"none")</f>
        <v>44562</v>
      </c>
      <c r="DN27" s="107" t="n">
        <f aca="false">IFERROR(DATE(("20"&amp;MID(DK27,7,2))*1,MID(DK27,4,2)*1,MID(DK27,1,2)*1),"none")</f>
        <v>44562</v>
      </c>
      <c r="DO27" s="107" t="n">
        <f aca="false">IF(DM27&lt;&gt;"none",DM27,DATE(1900,1,1))</f>
        <v>44562</v>
      </c>
      <c r="DP27" s="107" t="n">
        <f aca="false">IF(DN27&lt;&gt;"none",DN27,DO27)</f>
        <v>44562</v>
      </c>
      <c r="DQ27" s="108" t="n">
        <f aca="false">_xlfn.DAYS($A$17,DO27)</f>
        <v>1759</v>
      </c>
      <c r="DR27" s="108" t="n">
        <f aca="false">_xlfn.DAYS($A$17, DP27)</f>
        <v>1759</v>
      </c>
      <c r="DS27" s="60" t="n">
        <f aca="false">IF(DP27&lt;&gt;"",INT(DR27/7),0)</f>
        <v>251</v>
      </c>
      <c r="DT27" s="108" t="n">
        <f aca="false">IF(N27="Overdue",_xlfn.DAYS($A$17,AM27),0)</f>
        <v>299</v>
      </c>
      <c r="DU27" s="108" t="n">
        <f aca="false">IF(AI27="Project",_xlfn.DAYS(AM27,$A$17),0)</f>
        <v>-299</v>
      </c>
      <c r="DV27" s="60" t="str">
        <f aca="false">IFERROR(INDEX(Static!$D$5:$E$13,MATCH(AI27,Static!$D$5:$D$13,0),2),"")</f>
        <v>Chg</v>
      </c>
      <c r="DW27" s="60" t="str">
        <f aca="false">IF(C27=10000000,"Red",IF(OR(C27=11000000,C27=12000000),"Black",IF(C27=11100000,"Dark",IF(AND(C27=12100000,N27="Completed"),"Green",IF(AND(C27=12100000,N27="Overdue"),"Red",IF(C27=12100000,"Dark",IF(AND(C27=12110000,N27="Overdue"),"LightRed",IF(AND(C27=12110000,N27="Completed"),"LightGreen",IF(OR(C27=11110000,C27=12110000),"Light",IF(AND(C27=12111000,N27="Overdue"),"SoftRed",IF(AND(C27=12111000,N27="Completed"),"SoftGreen",IF(OR(C27=11111000,C27=12111000),"Grey",""))))))))))))</f>
        <v>Red</v>
      </c>
      <c r="DX27" s="58" t="n">
        <f aca="false">IF(AL27&lt;&gt;"",AL27,$BJ$19)</f>
        <v>45658</v>
      </c>
      <c r="DY27" s="58" t="n">
        <f aca="false">IF(AM27&lt;&gt;"",AM27,$DI$19)</f>
        <v>46022</v>
      </c>
      <c r="DZ27" s="62" t="s">
        <v>364</v>
      </c>
    </row>
    <row r="28" customFormat="false" ht="14.15" hidden="false" customHeight="true" outlineLevel="0" collapsed="false">
      <c r="A28" s="54"/>
      <c r="B28" s="61" t="str">
        <f aca="false">AI28</f>
        <v>Stream</v>
      </c>
      <c r="C28" s="60" t="n">
        <f aca="false">IFERROR(INDEX(Static!$D$5:$F$13,MATCH(AI28,Static!$D$5:$D$13,0),3),90000000)</f>
        <v>12110000</v>
      </c>
      <c r="D28" s="60" t="str">
        <f aca="false">MID(C28,2,1)</f>
        <v>2</v>
      </c>
      <c r="E28" s="61" t="str">
        <f aca="false">AC28</f>
        <v>Stream    Some Stream of the project</v>
      </c>
      <c r="F28" s="58" t="n">
        <f aca="false">IF(B28="Venture",0,IF(OR(B28="Project",B28="Stream",B28="Action"),AL28,0))</f>
        <v>45658</v>
      </c>
      <c r="G28" s="60" t="str">
        <f aca="false">AT28</f>
        <v>ProjectSome Study Project for sub-cat 1</v>
      </c>
      <c r="H28" s="58" t="n">
        <f aca="false">IF(B28="Venture",0,IFERROR(INDEX($E$20:$F$55,MATCH(G28,$E$20:$E$55,0),2),0))</f>
        <v>45658</v>
      </c>
      <c r="I28" s="60" t="str">
        <f aca="false">IF(B28="Venture",0,IFERROR(INDEX($E$20:$G$55,MATCH(G28,$E$20:$E$55,0),3),""))</f>
        <v>Chg GoalEMM</v>
      </c>
      <c r="J28" s="60" t="n">
        <f aca="false">IF(B28="Venture",0,IFERROR(INDEX($E$20:$H$55,MATCH(G28,$E$20:$E$55,0),4),0))</f>
        <v>0</v>
      </c>
      <c r="K28" s="60" t="str">
        <f aca="false">IF(B28="Venture",0,IFERROR(INDEX($E$20:$G$55,MATCH(I28,$E$20:$E$55,0),3),""))</f>
        <v>VNT</v>
      </c>
      <c r="L28" s="60" t="n">
        <f aca="false">IF(C28="Venture",0,IFERROR(INDEX($E$20:$G$55,MATCH(J28,$E$20:$E$55,0),4),0))</f>
        <v>0</v>
      </c>
      <c r="M28" s="60" t="str">
        <f aca="false">IF(N28="Completed","Completed","Ongoing")</f>
        <v>Ongoing</v>
      </c>
      <c r="N28" s="60" t="str">
        <f aca="false">IF(OR(AI28="Venture",AI28="Routine",AI28="Run Goal", AI28="Chg Goal", AI28=""),AI28,IF(AO28&lt;&gt;"","Completed",IF(AN28&lt;&gt;"","Pending",IF(AND(AM28&lt;&gt;"",$A$17&gt;AM28),"Overdue",IF($A$17&gt;AL28,"Started","Open")))))</f>
        <v>Overdue</v>
      </c>
      <c r="O28" s="59" t="n">
        <f aca="false">((LEN($BD28)-LEN(SUBSTITUTE($BD28,CHAR(10)&amp;". ","")))/3)+IF(LEFT(TRIM($BD28),2)=". ",1,0)</f>
        <v>0</v>
      </c>
      <c r="P28" s="59" t="n">
        <f aca="false">((LEN($BD28)-LEN(SUBSTITUTE($BD28,CHAR(10)&amp;"/ ","")))/3)+IF(LEFT(TRIM($BD28),2)="/ ",1,0)</f>
        <v>0</v>
      </c>
      <c r="Q28" s="59" t="n">
        <f aca="false">((LEN($BD28)-LEN(SUBSTITUTE($BD28,CHAR(10)&amp;"~ ","")))/3)+IF(LEFT(TRIM($BD28),2)="~ ",1,0)</f>
        <v>0</v>
      </c>
      <c r="R28" s="59" t="n">
        <f aca="false">((LEN($BD28)-LEN(SUBSTITUTE($BD28,CHAR(10)&amp;"! ","")))/3)+IF(LEFT(TRIM($BD28),2)="! ",1,0)</f>
        <v>0</v>
      </c>
      <c r="S28" s="59" t="n">
        <f aca="false">((LEN($BD28)-LEN(SUBSTITUTE($BD28,CHAR(10)&amp;"x ","")))/3)+IF(LEFT(TRIM($BD28),2)="x ",1,0)</f>
        <v>0</v>
      </c>
      <c r="T28" s="59" t="n">
        <f aca="false">SUM(O28:S28)</f>
        <v>0</v>
      </c>
      <c r="U28" s="60" t="n">
        <f aca="false">IF(OR($B28="Drill",$B28="Action"),$AP28,0)</f>
        <v>0</v>
      </c>
      <c r="V28" s="60" t="n">
        <f aca="false">IF(OR($B28="Sub",$B28="Stream"),$AP28+SUMIFS($AP$20:$AP$55,$G$20:$G$55,$E28),0)</f>
        <v>2</v>
      </c>
      <c r="W28" s="60" t="n">
        <f aca="false">IF(OR($B28="Routine",$B28="Project"),$AP28+SUMIFS($V$20:$V$55,$G$20:$G$55,$E28),0)</f>
        <v>0</v>
      </c>
      <c r="X28" s="60" t="n">
        <f aca="false">IF($B28="Venture",$AP28+SUMIFS($W$20:$W$55,$G$20:$G$55,$E28),0)</f>
        <v>0</v>
      </c>
      <c r="Y28" s="60" t="n">
        <f aca="false">IF(OR($B28="Drill",$B28="Action"),$AQ28,0)</f>
        <v>0</v>
      </c>
      <c r="Z28" s="60" t="n">
        <f aca="false">IF(OR($B28="Sub",$B28="Stream"),$AQ28+SUMIFS($AQ$20:$AQ$55,$G$20:$G$55,$E28),0)</f>
        <v>1.5</v>
      </c>
      <c r="AA28" s="60" t="n">
        <f aca="false">IF(OR($B28="Routine",$B28="Project"),$AQ28+SUMIFS($Z$20:$Z$55,$G$20:$G$55,$E28),0)</f>
        <v>0</v>
      </c>
      <c r="AB28" s="60" t="n">
        <f aca="false">IF($B28="Venture",$AQ28+SUMIFS($AA$20:$AA$55,$G$20:$G$55,$E28),0)</f>
        <v>0</v>
      </c>
      <c r="AC28" s="60" t="str">
        <f aca="false">IF(AI28="Venture",AJ28,AI28&amp;AJ28)</f>
        <v>Stream    Some Stream of the project</v>
      </c>
      <c r="AD28" s="61" t="str">
        <f aca="false">"  -  "&amp;IF(E28="","ZZZ",D28&amp;AF28&amp;IF(OR(B28="Run Goal",B28="Chg Goal", B28="Venture"),F28&amp;E28,IF(OR(B28="Routine",B28="Project"),H28&amp;G28&amp;F28&amp;E28,  IF(OR(B28="Sub",B28="Stream"),J28&amp;I28&amp;H28&amp;G28&amp;F28&amp;E28,IF(OR(B28="Drill",B28="Action"),L28&amp;K28&amp;J28&amp;I28&amp;H28&amp;G28&amp;F28&amp;E28,     "") )    )))</f>
        <v>  -  2N0Chg GoalEMM45658ProjectSome Study Project for sub-cat 145658Stream    Some Stream of the project</v>
      </c>
      <c r="AE28" s="60" t="str">
        <f aca="false">IF(AND(AN28="",AO28=""),"Y","N")</f>
        <v>Y</v>
      </c>
      <c r="AF28" s="99" t="str">
        <f aca="false">IF(OR(AG28="Y",AG28="Y"),AG28,IF(DN28="none","N",IF(DN28&gt;($A$17-WEEKDAY($A$17,2)-(7*$AF$18)),"Y","N")))</f>
        <v>N</v>
      </c>
      <c r="AG28" s="100"/>
      <c r="AH28" s="101"/>
      <c r="AI28" s="62" t="s">
        <v>738</v>
      </c>
      <c r="AJ28" s="64" t="s">
        <v>739</v>
      </c>
      <c r="AK28" s="64" t="s">
        <v>740</v>
      </c>
      <c r="AL28" s="70" t="n">
        <v>45658</v>
      </c>
      <c r="AM28" s="70" t="n">
        <v>46022</v>
      </c>
      <c r="AN28" s="70"/>
      <c r="AO28" s="70"/>
      <c r="AP28" s="102" t="n">
        <v>2</v>
      </c>
      <c r="AQ28" s="102" t="n">
        <v>1.5</v>
      </c>
      <c r="AR28" s="62" t="s">
        <v>729</v>
      </c>
      <c r="AS28" s="62" t="s">
        <v>605</v>
      </c>
      <c r="AT28" s="62" t="s">
        <v>360</v>
      </c>
      <c r="AU28" s="62" t="s">
        <v>736</v>
      </c>
      <c r="AV28" s="62" t="s">
        <v>737</v>
      </c>
      <c r="AW28" s="62"/>
      <c r="AX28" s="62"/>
      <c r="AY28" s="62"/>
      <c r="AZ28" s="62"/>
      <c r="BA28" s="62"/>
      <c r="BB28" s="54"/>
      <c r="BC28" s="103" t="s">
        <v>730</v>
      </c>
      <c r="BD28" s="54"/>
      <c r="BE28" s="60" t="n">
        <f aca="false">SUM(O28:R28)</f>
        <v>0</v>
      </c>
      <c r="BF28" s="66" t="n">
        <f aca="false">IF(AJ28="",1,IF(T28&lt;&gt;0,(P28*0.5+S28)/T28,1))</f>
        <v>1</v>
      </c>
      <c r="BG28" s="69" t="n">
        <f aca="false">IF(AI28="","",IF(AI28="Venture",X28,IF(OR(AI28="Chg Goal",AI28="RUn Goal"),W28,IF(OR(AI28="ROutine",AI28="Project"),W28,IF(OR(AI28="Sub",AI28="Stream"),V28,IF(OR(AI28="Drill",AI28="Action"),U28,0))))))</f>
        <v>2</v>
      </c>
      <c r="BH28" s="69" t="n">
        <f aca="false">IF(AI28="","",IF(AI28="Venture",AB28,IF(OR(AI28="Chg Goal",AI28="RUn Goal"),AA28,IF(OR(AI28="ROutine",AI28="Project"),AA28,IF(OR(AI28="Sub",AI28="Stream"),Z28,IF(OR(AI28="Drill",AI28="Action"),Y28,0))))))</f>
        <v>1.5</v>
      </c>
      <c r="BI28" s="104" t="n">
        <f aca="false">IF(AJ28="","",IF(OR(BG28=0, BG28=""),0,BH28/BG28))</f>
        <v>0.75</v>
      </c>
      <c r="BJ28" s="105" t="str">
        <f aca="false">IF(    OR(   AND($C28=10000000,    BJ$19&gt;=$A$17,      BJ$19 &lt;($A$17+$DI$17)   ),   AND($C28&lt;&gt;10000000,  BJ$19&gt;=$DX28,    BJ$19&lt;=($DY28+$DI$17)  ))   ,$DW28,  "")</f>
        <v>LightRed</v>
      </c>
      <c r="BK28" s="106" t="str">
        <f aca="false">IF(    OR(   AND($C28=10000000,    $A$17&lt;=BK$19,      ($A$17+$DI$17)&gt;BK$19    ),   AND($C28&lt;&gt;10000000,  BK$19&gt;=$DX28,    BK$19&lt;=($DY28+$DI$17)  ))   ,$DW28,  "")</f>
        <v>LightRed</v>
      </c>
      <c r="BL28" s="106" t="str">
        <f aca="false">IF(    OR(   AND($C28=10000000,    $A$17&lt;=BL$19,      ($A$17+$DI$17)&gt;BL$19    ),   AND($C28&lt;&gt;10000000,  BL$19&gt;=$DX28,    BL$19&lt;=($DY28+$DI$17)  ))   ,$DW28,  "")</f>
        <v>LightRed</v>
      </c>
      <c r="BM28" s="106" t="str">
        <f aca="false">IF(    OR(   AND($C28=10000000,    $A$17&lt;=BM$19,      ($A$17+$DI$17)&gt;BM$19    ),   AND($C28&lt;&gt;10000000,  BM$19&gt;=$DX28,    BM$19&lt;=($DY28+$DI$17)  ))   ,$DW28,  "")</f>
        <v>LightRed</v>
      </c>
      <c r="BN28" s="106" t="str">
        <f aca="false">IF(    OR(   AND($C28=10000000,    $A$17&lt;=BN$19,      ($A$17+$DI$17)&gt;BN$19    ),   AND($C28&lt;&gt;10000000,  BN$19&gt;=$DX28,    BN$19&lt;=($DY28+$DI$17)  ))   ,$DW28,  "")</f>
        <v>LightRed</v>
      </c>
      <c r="BO28" s="106" t="str">
        <f aca="false">IF(    OR(   AND($C28=10000000,    $A$17&lt;=BO$19,      ($A$17+$DI$17)&gt;BO$19    ),   AND($C28&lt;&gt;10000000,  BO$19&gt;=$DX28,    BO$19&lt;=($DY28+$DI$17)  ))   ,$DW28,  "")</f>
        <v>LightRed</v>
      </c>
      <c r="BP28" s="106" t="str">
        <f aca="false">IF(    OR(   AND($C28=10000000,    $A$17&lt;=BP$19,      ($A$17+$DI$17)&gt;BP$19    ),   AND($C28&lt;&gt;10000000,  BP$19&gt;=$DX28,    BP$19&lt;=($DY28+$DI$17)  ))   ,$DW28,  "")</f>
        <v>LightRed</v>
      </c>
      <c r="BQ28" s="106" t="str">
        <f aca="false">IF(    OR(   AND($C28=10000000,    $A$17&lt;=BQ$19,      ($A$17+$DI$17)&gt;BQ$19    ),   AND($C28&lt;&gt;10000000,  BQ$19&gt;=$DX28,    BQ$19&lt;=($DY28+$DI$17)  ))   ,$DW28,  "")</f>
        <v>LightRed</v>
      </c>
      <c r="BR28" s="106" t="str">
        <f aca="false">IF(    OR(   AND($C28=10000000,    $A$17&lt;=BR$19,      ($A$17+$DI$17)&gt;BR$19    ),   AND($C28&lt;&gt;10000000,  BR$19&gt;=$DX28,    BR$19&lt;=($DY28+$DI$17)  ))   ,$DW28,  "")</f>
        <v>LightRed</v>
      </c>
      <c r="BS28" s="106" t="str">
        <f aca="false">IF(    OR(   AND($C28=10000000,    $A$17&lt;=BS$19,      ($A$17+$DI$17)&gt;BS$19    ),   AND($C28&lt;&gt;10000000,  BS$19&gt;=$DX28,    BS$19&lt;=($DY28+$DI$17)  ))   ,$DW28,  "")</f>
        <v>LightRed</v>
      </c>
      <c r="BT28" s="106" t="str">
        <f aca="false">IF(    OR(   AND($C28=10000000,    $A$17&lt;=BT$19,      ($A$17+$DI$17)&gt;BT$19    ),   AND($C28&lt;&gt;10000000,  BT$19&gt;=$DX28,    BT$19&lt;=($DY28+$DI$17)  ))   ,$DW28,  "")</f>
        <v>LightRed</v>
      </c>
      <c r="BU28" s="106" t="str">
        <f aca="false">IF(    OR(   AND($C28=10000000,    $A$17&lt;=BU$19,      ($A$17+$DI$17)&gt;BU$19    ),   AND($C28&lt;&gt;10000000,  BU$19&gt;=$DX28,    BU$19&lt;=($DY28+$DI$17)  ))   ,$DW28,  "")</f>
        <v>LightRed</v>
      </c>
      <c r="BV28" s="106" t="str">
        <f aca="false">IF(    OR(   AND($C28=10000000,    $A$17&lt;=BV$19,      ($A$17+$DI$17)&gt;BV$19    ),   AND($C28&lt;&gt;10000000,  BV$19&gt;=$DX28,    BV$19&lt;=($DY28+$DI$17)  ))   ,$DW28,  "")</f>
        <v>LightRed</v>
      </c>
      <c r="BW28" s="106" t="str">
        <f aca="false">IF(    OR(   AND($C28=10000000,    $A$17&lt;=BW$19,      ($A$17+$DI$17)&gt;BW$19    ),   AND($C28&lt;&gt;10000000,  BW$19&gt;=$DX28,    BW$19&lt;=($DY28+$DI$17)  ))   ,$DW28,  "")</f>
        <v>LightRed</v>
      </c>
      <c r="BX28" s="106" t="str">
        <f aca="false">IF(    OR(   AND($C28=10000000,    $A$17&lt;=BX$19,      ($A$17+$DI$17)&gt;BX$19    ),   AND($C28&lt;&gt;10000000,  BX$19&gt;=$DX28,    BX$19&lt;=($DY28+$DI$17)  ))   ,$DW28,  "")</f>
        <v>LightRed</v>
      </c>
      <c r="BY28" s="106" t="str">
        <f aca="false">IF(    OR(   AND($C28=10000000,    $A$17&lt;=BY$19,      ($A$17+$DI$17)&gt;BY$19    ),   AND($C28&lt;&gt;10000000,  BY$19&gt;=$DX28,    BY$19&lt;=($DY28+$DI$17)  ))   ,$DW28,  "")</f>
        <v>LightRed</v>
      </c>
      <c r="BZ28" s="106" t="str">
        <f aca="false">IF(    OR(   AND($C28=10000000,    $A$17&lt;=BZ$19,      ($A$17+$DI$17)&gt;BZ$19    ),   AND($C28&lt;&gt;10000000,  BZ$19&gt;=$DX28,    BZ$19&lt;=($DY28+$DI$17)  ))   ,$DW28,  "")</f>
        <v>LightRed</v>
      </c>
      <c r="CA28" s="106" t="str">
        <f aca="false">IF(    OR(   AND($C28=10000000,    $A$17&lt;=CA$19,      ($A$17+$DI$17)&gt;CA$19    ),   AND($C28&lt;&gt;10000000,  CA$19&gt;=$DX28,    CA$19&lt;=($DY28+$DI$17)  ))   ,$DW28,  "")</f>
        <v>LightRed</v>
      </c>
      <c r="CB28" s="106" t="str">
        <f aca="false">IF(    OR(   AND($C28=10000000,    $A$17&lt;=CB$19,      ($A$17+$DI$17)&gt;CB$19    ),   AND($C28&lt;&gt;10000000,  CB$19&gt;=$DX28,    CB$19&lt;=($DY28+$DI$17)  ))   ,$DW28,  "")</f>
        <v>LightRed</v>
      </c>
      <c r="CC28" s="106" t="str">
        <f aca="false">IF(    OR(   AND($C28=10000000,    $A$17&lt;=CC$19,      ($A$17+$DI$17)&gt;CC$19    ),   AND($C28&lt;&gt;10000000,  CC$19&gt;=$DX28,    CC$19&lt;=($DY28+$DI$17)  ))   ,$DW28,  "")</f>
        <v>LightRed</v>
      </c>
      <c r="CD28" s="106" t="str">
        <f aca="false">IF(    OR(   AND($C28=10000000,    $A$17&lt;=CD$19,      ($A$17+$DI$17)&gt;CD$19    ),   AND($C28&lt;&gt;10000000,  CD$19&gt;=$DX28,    CD$19&lt;=($DY28+$DI$17)  ))   ,$DW28,  "")</f>
        <v>LightRed</v>
      </c>
      <c r="CE28" s="106" t="str">
        <f aca="false">IF(    OR(   AND($C28=10000000,    $A$17&lt;=CE$19,      ($A$17+$DI$17)&gt;CE$19    ),   AND($C28&lt;&gt;10000000,  CE$19&gt;=$DX28,    CE$19&lt;=($DY28+$DI$17)  ))   ,$DW28,  "")</f>
        <v>LightRed</v>
      </c>
      <c r="CF28" s="106" t="str">
        <f aca="false">IF(    OR(   AND($C28=10000000,    $A$17&lt;=CF$19,      ($A$17+$DI$17)&gt;CF$19    ),   AND($C28&lt;&gt;10000000,  CF$19&gt;=$DX28,    CF$19&lt;=($DY28+$DI$17)  ))   ,$DW28,  "")</f>
        <v>LightRed</v>
      </c>
      <c r="CG28" s="106" t="str">
        <f aca="false">IF(    OR(   AND($C28=10000000,    $A$17&lt;=CG$19,      ($A$17+$DI$17)&gt;CG$19    ),   AND($C28&lt;&gt;10000000,  CG$19&gt;=$DX28,    CG$19&lt;=($DY28+$DI$17)  ))   ,$DW28,  "")</f>
        <v>LightRed</v>
      </c>
      <c r="CH28" s="106" t="str">
        <f aca="false">IF(    OR(   AND($C28=10000000,    $A$17&lt;=CH$19,      ($A$17+$DI$17)&gt;CH$19    ),   AND($C28&lt;&gt;10000000,  CH$19&gt;=$DX28,    CH$19&lt;=($DY28+$DI$17)  ))   ,$DW28,  "")</f>
        <v>LightRed</v>
      </c>
      <c r="CI28" s="106" t="str">
        <f aca="false">IF(    OR(   AND($C28=10000000,    $A$17&lt;=CI$19,      ($A$17+$DI$17)&gt;CI$19    ),   AND($C28&lt;&gt;10000000,  CI$19&gt;=$DX28,    CI$19&lt;=($DY28+$DI$17)  ))   ,$DW28,  "")</f>
        <v>LightRed</v>
      </c>
      <c r="CJ28" s="106" t="str">
        <f aca="false">IF(    OR(   AND($C28=10000000,    $A$17&lt;=CJ$19,      ($A$17+$DI$17)&gt;CJ$19    ),   AND($C28&lt;&gt;10000000,  CJ$19&gt;=$DX28,    CJ$19&lt;=($DY28+$DI$17)  ))   ,$DW28,  "")</f>
        <v>LightRed</v>
      </c>
      <c r="CK28" s="106" t="str">
        <f aca="false">IF(    OR(   AND($C28=10000000,    $A$17&lt;=CK$19,      ($A$17+$DI$17)&gt;CK$19    ),   AND($C28&lt;&gt;10000000,  CK$19&gt;=$DX28,    CK$19&lt;=($DY28+$DI$17)  ))   ,$DW28,  "")</f>
        <v/>
      </c>
      <c r="CL28" s="106" t="str">
        <f aca="false">IF(    OR(   AND($C28=10000000,    $A$17&lt;=CL$19,      ($A$17+$DI$17)&gt;CL$19    ),   AND($C28&lt;&gt;10000000,  CL$19&gt;=$DX28,    CL$19&lt;=($DY28+$DI$17)  ))   ,$DW28,  "")</f>
        <v/>
      </c>
      <c r="CM28" s="106" t="str">
        <f aca="false">IF(    OR(   AND($C28=10000000,    $A$17&lt;=CM$19,      ($A$17+$DI$17)&gt;CM$19    ),   AND($C28&lt;&gt;10000000,  CM$19&gt;=$DX28,    CM$19&lt;=($DY28+$DI$17)  ))   ,$DW28,  "")</f>
        <v/>
      </c>
      <c r="CN28" s="106" t="str">
        <f aca="false">IF(    OR(   AND($C28=10000000,    $A$17&lt;=CN$19,      ($A$17+$DI$17)&gt;CN$19    ),   AND($C28&lt;&gt;10000000,  CN$19&gt;=$DX28,    CN$19&lt;=($DY28+$DI$17)  ))   ,$DW28,  "")</f>
        <v/>
      </c>
      <c r="CO28" s="106" t="str">
        <f aca="false">IF(    OR(   AND($C28=10000000,    $A$17&lt;=CO$19,      ($A$17+$DI$17)&gt;CO$19    ),   AND($C28&lt;&gt;10000000,  CO$19&gt;=$DX28,    CO$19&lt;=($DY28+$DI$17)  ))   ,$DW28,  "")</f>
        <v/>
      </c>
      <c r="CP28" s="106" t="str">
        <f aca="false">IF(    OR(   AND($C28=10000000,    $A$17&lt;=CP$19,      ($A$17+$DI$17)&gt;CP$19    ),   AND($C28&lt;&gt;10000000,  CP$19&gt;=$DX28,    CP$19&lt;=($DY28+$DI$17)  ))   ,$DW28,  "")</f>
        <v/>
      </c>
      <c r="CQ28" s="106" t="str">
        <f aca="false">IF(    OR(   AND($C28=10000000,    $A$17&lt;=CQ$19,      ($A$17+$DI$17)&gt;CQ$19    ),   AND($C28&lt;&gt;10000000,  CQ$19&gt;=$DX28,    CQ$19&lt;=($DY28+$DI$17)  ))   ,$DW28,  "")</f>
        <v/>
      </c>
      <c r="CR28" s="106" t="str">
        <f aca="false">IF(    OR(   AND($C28=10000000,    $A$17&lt;=CR$19,      ($A$17+$DI$17)&gt;CR$19    ),   AND($C28&lt;&gt;10000000,  CR$19&gt;=$DX28,    CR$19&lt;=($DY28+$DI$17)  ))   ,$DW28,  "")</f>
        <v/>
      </c>
      <c r="CS28" s="106" t="str">
        <f aca="false">IF(    OR(   AND($C28=10000000,    $A$17&lt;=CS$19,      ($A$17+$DI$17)&gt;CS$19    ),   AND($C28&lt;&gt;10000000,  CS$19&gt;=$DX28,    CS$19&lt;=($DY28+$DI$17)  ))   ,$DW28,  "")</f>
        <v/>
      </c>
      <c r="CT28" s="106" t="str">
        <f aca="false">IF(    OR(   AND($C28=10000000,    $A$17&lt;=CT$19,      ($A$17+$DI$17)&gt;CT$19    ),   AND($C28&lt;&gt;10000000,  CT$19&gt;=$DX28,    CT$19&lt;=($DY28+$DI$17)  ))   ,$DW28,  "")</f>
        <v/>
      </c>
      <c r="CU28" s="106" t="str">
        <f aca="false">IF(    OR(   AND($C28=10000000,    $A$17&lt;=CU$19,      ($A$17+$DI$17)&gt;CU$19    ),   AND($C28&lt;&gt;10000000,  CU$19&gt;=$DX28,    CU$19&lt;=($DY28+$DI$17)  ))   ,$DW28,  "")</f>
        <v/>
      </c>
      <c r="CV28" s="106" t="str">
        <f aca="false">IF(    OR(   AND($C28=10000000,    $A$17&lt;=CV$19,      ($A$17+$DI$17)&gt;CV$19    ),   AND($C28&lt;&gt;10000000,  CV$19&gt;=$DX28,    CV$19&lt;=($DY28+$DI$17)  ))   ,$DW28,  "")</f>
        <v/>
      </c>
      <c r="CW28" s="106" t="str">
        <f aca="false">IF(    OR(   AND($C28=10000000,    $A$17&lt;=CW$19,      ($A$17+$DI$17)&gt;CW$19    ),   AND($C28&lt;&gt;10000000,  CW$19&gt;=$DX28,    CW$19&lt;=($DY28+$DI$17)  ))   ,$DW28,  "")</f>
        <v/>
      </c>
      <c r="CX28" s="106" t="str">
        <f aca="false">IF(    OR(   AND($C28=10000000,    $A$17&lt;=CX$19,      ($A$17+$DI$17)&gt;CX$19    ),   AND($C28&lt;&gt;10000000,  CX$19&gt;=$DX28,    CX$19&lt;=($DY28+$DI$17)  ))   ,$DW28,  "")</f>
        <v/>
      </c>
      <c r="CY28" s="106" t="str">
        <f aca="false">IF(    OR(   AND($C28=10000000,    $A$17&lt;=CY$19,      ($A$17+$DI$17)&gt;CY$19    ),   AND($C28&lt;&gt;10000000,  CY$19&gt;=$DX28,    CY$19&lt;=($DY28+$DI$17)  ))   ,$DW28,  "")</f>
        <v/>
      </c>
      <c r="CZ28" s="106" t="str">
        <f aca="false">IF(    OR(   AND($C28=10000000,    $A$17&lt;=CZ$19,      ($A$17+$DI$17)&gt;CZ$19    ),   AND($C28&lt;&gt;10000000,  CZ$19&gt;=$DX28,    CZ$19&lt;=($DY28+$DI$17)  ))   ,$DW28,  "")</f>
        <v/>
      </c>
      <c r="DA28" s="106" t="str">
        <f aca="false">IF(    OR(   AND($C28=10000000,    $A$17&lt;=DA$19,      ($A$17+$DI$17)&gt;DA$19    ),   AND($C28&lt;&gt;10000000,  DA$19&gt;=$DX28,    DA$19&lt;=($DY28+$DI$17)  ))   ,$DW28,  "")</f>
        <v/>
      </c>
      <c r="DB28" s="106" t="str">
        <f aca="false">IF(    OR(   AND($C28=10000000,    $A$17&lt;=DB$19,      ($A$17+$DI$17)&gt;DB$19    ),   AND($C28&lt;&gt;10000000,  DB$19&gt;=$DX28,    DB$19&lt;=($DY28+$DI$17)  ))   ,$DW28,  "")</f>
        <v/>
      </c>
      <c r="DC28" s="106" t="str">
        <f aca="false">IF(    OR(   AND($C28=10000000,    $A$17&lt;=DC$19,      ($A$17+$DI$17)&gt;DC$19    ),   AND($C28&lt;&gt;10000000,  DC$19&gt;=$DX28,    DC$19&lt;=($DY28+$DI$17)  ))   ,$DW28,  "")</f>
        <v/>
      </c>
      <c r="DD28" s="106" t="str">
        <f aca="false">IF(    OR(   AND($C28=10000000,    $A$17&lt;=DD$19,      ($A$17+$DI$17)&gt;DD$19    ),   AND($C28&lt;&gt;10000000,  DD$19&gt;=$DX28,    DD$19&lt;=($DY28+$DI$17)  ))   ,$DW28,  "")</f>
        <v/>
      </c>
      <c r="DE28" s="106" t="str">
        <f aca="false">IF(    OR(   AND($C28=10000000,    $A$17&lt;=DE$19,      ($A$17+$DI$17)&gt;DE$19    ),   AND($C28&lt;&gt;10000000,  DE$19&gt;=$DX28,    DE$19&lt;=($DY28+$DI$17)  ))   ,$DW28,  "")</f>
        <v/>
      </c>
      <c r="DF28" s="106" t="str">
        <f aca="false">IF(    OR(   AND($C28=10000000,    $A$17&lt;=DF$19,      ($A$17+$DI$17)&gt;DF$19    ),   AND($C28&lt;&gt;10000000,  DF$19&gt;=$DX28,    DF$19&lt;=($DY28+$DI$17)  ))   ,$DW28,  "")</f>
        <v/>
      </c>
      <c r="DG28" s="106" t="str">
        <f aca="false">IF(    OR(   AND($C28=10000000,    $A$17&lt;=DG$19,      ($A$17+$DI$17)&gt;DG$19    ),   AND($C28&lt;&gt;10000000,  DG$19&gt;=$DX28,    DG$19&lt;=($DY28+$DI$17)  ))   ,$DW28,  "")</f>
        <v/>
      </c>
      <c r="DH28" s="106" t="str">
        <f aca="false">IF(    OR(   AND($C28=10000000,    $A$17&lt;=DH$19,      ($A$17+$DI$17)&gt;DH$19    ),   AND($C28&lt;&gt;10000000,  DH$19&gt;=$DX28,    DH$19&lt;=($DY28+$DI$17)  ))   ,$DW28,  "")</f>
        <v/>
      </c>
      <c r="DI28" s="106" t="str">
        <f aca="false">IF(    OR(   AND($C28=10000000,    $A$17&lt;=DI$19,      ($A$17+$DI$17)&gt;DI$19    ),   AND($C28&lt;&gt;10000000,  DI$19&gt;=$DX28,    DI$19&lt;=($DY28+$DI$17)  ))   ,$DW28,  "")</f>
        <v/>
      </c>
      <c r="DJ28" s="74" t="str">
        <f aca="false">IF(BC28="","",IF(ISERROR(FIND(CHAR(10),BC28,1)),BC28,LEFT(BC28,FIND(CHAR(10),BC28,1))))</f>
        <v>01-01-22: init</v>
      </c>
      <c r="DK28" s="61" t="str">
        <f aca="false">IF(BC28="","",IFERROR(RIGHT(BC28,LEN(BC28)-FIND("@@@",SUBSTITUTE(BC28,CHAR(10),"@@@",LEN(BC28)-LEN(SUBSTITUTE(BC28,CHAR(10),""))),1)),BC28))</f>
        <v>01-01-22: init</v>
      </c>
      <c r="DL28" s="61" t="str">
        <f aca="false">IF(BD28="","",IFERROR(RIGHT(BD28,LEN(BD28)-FIND("@@@",SUBSTITUTE(BD28,CHAR(10),"@@@",LEN(BD28)-LEN(SUBSTITUTE(BD28,CHAR(10),""))),1)),BD28))</f>
        <v/>
      </c>
      <c r="DM28" s="107" t="n">
        <f aca="false">IFERROR(DATE(("20"&amp;MID(DJ28,7,2))*1,MID(DJ28,4,2)*1,MID(DJ28,1,2)*1),"none")</f>
        <v>44562</v>
      </c>
      <c r="DN28" s="107" t="n">
        <f aca="false">IFERROR(DATE(("20"&amp;MID(DK28,7,2))*1,MID(DK28,4,2)*1,MID(DK28,1,2)*1),"none")</f>
        <v>44562</v>
      </c>
      <c r="DO28" s="107" t="n">
        <f aca="false">IF(DM28&lt;&gt;"none",DM28,DATE(1900,1,1))</f>
        <v>44562</v>
      </c>
      <c r="DP28" s="107" t="n">
        <f aca="false">IF(DN28&lt;&gt;"none",DN28,DO28)</f>
        <v>44562</v>
      </c>
      <c r="DQ28" s="108" t="n">
        <f aca="false">_xlfn.DAYS($A$17,DO28)</f>
        <v>1759</v>
      </c>
      <c r="DR28" s="108" t="n">
        <f aca="false">_xlfn.DAYS($A$17, DP28)</f>
        <v>1759</v>
      </c>
      <c r="DS28" s="60" t="n">
        <f aca="false">IF(DP28&lt;&gt;"",INT(DR28/7),0)</f>
        <v>251</v>
      </c>
      <c r="DT28" s="108" t="n">
        <f aca="false">IF(N28="Overdue",_xlfn.DAYS($A$17,AM28),0)</f>
        <v>299</v>
      </c>
      <c r="DU28" s="108" t="n">
        <f aca="false">IF(AI28="Project",_xlfn.DAYS(AM28,$A$17),0)</f>
        <v>0</v>
      </c>
      <c r="DV28" s="60" t="str">
        <f aca="false">IFERROR(INDEX(Static!$D$5:$E$13,MATCH(AI28,Static!$D$5:$D$13,0),2),"")</f>
        <v>Chg</v>
      </c>
      <c r="DW28" s="60" t="str">
        <f aca="false">IF(C28=10000000,"Red",IF(OR(C28=11000000,C28=12000000),"Black",IF(C28=11100000,"Dark",IF(AND(C28=12100000,N28="Completed"),"Green",IF(AND(C28=12100000,N28="Overdue"),"Red",IF(C28=12100000,"Dark",IF(AND(C28=12110000,N28="Overdue"),"LightRed",IF(AND(C28=12110000,N28="Completed"),"LightGreen",IF(OR(C28=11110000,C28=12110000),"Light",IF(AND(C28=12111000,N28="Overdue"),"SoftRed",IF(AND(C28=12111000,N28="Completed"),"SoftGreen",IF(OR(C28=11111000,C28=12111000),"Grey",""))))))))))))</f>
        <v>LightRed</v>
      </c>
      <c r="DX28" s="58" t="n">
        <f aca="false">IF(AL28&lt;&gt;"",AL28,$BJ$19)</f>
        <v>45658</v>
      </c>
      <c r="DY28" s="58" t="n">
        <f aca="false">IF(AM28&lt;&gt;"",AM28,$DI$19)</f>
        <v>46022</v>
      </c>
      <c r="DZ28" s="62" t="s">
        <v>364</v>
      </c>
    </row>
    <row r="29" customFormat="false" ht="14.15" hidden="false" customHeight="true" outlineLevel="0" collapsed="false">
      <c r="A29" s="54"/>
      <c r="B29" s="61" t="str">
        <f aca="false">AI29</f>
        <v>Action</v>
      </c>
      <c r="C29" s="60" t="n">
        <f aca="false">IFERROR(INDEX(Static!$D$5:$F$13,MATCH(AI29,Static!$D$5:$D$13,0),3),90000000)</f>
        <v>12111000</v>
      </c>
      <c r="D29" s="60" t="str">
        <f aca="false">MID(C29,2,1)</f>
        <v>2</v>
      </c>
      <c r="E29" s="61" t="str">
        <f aca="false">AC29</f>
        <v>Action        Some Action for the Study</v>
      </c>
      <c r="F29" s="58" t="n">
        <f aca="false">IF(B29="Venture",0,IF(OR(B29="Project",B29="Stream",B29="Action"),AL29,0))</f>
        <v>45658</v>
      </c>
      <c r="G29" s="60" t="str">
        <f aca="false">AT29</f>
        <v>ProjectSome Study Project for sub-cat 1</v>
      </c>
      <c r="H29" s="58" t="n">
        <f aca="false">IF(B29="Venture",0,IFERROR(INDEX($E$20:$F$55,MATCH(G29,$E$20:$E$55,0),2),0))</f>
        <v>45658</v>
      </c>
      <c r="I29" s="60" t="str">
        <f aca="false">IF(B29="Venture",0,IFERROR(INDEX($E$20:$G$55,MATCH(G29,$E$20:$E$55,0),3),""))</f>
        <v>Chg GoalEMM</v>
      </c>
      <c r="J29" s="60" t="n">
        <f aca="false">IF(B29="Venture",0,IFERROR(INDEX($E$20:$H$55,MATCH(G29,$E$20:$E$55,0),4),0))</f>
        <v>0</v>
      </c>
      <c r="K29" s="60" t="str">
        <f aca="false">IF(B29="Venture",0,IFERROR(INDEX($E$20:$G$55,MATCH(I29,$E$20:$E$55,0),3),""))</f>
        <v>VNT</v>
      </c>
      <c r="L29" s="60" t="n">
        <f aca="false">IF(C29="Venture",0,IFERROR(INDEX($E$20:$G$55,MATCH(J29,$E$20:$E$55,0),4),0))</f>
        <v>0</v>
      </c>
      <c r="M29" s="60" t="str">
        <f aca="false">IF(N29="Completed","Completed","Ongoing")</f>
        <v>Ongoing</v>
      </c>
      <c r="N29" s="60" t="str">
        <f aca="false">IF(OR(AI29="Venture",AI29="Routine",AI29="Run Goal", AI29="Chg Goal", AI29=""),AI29,IF(AO29&lt;&gt;"","Completed",IF(AN29&lt;&gt;"","Pending",IF(AND(AM29&lt;&gt;"",$A$17&gt;AM29),"Overdue",IF($A$17&gt;AL29,"Started","Open")))))</f>
        <v>Overdue</v>
      </c>
      <c r="O29" s="59" t="n">
        <f aca="false">((LEN($BD29)-LEN(SUBSTITUTE($BD29,CHAR(10)&amp;". ","")))/3)+IF(LEFT(TRIM($BD29),2)=". ",1,0)</f>
        <v>0</v>
      </c>
      <c r="P29" s="59" t="n">
        <f aca="false">((LEN($BD29)-LEN(SUBSTITUTE($BD29,CHAR(10)&amp;"/ ","")))/3)+IF(LEFT(TRIM($BD29),2)="/ ",1,0)</f>
        <v>0</v>
      </c>
      <c r="Q29" s="59" t="n">
        <f aca="false">((LEN($BD29)-LEN(SUBSTITUTE($BD29,CHAR(10)&amp;"~ ","")))/3)+IF(LEFT(TRIM($BD29),2)="~ ",1,0)</f>
        <v>0</v>
      </c>
      <c r="R29" s="59" t="n">
        <f aca="false">((LEN($BD29)-LEN(SUBSTITUTE($BD29,CHAR(10)&amp;"! ","")))/3)+IF(LEFT(TRIM($BD29),2)="! ",1,0)</f>
        <v>0</v>
      </c>
      <c r="S29" s="59" t="n">
        <f aca="false">((LEN($BD29)-LEN(SUBSTITUTE($BD29,CHAR(10)&amp;"x ","")))/3)+IF(LEFT(TRIM($BD29),2)="x ",1,0)</f>
        <v>0</v>
      </c>
      <c r="T29" s="59" t="n">
        <f aca="false">SUM(O29:S29)</f>
        <v>0</v>
      </c>
      <c r="U29" s="109" t="n">
        <f aca="false">IF(OR($B29="Drill",$B29="Action"),$AP29,0)</f>
        <v>3</v>
      </c>
      <c r="V29" s="60" t="n">
        <f aca="false">IF(OR($B29="Sub",$B29="Stream"),$AP29+SUMIFS($AP$20:$AP$55,$G$20:$G$55,$E29),0)</f>
        <v>0</v>
      </c>
      <c r="W29" s="60" t="n">
        <f aca="false">IF(OR($B29="Routine",$B29="Project"),$AP29+SUMIFS($V$20:$V$55,$G$20:$G$55,$E29),0)</f>
        <v>0</v>
      </c>
      <c r="X29" s="60" t="n">
        <f aca="false">IF($B29="Venture",$AP29+SUMIFS($W$20:$W$55,$G$20:$G$55,$E29),0)</f>
        <v>0</v>
      </c>
      <c r="Y29" s="109" t="n">
        <f aca="false">IF(OR($B29="Drill",$B29="Action"),$AQ29,0)</f>
        <v>2.5</v>
      </c>
      <c r="Z29" s="60" t="n">
        <f aca="false">IF(OR($B29="Sub",$B29="Stream"),$AQ29+SUMIFS($AQ$20:$AQ$55,$G$20:$G$55,$E29),0)</f>
        <v>0</v>
      </c>
      <c r="AA29" s="60" t="n">
        <f aca="false">IF(OR($B29="Routine",$B29="Project"),$AQ29+SUMIFS($Z$20:$Z$55,$G$20:$G$55,$E29),0)</f>
        <v>0</v>
      </c>
      <c r="AB29" s="60" t="n">
        <f aca="false">IF($B29="Venture",$AQ29+SUMIFS($AA$20:$AA$55,$G$20:$G$55,$E29),0)</f>
        <v>0</v>
      </c>
      <c r="AC29" s="60" t="str">
        <f aca="false">IF(AI29="Venture",AJ29,AI29&amp;AJ29)</f>
        <v>Action        Some Action for the Study</v>
      </c>
      <c r="AD29" s="61" t="str">
        <f aca="false">"  -  "&amp;IF(E29="","ZZZ",D29&amp;AF29&amp;IF(OR(B29="Run Goal",B29="Chg Goal", B29="Venture"),F29&amp;E29,IF(OR(B29="Routine",B29="Project"),H29&amp;G29&amp;F29&amp;E29,  IF(OR(B29="Sub",B29="Stream"),J29&amp;I29&amp;H29&amp;G29&amp;F29&amp;E29,IF(OR(B29="Drill",B29="Action"),L29&amp;K29&amp;J29&amp;I29&amp;H29&amp;G29&amp;F29&amp;E29,     "") )    )))</f>
        <v>  -  2N0VNT0Chg GoalEMM45658ProjectSome Study Project for sub-cat 145658Action        Some Action for the Study</v>
      </c>
      <c r="AE29" s="60" t="str">
        <f aca="false">IF(AND(AN29="",AO29=""),"Y","N")</f>
        <v>Y</v>
      </c>
      <c r="AF29" s="99" t="str">
        <f aca="false">IF(OR(AG29="Y",AG29="Y"),AG29,IF(DN29="none","N",IF(DN29&gt;($A$17-WEEKDAY($A$17,2)-(7*$AF$18)),"Y","N")))</f>
        <v>N</v>
      </c>
      <c r="AG29" s="100"/>
      <c r="AH29" s="101"/>
      <c r="AI29" s="62" t="s">
        <v>741</v>
      </c>
      <c r="AJ29" s="64" t="s">
        <v>742</v>
      </c>
      <c r="AK29" s="64" t="s">
        <v>743</v>
      </c>
      <c r="AL29" s="70" t="n">
        <v>45658</v>
      </c>
      <c r="AM29" s="70" t="n">
        <v>46022</v>
      </c>
      <c r="AN29" s="70"/>
      <c r="AO29" s="70"/>
      <c r="AP29" s="102" t="n">
        <v>3</v>
      </c>
      <c r="AQ29" s="102" t="n">
        <v>2.5</v>
      </c>
      <c r="AR29" s="62" t="s">
        <v>729</v>
      </c>
      <c r="AS29" s="62" t="s">
        <v>605</v>
      </c>
      <c r="AT29" s="62" t="s">
        <v>360</v>
      </c>
      <c r="AU29" s="62" t="s">
        <v>736</v>
      </c>
      <c r="AV29" s="62" t="s">
        <v>737</v>
      </c>
      <c r="AW29" s="62"/>
      <c r="AX29" s="62"/>
      <c r="AY29" s="62"/>
      <c r="AZ29" s="62"/>
      <c r="BA29" s="62"/>
      <c r="BB29" s="54"/>
      <c r="BC29" s="103" t="s">
        <v>730</v>
      </c>
      <c r="BD29" s="54"/>
      <c r="BE29" s="60" t="n">
        <f aca="false">SUM(O29:R29)</f>
        <v>0</v>
      </c>
      <c r="BF29" s="66" t="n">
        <f aca="false">IF(AJ29="",1,IF(T29&lt;&gt;0,(P29*0.5+S29)/T29,1))</f>
        <v>1</v>
      </c>
      <c r="BG29" s="69" t="n">
        <f aca="false">IF(AI29="","",IF(AI29="Venture",X29,IF(OR(AI29="Chg Goal",AI29="RUn Goal"),W29,IF(OR(AI29="ROutine",AI29="Project"),W29,IF(OR(AI29="Sub",AI29="Stream"),V29,IF(OR(AI29="Drill",AI29="Action"),U29,0))))))</f>
        <v>3</v>
      </c>
      <c r="BH29" s="69" t="n">
        <f aca="false">IF(AI29="","",IF(AI29="Venture",AB29,IF(OR(AI29="Chg Goal",AI29="RUn Goal"),AA29,IF(OR(AI29="ROutine",AI29="Project"),AA29,IF(OR(AI29="Sub",AI29="Stream"),Z29,IF(OR(AI29="Drill",AI29="Action"),Y29,0))))))</f>
        <v>2.5</v>
      </c>
      <c r="BI29" s="104" t="n">
        <f aca="false">IF(AJ29="","",IF(OR(BG29=0, BG29=""),0,BH29/BG29))</f>
        <v>0.833333333333333</v>
      </c>
      <c r="BJ29" s="105" t="str">
        <f aca="false">IF(    OR(   AND($C29=10000000,    BJ$19&gt;=$A$17,      BJ$19 &lt;($A$17+$DI$17)   ),   AND($C29&lt;&gt;10000000,  BJ$19&gt;=$DX29,    BJ$19&lt;=($DY29+$DI$17)  ))   ,$DW29,  "")</f>
        <v>SoftRed</v>
      </c>
      <c r="BK29" s="106" t="str">
        <f aca="false">IF(    OR(   AND($C29=10000000,    $A$17&lt;=BK$19,      ($A$17+$DI$17)&gt;BK$19    ),   AND($C29&lt;&gt;10000000,  BK$19&gt;=$DX29,    BK$19&lt;=($DY29+$DI$17)  ))   ,$DW29,  "")</f>
        <v>SoftRed</v>
      </c>
      <c r="BL29" s="106" t="str">
        <f aca="false">IF(    OR(   AND($C29=10000000,    $A$17&lt;=BL$19,      ($A$17+$DI$17)&gt;BL$19    ),   AND($C29&lt;&gt;10000000,  BL$19&gt;=$DX29,    BL$19&lt;=($DY29+$DI$17)  ))   ,$DW29,  "")</f>
        <v>SoftRed</v>
      </c>
      <c r="BM29" s="106" t="str">
        <f aca="false">IF(    OR(   AND($C29=10000000,    $A$17&lt;=BM$19,      ($A$17+$DI$17)&gt;BM$19    ),   AND($C29&lt;&gt;10000000,  BM$19&gt;=$DX29,    BM$19&lt;=($DY29+$DI$17)  ))   ,$DW29,  "")</f>
        <v>SoftRed</v>
      </c>
      <c r="BN29" s="106" t="str">
        <f aca="false">IF(    OR(   AND($C29=10000000,    $A$17&lt;=BN$19,      ($A$17+$DI$17)&gt;BN$19    ),   AND($C29&lt;&gt;10000000,  BN$19&gt;=$DX29,    BN$19&lt;=($DY29+$DI$17)  ))   ,$DW29,  "")</f>
        <v>SoftRed</v>
      </c>
      <c r="BO29" s="106" t="str">
        <f aca="false">IF(    OR(   AND($C29=10000000,    $A$17&lt;=BO$19,      ($A$17+$DI$17)&gt;BO$19    ),   AND($C29&lt;&gt;10000000,  BO$19&gt;=$DX29,    BO$19&lt;=($DY29+$DI$17)  ))   ,$DW29,  "")</f>
        <v>SoftRed</v>
      </c>
      <c r="BP29" s="106" t="str">
        <f aca="false">IF(    OR(   AND($C29=10000000,    $A$17&lt;=BP$19,      ($A$17+$DI$17)&gt;BP$19    ),   AND($C29&lt;&gt;10000000,  BP$19&gt;=$DX29,    BP$19&lt;=($DY29+$DI$17)  ))   ,$DW29,  "")</f>
        <v>SoftRed</v>
      </c>
      <c r="BQ29" s="106" t="str">
        <f aca="false">IF(    OR(   AND($C29=10000000,    $A$17&lt;=BQ$19,      ($A$17+$DI$17)&gt;BQ$19    ),   AND($C29&lt;&gt;10000000,  BQ$19&gt;=$DX29,    BQ$19&lt;=($DY29+$DI$17)  ))   ,$DW29,  "")</f>
        <v>SoftRed</v>
      </c>
      <c r="BR29" s="106" t="str">
        <f aca="false">IF(    OR(   AND($C29=10000000,    $A$17&lt;=BR$19,      ($A$17+$DI$17)&gt;BR$19    ),   AND($C29&lt;&gt;10000000,  BR$19&gt;=$DX29,    BR$19&lt;=($DY29+$DI$17)  ))   ,$DW29,  "")</f>
        <v>SoftRed</v>
      </c>
      <c r="BS29" s="106" t="str">
        <f aca="false">IF(    OR(   AND($C29=10000000,    $A$17&lt;=BS$19,      ($A$17+$DI$17)&gt;BS$19    ),   AND($C29&lt;&gt;10000000,  BS$19&gt;=$DX29,    BS$19&lt;=($DY29+$DI$17)  ))   ,$DW29,  "")</f>
        <v>SoftRed</v>
      </c>
      <c r="BT29" s="106" t="str">
        <f aca="false">IF(    OR(   AND($C29=10000000,    $A$17&lt;=BT$19,      ($A$17+$DI$17)&gt;BT$19    ),   AND($C29&lt;&gt;10000000,  BT$19&gt;=$DX29,    BT$19&lt;=($DY29+$DI$17)  ))   ,$DW29,  "")</f>
        <v>SoftRed</v>
      </c>
      <c r="BU29" s="106" t="str">
        <f aca="false">IF(    OR(   AND($C29=10000000,    $A$17&lt;=BU$19,      ($A$17+$DI$17)&gt;BU$19    ),   AND($C29&lt;&gt;10000000,  BU$19&gt;=$DX29,    BU$19&lt;=($DY29+$DI$17)  ))   ,$DW29,  "")</f>
        <v>SoftRed</v>
      </c>
      <c r="BV29" s="106" t="str">
        <f aca="false">IF(    OR(   AND($C29=10000000,    $A$17&lt;=BV$19,      ($A$17+$DI$17)&gt;BV$19    ),   AND($C29&lt;&gt;10000000,  BV$19&gt;=$DX29,    BV$19&lt;=($DY29+$DI$17)  ))   ,$DW29,  "")</f>
        <v>SoftRed</v>
      </c>
      <c r="BW29" s="106" t="str">
        <f aca="false">IF(    OR(   AND($C29=10000000,    $A$17&lt;=BW$19,      ($A$17+$DI$17)&gt;BW$19    ),   AND($C29&lt;&gt;10000000,  BW$19&gt;=$DX29,    BW$19&lt;=($DY29+$DI$17)  ))   ,$DW29,  "")</f>
        <v>SoftRed</v>
      </c>
      <c r="BX29" s="106" t="str">
        <f aca="false">IF(    OR(   AND($C29=10000000,    $A$17&lt;=BX$19,      ($A$17+$DI$17)&gt;BX$19    ),   AND($C29&lt;&gt;10000000,  BX$19&gt;=$DX29,    BX$19&lt;=($DY29+$DI$17)  ))   ,$DW29,  "")</f>
        <v>SoftRed</v>
      </c>
      <c r="BY29" s="106" t="str">
        <f aca="false">IF(    OR(   AND($C29=10000000,    $A$17&lt;=BY$19,      ($A$17+$DI$17)&gt;BY$19    ),   AND($C29&lt;&gt;10000000,  BY$19&gt;=$DX29,    BY$19&lt;=($DY29+$DI$17)  ))   ,$DW29,  "")</f>
        <v>SoftRed</v>
      </c>
      <c r="BZ29" s="106" t="str">
        <f aca="false">IF(    OR(   AND($C29=10000000,    $A$17&lt;=BZ$19,      ($A$17+$DI$17)&gt;BZ$19    ),   AND($C29&lt;&gt;10000000,  BZ$19&gt;=$DX29,    BZ$19&lt;=($DY29+$DI$17)  ))   ,$DW29,  "")</f>
        <v>SoftRed</v>
      </c>
      <c r="CA29" s="106" t="str">
        <f aca="false">IF(    OR(   AND($C29=10000000,    $A$17&lt;=CA$19,      ($A$17+$DI$17)&gt;CA$19    ),   AND($C29&lt;&gt;10000000,  CA$19&gt;=$DX29,    CA$19&lt;=($DY29+$DI$17)  ))   ,$DW29,  "")</f>
        <v>SoftRed</v>
      </c>
      <c r="CB29" s="106" t="str">
        <f aca="false">IF(    OR(   AND($C29=10000000,    $A$17&lt;=CB$19,      ($A$17+$DI$17)&gt;CB$19    ),   AND($C29&lt;&gt;10000000,  CB$19&gt;=$DX29,    CB$19&lt;=($DY29+$DI$17)  ))   ,$DW29,  "")</f>
        <v>SoftRed</v>
      </c>
      <c r="CC29" s="106" t="str">
        <f aca="false">IF(    OR(   AND($C29=10000000,    $A$17&lt;=CC$19,      ($A$17+$DI$17)&gt;CC$19    ),   AND($C29&lt;&gt;10000000,  CC$19&gt;=$DX29,    CC$19&lt;=($DY29+$DI$17)  ))   ,$DW29,  "")</f>
        <v>SoftRed</v>
      </c>
      <c r="CD29" s="106" t="str">
        <f aca="false">IF(    OR(   AND($C29=10000000,    $A$17&lt;=CD$19,      ($A$17+$DI$17)&gt;CD$19    ),   AND($C29&lt;&gt;10000000,  CD$19&gt;=$DX29,    CD$19&lt;=($DY29+$DI$17)  ))   ,$DW29,  "")</f>
        <v>SoftRed</v>
      </c>
      <c r="CE29" s="106" t="str">
        <f aca="false">IF(    OR(   AND($C29=10000000,    $A$17&lt;=CE$19,      ($A$17+$DI$17)&gt;CE$19    ),   AND($C29&lt;&gt;10000000,  CE$19&gt;=$DX29,    CE$19&lt;=($DY29+$DI$17)  ))   ,$DW29,  "")</f>
        <v>SoftRed</v>
      </c>
      <c r="CF29" s="106" t="str">
        <f aca="false">IF(    OR(   AND($C29=10000000,    $A$17&lt;=CF$19,      ($A$17+$DI$17)&gt;CF$19    ),   AND($C29&lt;&gt;10000000,  CF$19&gt;=$DX29,    CF$19&lt;=($DY29+$DI$17)  ))   ,$DW29,  "")</f>
        <v>SoftRed</v>
      </c>
      <c r="CG29" s="106" t="str">
        <f aca="false">IF(    OR(   AND($C29=10000000,    $A$17&lt;=CG$19,      ($A$17+$DI$17)&gt;CG$19    ),   AND($C29&lt;&gt;10000000,  CG$19&gt;=$DX29,    CG$19&lt;=($DY29+$DI$17)  ))   ,$DW29,  "")</f>
        <v>SoftRed</v>
      </c>
      <c r="CH29" s="106" t="str">
        <f aca="false">IF(    OR(   AND($C29=10000000,    $A$17&lt;=CH$19,      ($A$17+$DI$17)&gt;CH$19    ),   AND($C29&lt;&gt;10000000,  CH$19&gt;=$DX29,    CH$19&lt;=($DY29+$DI$17)  ))   ,$DW29,  "")</f>
        <v>SoftRed</v>
      </c>
      <c r="CI29" s="106" t="str">
        <f aca="false">IF(    OR(   AND($C29=10000000,    $A$17&lt;=CI$19,      ($A$17+$DI$17)&gt;CI$19    ),   AND($C29&lt;&gt;10000000,  CI$19&gt;=$DX29,    CI$19&lt;=($DY29+$DI$17)  ))   ,$DW29,  "")</f>
        <v>SoftRed</v>
      </c>
      <c r="CJ29" s="106" t="str">
        <f aca="false">IF(    OR(   AND($C29=10000000,    $A$17&lt;=CJ$19,      ($A$17+$DI$17)&gt;CJ$19    ),   AND($C29&lt;&gt;10000000,  CJ$19&gt;=$DX29,    CJ$19&lt;=($DY29+$DI$17)  ))   ,$DW29,  "")</f>
        <v>SoftRed</v>
      </c>
      <c r="CK29" s="106" t="str">
        <f aca="false">IF(    OR(   AND($C29=10000000,    $A$17&lt;=CK$19,      ($A$17+$DI$17)&gt;CK$19    ),   AND($C29&lt;&gt;10000000,  CK$19&gt;=$DX29,    CK$19&lt;=($DY29+$DI$17)  ))   ,$DW29,  "")</f>
        <v/>
      </c>
      <c r="CL29" s="106" t="str">
        <f aca="false">IF(    OR(   AND($C29=10000000,    $A$17&lt;=CL$19,      ($A$17+$DI$17)&gt;CL$19    ),   AND($C29&lt;&gt;10000000,  CL$19&gt;=$DX29,    CL$19&lt;=($DY29+$DI$17)  ))   ,$DW29,  "")</f>
        <v/>
      </c>
      <c r="CM29" s="106" t="str">
        <f aca="false">IF(    OR(   AND($C29=10000000,    $A$17&lt;=CM$19,      ($A$17+$DI$17)&gt;CM$19    ),   AND($C29&lt;&gt;10000000,  CM$19&gt;=$DX29,    CM$19&lt;=($DY29+$DI$17)  ))   ,$DW29,  "")</f>
        <v/>
      </c>
      <c r="CN29" s="106" t="str">
        <f aca="false">IF(    OR(   AND($C29=10000000,    $A$17&lt;=CN$19,      ($A$17+$DI$17)&gt;CN$19    ),   AND($C29&lt;&gt;10000000,  CN$19&gt;=$DX29,    CN$19&lt;=($DY29+$DI$17)  ))   ,$DW29,  "")</f>
        <v/>
      </c>
      <c r="CO29" s="106" t="str">
        <f aca="false">IF(    OR(   AND($C29=10000000,    $A$17&lt;=CO$19,      ($A$17+$DI$17)&gt;CO$19    ),   AND($C29&lt;&gt;10000000,  CO$19&gt;=$DX29,    CO$19&lt;=($DY29+$DI$17)  ))   ,$DW29,  "")</f>
        <v/>
      </c>
      <c r="CP29" s="106" t="str">
        <f aca="false">IF(    OR(   AND($C29=10000000,    $A$17&lt;=CP$19,      ($A$17+$DI$17)&gt;CP$19    ),   AND($C29&lt;&gt;10000000,  CP$19&gt;=$DX29,    CP$19&lt;=($DY29+$DI$17)  ))   ,$DW29,  "")</f>
        <v/>
      </c>
      <c r="CQ29" s="106" t="str">
        <f aca="false">IF(    OR(   AND($C29=10000000,    $A$17&lt;=CQ$19,      ($A$17+$DI$17)&gt;CQ$19    ),   AND($C29&lt;&gt;10000000,  CQ$19&gt;=$DX29,    CQ$19&lt;=($DY29+$DI$17)  ))   ,$DW29,  "")</f>
        <v/>
      </c>
      <c r="CR29" s="106" t="str">
        <f aca="false">IF(    OR(   AND($C29=10000000,    $A$17&lt;=CR$19,      ($A$17+$DI$17)&gt;CR$19    ),   AND($C29&lt;&gt;10000000,  CR$19&gt;=$DX29,    CR$19&lt;=($DY29+$DI$17)  ))   ,$DW29,  "")</f>
        <v/>
      </c>
      <c r="CS29" s="106" t="str">
        <f aca="false">IF(    OR(   AND($C29=10000000,    $A$17&lt;=CS$19,      ($A$17+$DI$17)&gt;CS$19    ),   AND($C29&lt;&gt;10000000,  CS$19&gt;=$DX29,    CS$19&lt;=($DY29+$DI$17)  ))   ,$DW29,  "")</f>
        <v/>
      </c>
      <c r="CT29" s="106" t="str">
        <f aca="false">IF(    OR(   AND($C29=10000000,    $A$17&lt;=CT$19,      ($A$17+$DI$17)&gt;CT$19    ),   AND($C29&lt;&gt;10000000,  CT$19&gt;=$DX29,    CT$19&lt;=($DY29+$DI$17)  ))   ,$DW29,  "")</f>
        <v/>
      </c>
      <c r="CU29" s="106" t="str">
        <f aca="false">IF(    OR(   AND($C29=10000000,    $A$17&lt;=CU$19,      ($A$17+$DI$17)&gt;CU$19    ),   AND($C29&lt;&gt;10000000,  CU$19&gt;=$DX29,    CU$19&lt;=($DY29+$DI$17)  ))   ,$DW29,  "")</f>
        <v/>
      </c>
      <c r="CV29" s="106" t="str">
        <f aca="false">IF(    OR(   AND($C29=10000000,    $A$17&lt;=CV$19,      ($A$17+$DI$17)&gt;CV$19    ),   AND($C29&lt;&gt;10000000,  CV$19&gt;=$DX29,    CV$19&lt;=($DY29+$DI$17)  ))   ,$DW29,  "")</f>
        <v/>
      </c>
      <c r="CW29" s="106" t="str">
        <f aca="false">IF(    OR(   AND($C29=10000000,    $A$17&lt;=CW$19,      ($A$17+$DI$17)&gt;CW$19    ),   AND($C29&lt;&gt;10000000,  CW$19&gt;=$DX29,    CW$19&lt;=($DY29+$DI$17)  ))   ,$DW29,  "")</f>
        <v/>
      </c>
      <c r="CX29" s="106" t="str">
        <f aca="false">IF(    OR(   AND($C29=10000000,    $A$17&lt;=CX$19,      ($A$17+$DI$17)&gt;CX$19    ),   AND($C29&lt;&gt;10000000,  CX$19&gt;=$DX29,    CX$19&lt;=($DY29+$DI$17)  ))   ,$DW29,  "")</f>
        <v/>
      </c>
      <c r="CY29" s="106" t="str">
        <f aca="false">IF(    OR(   AND($C29=10000000,    $A$17&lt;=CY$19,      ($A$17+$DI$17)&gt;CY$19    ),   AND($C29&lt;&gt;10000000,  CY$19&gt;=$DX29,    CY$19&lt;=($DY29+$DI$17)  ))   ,$DW29,  "")</f>
        <v/>
      </c>
      <c r="CZ29" s="106" t="str">
        <f aca="false">IF(    OR(   AND($C29=10000000,    $A$17&lt;=CZ$19,      ($A$17+$DI$17)&gt;CZ$19    ),   AND($C29&lt;&gt;10000000,  CZ$19&gt;=$DX29,    CZ$19&lt;=($DY29+$DI$17)  ))   ,$DW29,  "")</f>
        <v/>
      </c>
      <c r="DA29" s="106" t="str">
        <f aca="false">IF(    OR(   AND($C29=10000000,    $A$17&lt;=DA$19,      ($A$17+$DI$17)&gt;DA$19    ),   AND($C29&lt;&gt;10000000,  DA$19&gt;=$DX29,    DA$19&lt;=($DY29+$DI$17)  ))   ,$DW29,  "")</f>
        <v/>
      </c>
      <c r="DB29" s="106" t="str">
        <f aca="false">IF(    OR(   AND($C29=10000000,    $A$17&lt;=DB$19,      ($A$17+$DI$17)&gt;DB$19    ),   AND($C29&lt;&gt;10000000,  DB$19&gt;=$DX29,    DB$19&lt;=($DY29+$DI$17)  ))   ,$DW29,  "")</f>
        <v/>
      </c>
      <c r="DC29" s="106" t="str">
        <f aca="false">IF(    OR(   AND($C29=10000000,    $A$17&lt;=DC$19,      ($A$17+$DI$17)&gt;DC$19    ),   AND($C29&lt;&gt;10000000,  DC$19&gt;=$DX29,    DC$19&lt;=($DY29+$DI$17)  ))   ,$DW29,  "")</f>
        <v/>
      </c>
      <c r="DD29" s="106" t="str">
        <f aca="false">IF(    OR(   AND($C29=10000000,    $A$17&lt;=DD$19,      ($A$17+$DI$17)&gt;DD$19    ),   AND($C29&lt;&gt;10000000,  DD$19&gt;=$DX29,    DD$19&lt;=($DY29+$DI$17)  ))   ,$DW29,  "")</f>
        <v/>
      </c>
      <c r="DE29" s="106" t="str">
        <f aca="false">IF(    OR(   AND($C29=10000000,    $A$17&lt;=DE$19,      ($A$17+$DI$17)&gt;DE$19    ),   AND($C29&lt;&gt;10000000,  DE$19&gt;=$DX29,    DE$19&lt;=($DY29+$DI$17)  ))   ,$DW29,  "")</f>
        <v/>
      </c>
      <c r="DF29" s="106" t="str">
        <f aca="false">IF(    OR(   AND($C29=10000000,    $A$17&lt;=DF$19,      ($A$17+$DI$17)&gt;DF$19    ),   AND($C29&lt;&gt;10000000,  DF$19&gt;=$DX29,    DF$19&lt;=($DY29+$DI$17)  ))   ,$DW29,  "")</f>
        <v/>
      </c>
      <c r="DG29" s="106" t="str">
        <f aca="false">IF(    OR(   AND($C29=10000000,    $A$17&lt;=DG$19,      ($A$17+$DI$17)&gt;DG$19    ),   AND($C29&lt;&gt;10000000,  DG$19&gt;=$DX29,    DG$19&lt;=($DY29+$DI$17)  ))   ,$DW29,  "")</f>
        <v/>
      </c>
      <c r="DH29" s="106" t="str">
        <f aca="false">IF(    OR(   AND($C29=10000000,    $A$17&lt;=DH$19,      ($A$17+$DI$17)&gt;DH$19    ),   AND($C29&lt;&gt;10000000,  DH$19&gt;=$DX29,    DH$19&lt;=($DY29+$DI$17)  ))   ,$DW29,  "")</f>
        <v/>
      </c>
      <c r="DI29" s="106" t="str">
        <f aca="false">IF(    OR(   AND($C29=10000000,    $A$17&lt;=DI$19,      ($A$17+$DI$17)&gt;DI$19    ),   AND($C29&lt;&gt;10000000,  DI$19&gt;=$DX29,    DI$19&lt;=($DY29+$DI$17)  ))   ,$DW29,  "")</f>
        <v/>
      </c>
      <c r="DJ29" s="74" t="str">
        <f aca="false">IF(BC29="","",IF(ISERROR(FIND(CHAR(10),BC29,1)),BC29,LEFT(BC29,FIND(CHAR(10),BC29,1))))</f>
        <v>01-01-22: init</v>
      </c>
      <c r="DK29" s="61" t="str">
        <f aca="false">IF(BC29="","",IFERROR(RIGHT(BC29,LEN(BC29)-FIND("@@@",SUBSTITUTE(BC29,CHAR(10),"@@@",LEN(BC29)-LEN(SUBSTITUTE(BC29,CHAR(10),""))),1)),BC29))</f>
        <v>01-01-22: init</v>
      </c>
      <c r="DL29" s="61" t="str">
        <f aca="false">IF(BD29="","",IFERROR(RIGHT(BD29,LEN(BD29)-FIND("@@@",SUBSTITUTE(BD29,CHAR(10),"@@@",LEN(BD29)-LEN(SUBSTITUTE(BD29,CHAR(10),""))),1)),BD29))</f>
        <v/>
      </c>
      <c r="DM29" s="107" t="n">
        <f aca="false">IFERROR(DATE(("20"&amp;MID(DJ29,7,2))*1,MID(DJ29,4,2)*1,MID(DJ29,1,2)*1),"none")</f>
        <v>44562</v>
      </c>
      <c r="DN29" s="107" t="n">
        <f aca="false">IFERROR(DATE(("20"&amp;MID(DK29,7,2))*1,MID(DK29,4,2)*1,MID(DK29,1,2)*1),"none")</f>
        <v>44562</v>
      </c>
      <c r="DO29" s="107" t="n">
        <f aca="false">IF(DM29&lt;&gt;"none",DM29,DATE(1900,1,1))</f>
        <v>44562</v>
      </c>
      <c r="DP29" s="107" t="n">
        <f aca="false">IF(DN29&lt;&gt;"none",DN29,DO29)</f>
        <v>44562</v>
      </c>
      <c r="DQ29" s="108" t="n">
        <f aca="false">_xlfn.DAYS($A$17,DO29)</f>
        <v>1759</v>
      </c>
      <c r="DR29" s="108" t="n">
        <f aca="false">_xlfn.DAYS($A$17, DP29)</f>
        <v>1759</v>
      </c>
      <c r="DS29" s="60" t="n">
        <f aca="false">IF(DP29&lt;&gt;"",INT(DR29/7),0)</f>
        <v>251</v>
      </c>
      <c r="DT29" s="108" t="n">
        <f aca="false">IF(N29="Overdue",_xlfn.DAYS($A$17,AM29),0)</f>
        <v>299</v>
      </c>
      <c r="DU29" s="108" t="n">
        <f aca="false">IF(AI29="Project",_xlfn.DAYS(AM29,$A$17),0)</f>
        <v>0</v>
      </c>
      <c r="DV29" s="60" t="str">
        <f aca="false">IFERROR(INDEX(Static!$D$5:$E$13,MATCH(AI29,Static!$D$5:$D$13,0),2),"")</f>
        <v>Chg</v>
      </c>
      <c r="DW29" s="60" t="str">
        <f aca="false">IF(C29=10000000,"Red",IF(OR(C29=11000000,C29=12000000),"Black",IF(C29=11100000,"Dark",IF(AND(C29=12100000,N29="Completed"),"Green",IF(AND(C29=12100000,N29="Overdue"),"Red",IF(C29=12100000,"Dark",IF(AND(C29=12110000,N29="Overdue"),"LightRed",IF(AND(C29=12110000,N29="Completed"),"LightGreen",IF(OR(C29=11110000,C29=12110000),"Light",IF(AND(C29=12111000,N29="Overdue"),"SoftRed",IF(AND(C29=12111000,N29="Completed"),"SoftGreen",IF(OR(C29=11111000,C29=12111000),"Grey",""))))))))))))</f>
        <v>SoftRed</v>
      </c>
      <c r="DX29" s="58" t="n">
        <f aca="false">IF(AL29&lt;&gt;"",AL29,$BJ$19)</f>
        <v>45658</v>
      </c>
      <c r="DY29" s="58" t="n">
        <f aca="false">IF(AM29&lt;&gt;"",AM29,$DI$19)</f>
        <v>46022</v>
      </c>
      <c r="DZ29" s="62" t="s">
        <v>364</v>
      </c>
    </row>
    <row r="30" customFormat="false" ht="14.15" hidden="false" customHeight="true" outlineLevel="0" collapsed="false">
      <c r="A30" s="54"/>
      <c r="B30" s="61" t="n">
        <f aca="false">AI30</f>
        <v>0</v>
      </c>
      <c r="C30" s="60" t="n">
        <f aca="false">IFERROR(INDEX(Static!$D$5:$F$13,MATCH(AI30,Static!$D$5:$D$13,0),3),90000000)</f>
        <v>90000000</v>
      </c>
      <c r="D30" s="60" t="str">
        <f aca="false">MID(C30,2,1)</f>
        <v>0</v>
      </c>
      <c r="E30" s="61" t="str">
        <f aca="false">AC30</f>
        <v/>
      </c>
      <c r="F30" s="60" t="n">
        <f aca="false">IF(B30="Venture",0,IF(OR(B30="Project",B30="Stream",B30="Action"),AL30,0))</f>
        <v>0</v>
      </c>
      <c r="G30" s="60" t="n">
        <f aca="false">AT30</f>
        <v>0</v>
      </c>
      <c r="H30" s="60" t="n">
        <f aca="false">IF(B30="Venture",0,IFERROR(INDEX($E$20:$F$55,MATCH(G30,$E$20:$E$55,0),2),0))</f>
        <v>0</v>
      </c>
      <c r="I30" s="60" t="str">
        <f aca="false">IF(B30="Venture",0,IFERROR(INDEX($E$20:$G$55,MATCH(G30,$E$20:$E$55,0),3),""))</f>
        <v/>
      </c>
      <c r="J30" s="60" t="n">
        <f aca="false">IF(B30="Venture",0,IFERROR(INDEX($E$20:$H$55,MATCH(G30,$E$20:$E$55,0),4),0))</f>
        <v>0</v>
      </c>
      <c r="K30" s="60" t="n">
        <f aca="false">IF(B30="Venture",0,IFERROR(INDEX($E$20:$G$55,MATCH(I30,$E$20:$E$55,0),3),""))</f>
        <v>0</v>
      </c>
      <c r="L30" s="60" t="n">
        <f aca="false">IF(C30="Venture",0,IFERROR(INDEX($E$20:$G$55,MATCH(J30,$E$20:$E$55,0),4),0))</f>
        <v>0</v>
      </c>
      <c r="M30" s="60" t="str">
        <f aca="false">IF(N30="Completed","Completed","Ongoing")</f>
        <v>Ongoing</v>
      </c>
      <c r="N30" s="60" t="n">
        <f aca="false">IF(OR(AI30="Venture",AI30="Routine",AI30="Run Goal", AI30="Chg Goal", AI30=""),AI30,IF(AO30&lt;&gt;"","Completed",IF(AN30&lt;&gt;"","Pending",IF(AND(AM30&lt;&gt;"",$A$17&gt;AM30),"Overdue",IF($A$17&gt;AL30,"Started","Open")))))</f>
        <v>0</v>
      </c>
      <c r="O30" s="59" t="n">
        <f aca="false">((LEN($BD30)-LEN(SUBSTITUTE($BD30,CHAR(10)&amp;". ","")))/3)+IF(LEFT(TRIM($BD30),2)=". ",1,0)</f>
        <v>0</v>
      </c>
      <c r="P30" s="59" t="n">
        <f aca="false">((LEN($BD30)-LEN(SUBSTITUTE($BD30,CHAR(10)&amp;"/ ","")))/3)+IF(LEFT(TRIM($BD30),2)="/ ",1,0)</f>
        <v>0</v>
      </c>
      <c r="Q30" s="59" t="n">
        <f aca="false">((LEN($BD30)-LEN(SUBSTITUTE($BD30,CHAR(10)&amp;"~ ","")))/3)+IF(LEFT(TRIM($BD30),2)="~ ",1,0)</f>
        <v>0</v>
      </c>
      <c r="R30" s="59" t="n">
        <f aca="false">((LEN($BD30)-LEN(SUBSTITUTE($BD30,CHAR(10)&amp;"! ","")))/3)+IF(LEFT(TRIM($BD30),2)="! ",1,0)</f>
        <v>0</v>
      </c>
      <c r="S30" s="59" t="n">
        <f aca="false">((LEN($BD30)-LEN(SUBSTITUTE($BD30,CHAR(10)&amp;"x ","")))/3)+IF(LEFT(TRIM($BD30),2)="x ",1,0)</f>
        <v>0</v>
      </c>
      <c r="T30" s="59" t="n">
        <f aca="false">SUM(O30:S30)</f>
        <v>0</v>
      </c>
      <c r="U30" s="60" t="n">
        <f aca="false">IF(OR($B30="Drill",$B30="Action"),$AP30,0)</f>
        <v>0</v>
      </c>
      <c r="V30" s="60" t="n">
        <f aca="false">IF(OR($B30="Sub",$B30="Stream"),$AP30+SUMIFS($AP$20:$AP$55,$G$20:$G$55,$E30),0)</f>
        <v>0</v>
      </c>
      <c r="W30" s="60" t="n">
        <f aca="false">IF(OR($B30="Routine",$B30="Project"),$AP30+SUMIFS($V$20:$V$55,$G$20:$G$55,$E30),0)</f>
        <v>0</v>
      </c>
      <c r="X30" s="60" t="n">
        <f aca="false">IF($B30="Venture",$AP30+SUMIFS($W$20:$W$55,$G$20:$G$55,$E30),0)</f>
        <v>0</v>
      </c>
      <c r="Y30" s="60" t="n">
        <f aca="false">IF(OR($B30="Drill",$B30="Action"),$AQ30,0)</f>
        <v>0</v>
      </c>
      <c r="Z30" s="60" t="n">
        <f aca="false">IF(OR($B30="Sub",$B30="Stream"),$AQ30+SUMIFS($AQ$20:$AQ$55,$G$20:$G$55,$E30),0)</f>
        <v>0</v>
      </c>
      <c r="AA30" s="60" t="n">
        <f aca="false">IF(OR($B30="Routine",$B30="Project"),$AQ30+SUMIFS($Z$20:$Z$55,$G$20:$G$55,$E30),0)</f>
        <v>0</v>
      </c>
      <c r="AB30" s="60" t="n">
        <f aca="false">IF($B30="Venture",$AQ30+SUMIFS($AA$20:$AA$55,$G$20:$G$55,$E30),0)</f>
        <v>0</v>
      </c>
      <c r="AC30" s="60" t="str">
        <f aca="false">IF(AI30="Venture",AJ30,AI30&amp;AJ30)</f>
        <v/>
      </c>
      <c r="AD30" s="61" t="str">
        <f aca="false">"  -  "&amp;IF(E30="","ZZZ",D30&amp;AF30&amp;IF(OR(B30="Run Goal",B30="Chg Goal", B30="Venture"),F30&amp;E30,IF(OR(B30="Routine",B30="Project"),H30&amp;G30&amp;F30&amp;E30,  IF(OR(B30="Sub",B30="Stream"),J30&amp;I30&amp;H30&amp;G30&amp;F30&amp;E30,IF(OR(B30="Drill",B30="Action"),L30&amp;K30&amp;J30&amp;I30&amp;H30&amp;G30&amp;F30&amp;E30,     "") )    )))</f>
        <v>  -  ZZZ</v>
      </c>
      <c r="AE30" s="60" t="str">
        <f aca="false">IF(AND(AN30="",AO30=""),"Y","N")</f>
        <v>Y</v>
      </c>
      <c r="AF30" s="99" t="str">
        <f aca="false">IF(OR(AG30="Y",AG30="Y"),AG30,IF(DN30="none","N",IF(DN30&gt;($A$17-WEEKDAY($A$17,2)-(7*$AF$18)),"Y","N")))</f>
        <v>N</v>
      </c>
      <c r="AG30" s="100"/>
      <c r="AH30" s="101"/>
      <c r="AI30" s="62"/>
      <c r="AJ30" s="64"/>
      <c r="AK30" s="65"/>
      <c r="AL30" s="70"/>
      <c r="AM30" s="70"/>
      <c r="AN30" s="70"/>
      <c r="AO30" s="70"/>
      <c r="AP30" s="102"/>
      <c r="AQ30" s="102"/>
      <c r="AR30" s="62"/>
      <c r="AS30" s="62"/>
      <c r="AT30" s="62"/>
      <c r="AU30" s="62"/>
      <c r="AV30" s="62"/>
      <c r="AW30" s="62"/>
      <c r="AX30" s="62"/>
      <c r="AY30" s="62"/>
      <c r="AZ30" s="62"/>
      <c r="BA30" s="62"/>
      <c r="BB30" s="54"/>
      <c r="BC30" s="103"/>
      <c r="BD30" s="54"/>
      <c r="BE30" s="60" t="n">
        <f aca="false">SUM(O30:R30)</f>
        <v>0</v>
      </c>
      <c r="BF30" s="66" t="n">
        <f aca="false">IF(AJ30="",1,IF(T30&lt;&gt;0,(P30*0.5+S30)/T30,1))</f>
        <v>1</v>
      </c>
      <c r="BG30" s="69" t="str">
        <f aca="false">IF(AI30="","",IF(AI30="Venture",X30,IF(OR(AI30="Chg Goal",AI30="RUn Goal"),W30,IF(OR(AI30="ROutine",AI30="Project"),W30,IF(OR(AI30="Sub",AI30="Stream"),V30,IF(OR(AI30="Drill",AI30="Action"),U30,0))))))</f>
        <v/>
      </c>
      <c r="BH30" s="69" t="str">
        <f aca="false">IF(AI30="","",IF(AI30="Venture",AB30,IF(OR(AI30="Chg Goal",AI30="RUn Goal"),AA30,IF(OR(AI30="ROutine",AI30="Project"),AA30,IF(OR(AI30="Sub",AI30="Stream"),Z30,IF(OR(AI30="Drill",AI30="Action"),Y30,0))))))</f>
        <v/>
      </c>
      <c r="BI30" s="104" t="str">
        <f aca="false">IF(AJ30="","",IF(OR(BG30=0, BG30=""),0,BH30/BG30))</f>
        <v/>
      </c>
      <c r="BJ30" s="105" t="str">
        <f aca="false">IF(    OR(   AND($C30=10000000,    BJ$19&gt;=$A$17,      BJ$19 &lt;($A$17+$DI$17)   ),   AND($C30&lt;&gt;10000000,  BJ$19&gt;=$DX30,    BJ$19&lt;=($DY30+$DI$17)  ))   ,$DW30,  "")</f>
        <v/>
      </c>
      <c r="BK30" s="106" t="str">
        <f aca="false">IF(    OR(   AND($C30=10000000,    $A$17&lt;=BK$19,      ($A$17+$DI$17)&gt;BK$19    ),   AND($C30&lt;&gt;10000000,  BK$19&gt;=$DX30,    BK$19&lt;=($DY30+$DI$17)  ))   ,$DW30,  "")</f>
        <v/>
      </c>
      <c r="BL30" s="106" t="str">
        <f aca="false">IF(    OR(   AND($C30=10000000,    $A$17&lt;=BL$19,      ($A$17+$DI$17)&gt;BL$19    ),   AND($C30&lt;&gt;10000000,  BL$19&gt;=$DX30,    BL$19&lt;=($DY30+$DI$17)  ))   ,$DW30,  "")</f>
        <v/>
      </c>
      <c r="BM30" s="106" t="str">
        <f aca="false">IF(    OR(   AND($C30=10000000,    $A$17&lt;=BM$19,      ($A$17+$DI$17)&gt;BM$19    ),   AND($C30&lt;&gt;10000000,  BM$19&gt;=$DX30,    BM$19&lt;=($DY30+$DI$17)  ))   ,$DW30,  "")</f>
        <v/>
      </c>
      <c r="BN30" s="106" t="str">
        <f aca="false">IF(    OR(   AND($C30=10000000,    $A$17&lt;=BN$19,      ($A$17+$DI$17)&gt;BN$19    ),   AND($C30&lt;&gt;10000000,  BN$19&gt;=$DX30,    BN$19&lt;=($DY30+$DI$17)  ))   ,$DW30,  "")</f>
        <v/>
      </c>
      <c r="BO30" s="106" t="str">
        <f aca="false">IF(    OR(   AND($C30=10000000,    $A$17&lt;=BO$19,      ($A$17+$DI$17)&gt;BO$19    ),   AND($C30&lt;&gt;10000000,  BO$19&gt;=$DX30,    BO$19&lt;=($DY30+$DI$17)  ))   ,$DW30,  "")</f>
        <v/>
      </c>
      <c r="BP30" s="106" t="str">
        <f aca="false">IF(    OR(   AND($C30=10000000,    $A$17&lt;=BP$19,      ($A$17+$DI$17)&gt;BP$19    ),   AND($C30&lt;&gt;10000000,  BP$19&gt;=$DX30,    BP$19&lt;=($DY30+$DI$17)  ))   ,$DW30,  "")</f>
        <v/>
      </c>
      <c r="BQ30" s="106" t="str">
        <f aca="false">IF(    OR(   AND($C30=10000000,    $A$17&lt;=BQ$19,      ($A$17+$DI$17)&gt;BQ$19    ),   AND($C30&lt;&gt;10000000,  BQ$19&gt;=$DX30,    BQ$19&lt;=($DY30+$DI$17)  ))   ,$DW30,  "")</f>
        <v/>
      </c>
      <c r="BR30" s="106" t="str">
        <f aca="false">IF(    OR(   AND($C30=10000000,    $A$17&lt;=BR$19,      ($A$17+$DI$17)&gt;BR$19    ),   AND($C30&lt;&gt;10000000,  BR$19&gt;=$DX30,    BR$19&lt;=($DY30+$DI$17)  ))   ,$DW30,  "")</f>
        <v/>
      </c>
      <c r="BS30" s="106" t="str">
        <f aca="false">IF(    OR(   AND($C30=10000000,    $A$17&lt;=BS$19,      ($A$17+$DI$17)&gt;BS$19    ),   AND($C30&lt;&gt;10000000,  BS$19&gt;=$DX30,    BS$19&lt;=($DY30+$DI$17)  ))   ,$DW30,  "")</f>
        <v/>
      </c>
      <c r="BT30" s="106" t="str">
        <f aca="false">IF(    OR(   AND($C30=10000000,    $A$17&lt;=BT$19,      ($A$17+$DI$17)&gt;BT$19    ),   AND($C30&lt;&gt;10000000,  BT$19&gt;=$DX30,    BT$19&lt;=($DY30+$DI$17)  ))   ,$DW30,  "")</f>
        <v/>
      </c>
      <c r="BU30" s="106" t="str">
        <f aca="false">IF(    OR(   AND($C30=10000000,    $A$17&lt;=BU$19,      ($A$17+$DI$17)&gt;BU$19    ),   AND($C30&lt;&gt;10000000,  BU$19&gt;=$DX30,    BU$19&lt;=($DY30+$DI$17)  ))   ,$DW30,  "")</f>
        <v/>
      </c>
      <c r="BV30" s="106" t="str">
        <f aca="false">IF(    OR(   AND($C30=10000000,    $A$17&lt;=BV$19,      ($A$17+$DI$17)&gt;BV$19    ),   AND($C30&lt;&gt;10000000,  BV$19&gt;=$DX30,    BV$19&lt;=($DY30+$DI$17)  ))   ,$DW30,  "")</f>
        <v/>
      </c>
      <c r="BW30" s="106" t="str">
        <f aca="false">IF(    OR(   AND($C30=10000000,    $A$17&lt;=BW$19,      ($A$17+$DI$17)&gt;BW$19    ),   AND($C30&lt;&gt;10000000,  BW$19&gt;=$DX30,    BW$19&lt;=($DY30+$DI$17)  ))   ,$DW30,  "")</f>
        <v/>
      </c>
      <c r="BX30" s="106" t="str">
        <f aca="false">IF(    OR(   AND($C30=10000000,    $A$17&lt;=BX$19,      ($A$17+$DI$17)&gt;BX$19    ),   AND($C30&lt;&gt;10000000,  BX$19&gt;=$DX30,    BX$19&lt;=($DY30+$DI$17)  ))   ,$DW30,  "")</f>
        <v/>
      </c>
      <c r="BY30" s="106" t="str">
        <f aca="false">IF(    OR(   AND($C30=10000000,    $A$17&lt;=BY$19,      ($A$17+$DI$17)&gt;BY$19    ),   AND($C30&lt;&gt;10000000,  BY$19&gt;=$DX30,    BY$19&lt;=($DY30+$DI$17)  ))   ,$DW30,  "")</f>
        <v/>
      </c>
      <c r="BZ30" s="106" t="str">
        <f aca="false">IF(    OR(   AND($C30=10000000,    $A$17&lt;=BZ$19,      ($A$17+$DI$17)&gt;BZ$19    ),   AND($C30&lt;&gt;10000000,  BZ$19&gt;=$DX30,    BZ$19&lt;=($DY30+$DI$17)  ))   ,$DW30,  "")</f>
        <v/>
      </c>
      <c r="CA30" s="106" t="str">
        <f aca="false">IF(    OR(   AND($C30=10000000,    $A$17&lt;=CA$19,      ($A$17+$DI$17)&gt;CA$19    ),   AND($C30&lt;&gt;10000000,  CA$19&gt;=$DX30,    CA$19&lt;=($DY30+$DI$17)  ))   ,$DW30,  "")</f>
        <v/>
      </c>
      <c r="CB30" s="106" t="str">
        <f aca="false">IF(    OR(   AND($C30=10000000,    $A$17&lt;=CB$19,      ($A$17+$DI$17)&gt;CB$19    ),   AND($C30&lt;&gt;10000000,  CB$19&gt;=$DX30,    CB$19&lt;=($DY30+$DI$17)  ))   ,$DW30,  "")</f>
        <v/>
      </c>
      <c r="CC30" s="106" t="str">
        <f aca="false">IF(    OR(   AND($C30=10000000,    $A$17&lt;=CC$19,      ($A$17+$DI$17)&gt;CC$19    ),   AND($C30&lt;&gt;10000000,  CC$19&gt;=$DX30,    CC$19&lt;=($DY30+$DI$17)  ))   ,$DW30,  "")</f>
        <v/>
      </c>
      <c r="CD30" s="106" t="str">
        <f aca="false">IF(    OR(   AND($C30=10000000,    $A$17&lt;=CD$19,      ($A$17+$DI$17)&gt;CD$19    ),   AND($C30&lt;&gt;10000000,  CD$19&gt;=$DX30,    CD$19&lt;=($DY30+$DI$17)  ))   ,$DW30,  "")</f>
        <v/>
      </c>
      <c r="CE30" s="106" t="str">
        <f aca="false">IF(    OR(   AND($C30=10000000,    $A$17&lt;=CE$19,      ($A$17+$DI$17)&gt;CE$19    ),   AND($C30&lt;&gt;10000000,  CE$19&gt;=$DX30,    CE$19&lt;=($DY30+$DI$17)  ))   ,$DW30,  "")</f>
        <v/>
      </c>
      <c r="CF30" s="106" t="str">
        <f aca="false">IF(    OR(   AND($C30=10000000,    $A$17&lt;=CF$19,      ($A$17+$DI$17)&gt;CF$19    ),   AND($C30&lt;&gt;10000000,  CF$19&gt;=$DX30,    CF$19&lt;=($DY30+$DI$17)  ))   ,$DW30,  "")</f>
        <v/>
      </c>
      <c r="CG30" s="106" t="str">
        <f aca="false">IF(    OR(   AND($C30=10000000,    $A$17&lt;=CG$19,      ($A$17+$DI$17)&gt;CG$19    ),   AND($C30&lt;&gt;10000000,  CG$19&gt;=$DX30,    CG$19&lt;=($DY30+$DI$17)  ))   ,$DW30,  "")</f>
        <v/>
      </c>
      <c r="CH30" s="106" t="str">
        <f aca="false">IF(    OR(   AND($C30=10000000,    $A$17&lt;=CH$19,      ($A$17+$DI$17)&gt;CH$19    ),   AND($C30&lt;&gt;10000000,  CH$19&gt;=$DX30,    CH$19&lt;=($DY30+$DI$17)  ))   ,$DW30,  "")</f>
        <v/>
      </c>
      <c r="CI30" s="106" t="str">
        <f aca="false">IF(    OR(   AND($C30=10000000,    $A$17&lt;=CI$19,      ($A$17+$DI$17)&gt;CI$19    ),   AND($C30&lt;&gt;10000000,  CI$19&gt;=$DX30,    CI$19&lt;=($DY30+$DI$17)  ))   ,$DW30,  "")</f>
        <v/>
      </c>
      <c r="CJ30" s="106" t="str">
        <f aca="false">IF(    OR(   AND($C30=10000000,    $A$17&lt;=CJ$19,      ($A$17+$DI$17)&gt;CJ$19    ),   AND($C30&lt;&gt;10000000,  CJ$19&gt;=$DX30,    CJ$19&lt;=($DY30+$DI$17)  ))   ,$DW30,  "")</f>
        <v/>
      </c>
      <c r="CK30" s="106" t="str">
        <f aca="false">IF(    OR(   AND($C30=10000000,    $A$17&lt;=CK$19,      ($A$17+$DI$17)&gt;CK$19    ),   AND($C30&lt;&gt;10000000,  CK$19&gt;=$DX30,    CK$19&lt;=($DY30+$DI$17)  ))   ,$DW30,  "")</f>
        <v/>
      </c>
      <c r="CL30" s="106" t="str">
        <f aca="false">IF(    OR(   AND($C30=10000000,    $A$17&lt;=CL$19,      ($A$17+$DI$17)&gt;CL$19    ),   AND($C30&lt;&gt;10000000,  CL$19&gt;=$DX30,    CL$19&lt;=($DY30+$DI$17)  ))   ,$DW30,  "")</f>
        <v/>
      </c>
      <c r="CM30" s="106" t="str">
        <f aca="false">IF(    OR(   AND($C30=10000000,    $A$17&lt;=CM$19,      ($A$17+$DI$17)&gt;CM$19    ),   AND($C30&lt;&gt;10000000,  CM$19&gt;=$DX30,    CM$19&lt;=($DY30+$DI$17)  ))   ,$DW30,  "")</f>
        <v/>
      </c>
      <c r="CN30" s="106" t="str">
        <f aca="false">IF(    OR(   AND($C30=10000000,    $A$17&lt;=CN$19,      ($A$17+$DI$17)&gt;CN$19    ),   AND($C30&lt;&gt;10000000,  CN$19&gt;=$DX30,    CN$19&lt;=($DY30+$DI$17)  ))   ,$DW30,  "")</f>
        <v/>
      </c>
      <c r="CO30" s="106" t="str">
        <f aca="false">IF(    OR(   AND($C30=10000000,    $A$17&lt;=CO$19,      ($A$17+$DI$17)&gt;CO$19    ),   AND($C30&lt;&gt;10000000,  CO$19&gt;=$DX30,    CO$19&lt;=($DY30+$DI$17)  ))   ,$DW30,  "")</f>
        <v/>
      </c>
      <c r="CP30" s="106" t="str">
        <f aca="false">IF(    OR(   AND($C30=10000000,    $A$17&lt;=CP$19,      ($A$17+$DI$17)&gt;CP$19    ),   AND($C30&lt;&gt;10000000,  CP$19&gt;=$DX30,    CP$19&lt;=($DY30+$DI$17)  ))   ,$DW30,  "")</f>
        <v/>
      </c>
      <c r="CQ30" s="106" t="str">
        <f aca="false">IF(    OR(   AND($C30=10000000,    $A$17&lt;=CQ$19,      ($A$17+$DI$17)&gt;CQ$19    ),   AND($C30&lt;&gt;10000000,  CQ$19&gt;=$DX30,    CQ$19&lt;=($DY30+$DI$17)  ))   ,$DW30,  "")</f>
        <v/>
      </c>
      <c r="CR30" s="106" t="str">
        <f aca="false">IF(    OR(   AND($C30=10000000,    $A$17&lt;=CR$19,      ($A$17+$DI$17)&gt;CR$19    ),   AND($C30&lt;&gt;10000000,  CR$19&gt;=$DX30,    CR$19&lt;=($DY30+$DI$17)  ))   ,$DW30,  "")</f>
        <v/>
      </c>
      <c r="CS30" s="106" t="str">
        <f aca="false">IF(    OR(   AND($C30=10000000,    $A$17&lt;=CS$19,      ($A$17+$DI$17)&gt;CS$19    ),   AND($C30&lt;&gt;10000000,  CS$19&gt;=$DX30,    CS$19&lt;=($DY30+$DI$17)  ))   ,$DW30,  "")</f>
        <v/>
      </c>
      <c r="CT30" s="106" t="str">
        <f aca="false">IF(    OR(   AND($C30=10000000,    $A$17&lt;=CT$19,      ($A$17+$DI$17)&gt;CT$19    ),   AND($C30&lt;&gt;10000000,  CT$19&gt;=$DX30,    CT$19&lt;=($DY30+$DI$17)  ))   ,$DW30,  "")</f>
        <v/>
      </c>
      <c r="CU30" s="106" t="str">
        <f aca="false">IF(    OR(   AND($C30=10000000,    $A$17&lt;=CU$19,      ($A$17+$DI$17)&gt;CU$19    ),   AND($C30&lt;&gt;10000000,  CU$19&gt;=$DX30,    CU$19&lt;=($DY30+$DI$17)  ))   ,$DW30,  "")</f>
        <v/>
      </c>
      <c r="CV30" s="106" t="str">
        <f aca="false">IF(    OR(   AND($C30=10000000,    $A$17&lt;=CV$19,      ($A$17+$DI$17)&gt;CV$19    ),   AND($C30&lt;&gt;10000000,  CV$19&gt;=$DX30,    CV$19&lt;=($DY30+$DI$17)  ))   ,$DW30,  "")</f>
        <v/>
      </c>
      <c r="CW30" s="106" t="str">
        <f aca="false">IF(    OR(   AND($C30=10000000,    $A$17&lt;=CW$19,      ($A$17+$DI$17)&gt;CW$19    ),   AND($C30&lt;&gt;10000000,  CW$19&gt;=$DX30,    CW$19&lt;=($DY30+$DI$17)  ))   ,$DW30,  "")</f>
        <v/>
      </c>
      <c r="CX30" s="106" t="str">
        <f aca="false">IF(    OR(   AND($C30=10000000,    $A$17&lt;=CX$19,      ($A$17+$DI$17)&gt;CX$19    ),   AND($C30&lt;&gt;10000000,  CX$19&gt;=$DX30,    CX$19&lt;=($DY30+$DI$17)  ))   ,$DW30,  "")</f>
        <v/>
      </c>
      <c r="CY30" s="106" t="str">
        <f aca="false">IF(    OR(   AND($C30=10000000,    $A$17&lt;=CY$19,      ($A$17+$DI$17)&gt;CY$19    ),   AND($C30&lt;&gt;10000000,  CY$19&gt;=$DX30,    CY$19&lt;=($DY30+$DI$17)  ))   ,$DW30,  "")</f>
        <v/>
      </c>
      <c r="CZ30" s="106" t="str">
        <f aca="false">IF(    OR(   AND($C30=10000000,    $A$17&lt;=CZ$19,      ($A$17+$DI$17)&gt;CZ$19    ),   AND($C30&lt;&gt;10000000,  CZ$19&gt;=$DX30,    CZ$19&lt;=($DY30+$DI$17)  ))   ,$DW30,  "")</f>
        <v/>
      </c>
      <c r="DA30" s="106" t="str">
        <f aca="false">IF(    OR(   AND($C30=10000000,    $A$17&lt;=DA$19,      ($A$17+$DI$17)&gt;DA$19    ),   AND($C30&lt;&gt;10000000,  DA$19&gt;=$DX30,    DA$19&lt;=($DY30+$DI$17)  ))   ,$DW30,  "")</f>
        <v/>
      </c>
      <c r="DB30" s="106" t="str">
        <f aca="false">IF(    OR(   AND($C30=10000000,    $A$17&lt;=DB$19,      ($A$17+$DI$17)&gt;DB$19    ),   AND($C30&lt;&gt;10000000,  DB$19&gt;=$DX30,    DB$19&lt;=($DY30+$DI$17)  ))   ,$DW30,  "")</f>
        <v/>
      </c>
      <c r="DC30" s="106" t="str">
        <f aca="false">IF(    OR(   AND($C30=10000000,    $A$17&lt;=DC$19,      ($A$17+$DI$17)&gt;DC$19    ),   AND($C30&lt;&gt;10000000,  DC$19&gt;=$DX30,    DC$19&lt;=($DY30+$DI$17)  ))   ,$DW30,  "")</f>
        <v/>
      </c>
      <c r="DD30" s="106" t="str">
        <f aca="false">IF(    OR(   AND($C30=10000000,    $A$17&lt;=DD$19,      ($A$17+$DI$17)&gt;DD$19    ),   AND($C30&lt;&gt;10000000,  DD$19&gt;=$DX30,    DD$19&lt;=($DY30+$DI$17)  ))   ,$DW30,  "")</f>
        <v/>
      </c>
      <c r="DE30" s="106" t="str">
        <f aca="false">IF(    OR(   AND($C30=10000000,    $A$17&lt;=DE$19,      ($A$17+$DI$17)&gt;DE$19    ),   AND($C30&lt;&gt;10000000,  DE$19&gt;=$DX30,    DE$19&lt;=($DY30+$DI$17)  ))   ,$DW30,  "")</f>
        <v/>
      </c>
      <c r="DF30" s="106" t="str">
        <f aca="false">IF(    OR(   AND($C30=10000000,    $A$17&lt;=DF$19,      ($A$17+$DI$17)&gt;DF$19    ),   AND($C30&lt;&gt;10000000,  DF$19&gt;=$DX30,    DF$19&lt;=($DY30+$DI$17)  ))   ,$DW30,  "")</f>
        <v/>
      </c>
      <c r="DG30" s="106" t="str">
        <f aca="false">IF(    OR(   AND($C30=10000000,    $A$17&lt;=DG$19,      ($A$17+$DI$17)&gt;DG$19    ),   AND($C30&lt;&gt;10000000,  DG$19&gt;=$DX30,    DG$19&lt;=($DY30+$DI$17)  ))   ,$DW30,  "")</f>
        <v/>
      </c>
      <c r="DH30" s="106" t="str">
        <f aca="false">IF(    OR(   AND($C30=10000000,    $A$17&lt;=DH$19,      ($A$17+$DI$17)&gt;DH$19    ),   AND($C30&lt;&gt;10000000,  DH$19&gt;=$DX30,    DH$19&lt;=($DY30+$DI$17)  ))   ,$DW30,  "")</f>
        <v/>
      </c>
      <c r="DI30" s="106" t="str">
        <f aca="false">IF(    OR(   AND($C30=10000000,    $A$17&lt;=DI$19,      ($A$17+$DI$17)&gt;DI$19    ),   AND($C30&lt;&gt;10000000,  DI$19&gt;=$DX30,    DI$19&lt;=($DY30+$DI$17)  ))   ,$DW30,  "")</f>
        <v/>
      </c>
      <c r="DJ30" s="74" t="str">
        <f aca="false">IF(BC30="","",IF(ISERROR(FIND(CHAR(10),BC30,1)),BC30,LEFT(BC30,FIND(CHAR(10),BC30,1))))</f>
        <v/>
      </c>
      <c r="DK30" s="61" t="str">
        <f aca="false">IF(BC30="","",IFERROR(RIGHT(BC30,LEN(BC30)-FIND("@@@",SUBSTITUTE(BC30,CHAR(10),"@@@",LEN(BC30)-LEN(SUBSTITUTE(BC30,CHAR(10),""))),1)),BC30))</f>
        <v/>
      </c>
      <c r="DL30" s="61" t="str">
        <f aca="false">IF(BD30="","",IFERROR(RIGHT(BD30,LEN(BD30)-FIND("@@@",SUBSTITUTE(BD30,CHAR(10),"@@@",LEN(BD30)-LEN(SUBSTITUTE(BD30,CHAR(10),""))),1)),BD30))</f>
        <v/>
      </c>
      <c r="DM30" s="107" t="str">
        <f aca="false">IFERROR(DATE(("20"&amp;MID(DJ30,7,2))*1,MID(DJ30,4,2)*1,MID(DJ30,1,2)*1),"none")</f>
        <v>none</v>
      </c>
      <c r="DN30" s="107" t="str">
        <f aca="false">IFERROR(DATE(("20"&amp;MID(DK30,7,2))*1,MID(DK30,4,2)*1,MID(DK30,1,2)*1),"none")</f>
        <v>none</v>
      </c>
      <c r="DO30" s="107" t="n">
        <f aca="false">IF(DM30&lt;&gt;"none",DM30,DATE(1900,1,1))</f>
        <v>2</v>
      </c>
      <c r="DP30" s="107" t="n">
        <f aca="false">IF(DN30&lt;&gt;"none",DN30,DO30)</f>
        <v>2</v>
      </c>
      <c r="DQ30" s="108" t="n">
        <f aca="false">_xlfn.DAYS($A$17,DO30)</f>
        <v>46319</v>
      </c>
      <c r="DR30" s="108" t="n">
        <f aca="false">_xlfn.DAYS($A$17, DP30)</f>
        <v>46319</v>
      </c>
      <c r="DS30" s="60" t="n">
        <f aca="false">IF(DP30&lt;&gt;"",INT(DR30/7),0)</f>
        <v>6617</v>
      </c>
      <c r="DT30" s="108" t="n">
        <f aca="false">IF(N30="Overdue",_xlfn.DAYS($A$17,AM30),0)</f>
        <v>0</v>
      </c>
      <c r="DU30" s="108" t="n">
        <f aca="false">IF(AI30="Project",_xlfn.DAYS(AM30,$A$17),0)</f>
        <v>0</v>
      </c>
      <c r="DV30" s="60" t="str">
        <f aca="false">IFERROR(INDEX(Static!$D$5:$E$13,MATCH(AI30,Static!$D$5:$D$13,0),2),"")</f>
        <v/>
      </c>
      <c r="DW30" s="60" t="str">
        <f aca="false">IF(C30=10000000,"Red",IF(OR(C30=11000000,C30=12000000),"Black",IF(C30=11100000,"Dark",IF(AND(C30=12100000,N30="Completed"),"Green",IF(AND(C30=12100000,N30="Overdue"),"Red",IF(C30=12100000,"Dark",IF(AND(C30=12110000,N30="Overdue"),"LightRed",IF(AND(C30=12110000,N30="Completed"),"LightGreen",IF(OR(C30=11110000,C30=12110000),"Light",IF(AND(C30=12111000,N30="Overdue"),"SoftRed",IF(AND(C30=12111000,N30="Completed"),"SoftGreen",IF(OR(C30=11111000,C30=12111000),"Grey",""))))))))))))</f>
        <v/>
      </c>
      <c r="DX30" s="58" t="n">
        <f aca="false">IF(AL30&lt;&gt;"",AL30,$BJ$19)</f>
        <v>45658</v>
      </c>
      <c r="DY30" s="58" t="n">
        <f aca="false">IF(AM30&lt;&gt;"",AM30,$DI$19)</f>
        <v>46387</v>
      </c>
      <c r="DZ30" s="62" t="s">
        <v>364</v>
      </c>
    </row>
    <row r="31" customFormat="false" ht="14.15" hidden="false" customHeight="true" outlineLevel="0" collapsed="false">
      <c r="A31" s="54"/>
      <c r="B31" s="61" t="n">
        <f aca="false">AI31</f>
        <v>0</v>
      </c>
      <c r="C31" s="60" t="n">
        <f aca="false">IFERROR(INDEX(Static!$D$5:$F$13,MATCH(AI31,Static!$D$5:$D$13,0),3),90000000)</f>
        <v>90000000</v>
      </c>
      <c r="D31" s="60" t="str">
        <f aca="false">MID(C31,2,1)</f>
        <v>0</v>
      </c>
      <c r="E31" s="61" t="str">
        <f aca="false">AC31</f>
        <v/>
      </c>
      <c r="F31" s="60" t="n">
        <f aca="false">IF(B31="Venture",0,IF(OR(B31="Project",B31="Stream",B31="Action"),AL31,0))</f>
        <v>0</v>
      </c>
      <c r="G31" s="60" t="n">
        <f aca="false">AT31</f>
        <v>0</v>
      </c>
      <c r="H31" s="60" t="n">
        <f aca="false">IF(B31="Venture",0,IFERROR(INDEX($E$20:$F$55,MATCH(G31,$E$20:$E$55,0),2),0))</f>
        <v>0</v>
      </c>
      <c r="I31" s="60" t="str">
        <f aca="false">IF(B31="Venture",0,IFERROR(INDEX($E$20:$G$55,MATCH(G31,$E$20:$E$55,0),3),""))</f>
        <v/>
      </c>
      <c r="J31" s="60" t="n">
        <f aca="false">IF(B31="Venture",0,IFERROR(INDEX($E$20:$H$55,MATCH(G31,$E$20:$E$55,0),4),0))</f>
        <v>0</v>
      </c>
      <c r="K31" s="60" t="n">
        <f aca="false">IF(B31="Venture",0,IFERROR(INDEX($E$20:$G$55,MATCH(I31,$E$20:$E$55,0),3),""))</f>
        <v>0</v>
      </c>
      <c r="L31" s="60" t="n">
        <f aca="false">IF(C31="Venture",0,IFERROR(INDEX($E$20:$G$55,MATCH(J31,$E$20:$E$55,0),4),0))</f>
        <v>0</v>
      </c>
      <c r="M31" s="60" t="str">
        <f aca="false">IF(N31="Completed","Completed","Ongoing")</f>
        <v>Ongoing</v>
      </c>
      <c r="N31" s="60" t="n">
        <f aca="false">IF(OR(AI31="Venture",AI31="Routine",AI31="Run Goal", AI31="Chg Goal", AI31=""),AI31,IF(AO31&lt;&gt;"","Completed",IF(AN31&lt;&gt;"","Pending",IF(AND(AM31&lt;&gt;"",$A$17&gt;AM31),"Overdue",IF($A$17&gt;AL31,"Started","Open")))))</f>
        <v>0</v>
      </c>
      <c r="O31" s="59" t="n">
        <f aca="false">((LEN($BD31)-LEN(SUBSTITUTE($BD31,CHAR(10)&amp;". ","")))/3)+IF(LEFT(TRIM($BD31),2)=". ",1,0)</f>
        <v>0</v>
      </c>
      <c r="P31" s="59" t="n">
        <f aca="false">((LEN($BD31)-LEN(SUBSTITUTE($BD31,CHAR(10)&amp;"/ ","")))/3)+IF(LEFT(TRIM($BD31),2)="/ ",1,0)</f>
        <v>0</v>
      </c>
      <c r="Q31" s="59" t="n">
        <f aca="false">((LEN($BD31)-LEN(SUBSTITUTE($BD31,CHAR(10)&amp;"~ ","")))/3)+IF(LEFT(TRIM($BD31),2)="~ ",1,0)</f>
        <v>0</v>
      </c>
      <c r="R31" s="59" t="n">
        <f aca="false">((LEN($BD31)-LEN(SUBSTITUTE($BD31,CHAR(10)&amp;"! ","")))/3)+IF(LEFT(TRIM($BD31),2)="! ",1,0)</f>
        <v>0</v>
      </c>
      <c r="S31" s="59" t="n">
        <f aca="false">((LEN($BD31)-LEN(SUBSTITUTE($BD31,CHAR(10)&amp;"x ","")))/3)+IF(LEFT(TRIM($BD31),2)="x ",1,0)</f>
        <v>0</v>
      </c>
      <c r="T31" s="59" t="n">
        <f aca="false">SUM(O31:S31)</f>
        <v>0</v>
      </c>
      <c r="U31" s="60" t="n">
        <f aca="false">IF(OR($B31="Drill",$B31="Action"),$AP31,0)</f>
        <v>0</v>
      </c>
      <c r="V31" s="60" t="n">
        <f aca="false">IF(OR($B31="Sub",$B31="Stream"),$AP31+SUMIFS($AP$20:$AP$55,$G$20:$G$55,$E31),0)</f>
        <v>0</v>
      </c>
      <c r="W31" s="60" t="n">
        <f aca="false">IF(OR($B31="Routine",$B31="Project"),$AP31+SUMIFS($V$20:$V$55,$G$20:$G$55,$E31),0)</f>
        <v>0</v>
      </c>
      <c r="X31" s="60" t="n">
        <f aca="false">IF($B31="Venture",$AP31+SUMIFS($W$20:$W$55,$G$20:$G$55,$E31),0)</f>
        <v>0</v>
      </c>
      <c r="Y31" s="60" t="n">
        <f aca="false">IF(OR($B31="Drill",$B31="Action"),$AQ31,0)</f>
        <v>0</v>
      </c>
      <c r="Z31" s="60" t="n">
        <f aca="false">IF(OR($B31="Sub",$B31="Stream"),$AQ31+SUMIFS($AQ$20:$AQ$55,$G$20:$G$55,$E31),0)</f>
        <v>0</v>
      </c>
      <c r="AA31" s="60" t="n">
        <f aca="false">IF(OR($B31="Routine",$B31="Project"),$AQ31+SUMIFS($Z$20:$Z$55,$G$20:$G$55,$E31),0)</f>
        <v>0</v>
      </c>
      <c r="AB31" s="60" t="n">
        <f aca="false">IF($B31="Venture",$AQ31+SUMIFS($AA$20:$AA$55,$G$20:$G$55,$E31),0)</f>
        <v>0</v>
      </c>
      <c r="AC31" s="60" t="str">
        <f aca="false">IF(AI31="Venture",AJ31,AI31&amp;AJ31)</f>
        <v/>
      </c>
      <c r="AD31" s="61" t="str">
        <f aca="false">"  -  "&amp;IF(E31="","ZZZ",D31&amp;AF31&amp;IF(OR(B31="Run Goal",B31="Chg Goal", B31="Venture"),F31&amp;E31,IF(OR(B31="Routine",B31="Project"),H31&amp;G31&amp;F31&amp;E31,  IF(OR(B31="Sub",B31="Stream"),J31&amp;I31&amp;H31&amp;G31&amp;F31&amp;E31,IF(OR(B31="Drill",B31="Action"),L31&amp;K31&amp;J31&amp;I31&amp;H31&amp;G31&amp;F31&amp;E31,     "") )    )))</f>
        <v>  -  ZZZ</v>
      </c>
      <c r="AE31" s="60" t="str">
        <f aca="false">IF(AND(AN31="",AO31=""),"Y","N")</f>
        <v>Y</v>
      </c>
      <c r="AF31" s="99" t="str">
        <f aca="false">IF(OR(AG31="Y",AG31="Y"),AG31,IF(DN31="none","N",IF(DN31&gt;($A$17-WEEKDAY($A$17,2)-(7*$AF$18)),"Y","N")))</f>
        <v>N</v>
      </c>
      <c r="AG31" s="100"/>
      <c r="AH31" s="101"/>
      <c r="AI31" s="62"/>
      <c r="AJ31" s="64"/>
      <c r="AK31" s="64"/>
      <c r="AL31" s="70"/>
      <c r="AM31" s="70"/>
      <c r="AN31" s="70"/>
      <c r="AO31" s="70"/>
      <c r="AP31" s="102"/>
      <c r="AQ31" s="102"/>
      <c r="AR31" s="62"/>
      <c r="AS31" s="62"/>
      <c r="AT31" s="62"/>
      <c r="AU31" s="62"/>
      <c r="AV31" s="62"/>
      <c r="AW31" s="62"/>
      <c r="AX31" s="62"/>
      <c r="AY31" s="62"/>
      <c r="AZ31" s="62"/>
      <c r="BA31" s="62"/>
      <c r="BB31" s="54"/>
      <c r="BC31" s="103"/>
      <c r="BD31" s="54"/>
      <c r="BE31" s="60" t="n">
        <f aca="false">SUM(O31:R31)</f>
        <v>0</v>
      </c>
      <c r="BF31" s="66" t="n">
        <f aca="false">IF(AJ31="",1,IF(T31&lt;&gt;0,(P31*0.5+S31)/T31,1))</f>
        <v>1</v>
      </c>
      <c r="BG31" s="69" t="str">
        <f aca="false">IF(AI31="","",IF(AI31="Venture",X31,IF(OR(AI31="Chg Goal",AI31="RUn Goal"),W31,IF(OR(AI31="ROutine",AI31="Project"),W31,IF(OR(AI31="Sub",AI31="Stream"),V31,IF(OR(AI31="Drill",AI31="Action"),U31,0))))))</f>
        <v/>
      </c>
      <c r="BH31" s="69" t="str">
        <f aca="false">IF(AI31="","",IF(AI31="Venture",AB31,IF(OR(AI31="Chg Goal",AI31="RUn Goal"),AA31,IF(OR(AI31="ROutine",AI31="Project"),AA31,IF(OR(AI31="Sub",AI31="Stream"),Z31,IF(OR(AI31="Drill",AI31="Action"),Y31,0))))))</f>
        <v/>
      </c>
      <c r="BI31" s="104" t="str">
        <f aca="false">IF(AJ31="","",IF(OR(BG31=0, BG31=""),0,BH31/BG31))</f>
        <v/>
      </c>
      <c r="BJ31" s="105" t="str">
        <f aca="false">IF(    OR(   AND($C31=10000000,    BJ$19&gt;=$A$17,      BJ$19 &lt;($A$17+$DI$17)   ),   AND($C31&lt;&gt;10000000,  BJ$19&gt;=$DX31,    BJ$19&lt;=($DY31+$DI$17)  ))   ,$DW31,  "")</f>
        <v/>
      </c>
      <c r="BK31" s="106" t="str">
        <f aca="false">IF(    OR(   AND($C31=10000000,    $A$17&lt;=BK$19,      ($A$17+$DI$17)&gt;BK$19    ),   AND($C31&lt;&gt;10000000,  BK$19&gt;=$DX31,    BK$19&lt;=($DY31+$DI$17)  ))   ,$DW31,  "")</f>
        <v/>
      </c>
      <c r="BL31" s="106" t="str">
        <f aca="false">IF(    OR(   AND($C31=10000000,    $A$17&lt;=BL$19,      ($A$17+$DI$17)&gt;BL$19    ),   AND($C31&lt;&gt;10000000,  BL$19&gt;=$DX31,    BL$19&lt;=($DY31+$DI$17)  ))   ,$DW31,  "")</f>
        <v/>
      </c>
      <c r="BM31" s="106" t="str">
        <f aca="false">IF(    OR(   AND($C31=10000000,    $A$17&lt;=BM$19,      ($A$17+$DI$17)&gt;BM$19    ),   AND($C31&lt;&gt;10000000,  BM$19&gt;=$DX31,    BM$19&lt;=($DY31+$DI$17)  ))   ,$DW31,  "")</f>
        <v/>
      </c>
      <c r="BN31" s="106" t="str">
        <f aca="false">IF(    OR(   AND($C31=10000000,    $A$17&lt;=BN$19,      ($A$17+$DI$17)&gt;BN$19    ),   AND($C31&lt;&gt;10000000,  BN$19&gt;=$DX31,    BN$19&lt;=($DY31+$DI$17)  ))   ,$DW31,  "")</f>
        <v/>
      </c>
      <c r="BO31" s="106" t="str">
        <f aca="false">IF(    OR(   AND($C31=10000000,    $A$17&lt;=BO$19,      ($A$17+$DI$17)&gt;BO$19    ),   AND($C31&lt;&gt;10000000,  BO$19&gt;=$DX31,    BO$19&lt;=($DY31+$DI$17)  ))   ,$DW31,  "")</f>
        <v/>
      </c>
      <c r="BP31" s="106" t="str">
        <f aca="false">IF(    OR(   AND($C31=10000000,    $A$17&lt;=BP$19,      ($A$17+$DI$17)&gt;BP$19    ),   AND($C31&lt;&gt;10000000,  BP$19&gt;=$DX31,    BP$19&lt;=($DY31+$DI$17)  ))   ,$DW31,  "")</f>
        <v/>
      </c>
      <c r="BQ31" s="106" t="str">
        <f aca="false">IF(    OR(   AND($C31=10000000,    $A$17&lt;=BQ$19,      ($A$17+$DI$17)&gt;BQ$19    ),   AND($C31&lt;&gt;10000000,  BQ$19&gt;=$DX31,    BQ$19&lt;=($DY31+$DI$17)  ))   ,$DW31,  "")</f>
        <v/>
      </c>
      <c r="BR31" s="106" t="str">
        <f aca="false">IF(    OR(   AND($C31=10000000,    $A$17&lt;=BR$19,      ($A$17+$DI$17)&gt;BR$19    ),   AND($C31&lt;&gt;10000000,  BR$19&gt;=$DX31,    BR$19&lt;=($DY31+$DI$17)  ))   ,$DW31,  "")</f>
        <v/>
      </c>
      <c r="BS31" s="106" t="str">
        <f aca="false">IF(    OR(   AND($C31=10000000,    $A$17&lt;=BS$19,      ($A$17+$DI$17)&gt;BS$19    ),   AND($C31&lt;&gt;10000000,  BS$19&gt;=$DX31,    BS$19&lt;=($DY31+$DI$17)  ))   ,$DW31,  "")</f>
        <v/>
      </c>
      <c r="BT31" s="106" t="str">
        <f aca="false">IF(    OR(   AND($C31=10000000,    $A$17&lt;=BT$19,      ($A$17+$DI$17)&gt;BT$19    ),   AND($C31&lt;&gt;10000000,  BT$19&gt;=$DX31,    BT$19&lt;=($DY31+$DI$17)  ))   ,$DW31,  "")</f>
        <v/>
      </c>
      <c r="BU31" s="106" t="str">
        <f aca="false">IF(    OR(   AND($C31=10000000,    $A$17&lt;=BU$19,      ($A$17+$DI$17)&gt;BU$19    ),   AND($C31&lt;&gt;10000000,  BU$19&gt;=$DX31,    BU$19&lt;=($DY31+$DI$17)  ))   ,$DW31,  "")</f>
        <v/>
      </c>
      <c r="BV31" s="106" t="str">
        <f aca="false">IF(    OR(   AND($C31=10000000,    $A$17&lt;=BV$19,      ($A$17+$DI$17)&gt;BV$19    ),   AND($C31&lt;&gt;10000000,  BV$19&gt;=$DX31,    BV$19&lt;=($DY31+$DI$17)  ))   ,$DW31,  "")</f>
        <v/>
      </c>
      <c r="BW31" s="106" t="str">
        <f aca="false">IF(    OR(   AND($C31=10000000,    $A$17&lt;=BW$19,      ($A$17+$DI$17)&gt;BW$19    ),   AND($C31&lt;&gt;10000000,  BW$19&gt;=$DX31,    BW$19&lt;=($DY31+$DI$17)  ))   ,$DW31,  "")</f>
        <v/>
      </c>
      <c r="BX31" s="106" t="str">
        <f aca="false">IF(    OR(   AND($C31=10000000,    $A$17&lt;=BX$19,      ($A$17+$DI$17)&gt;BX$19    ),   AND($C31&lt;&gt;10000000,  BX$19&gt;=$DX31,    BX$19&lt;=($DY31+$DI$17)  ))   ,$DW31,  "")</f>
        <v/>
      </c>
      <c r="BY31" s="106" t="str">
        <f aca="false">IF(    OR(   AND($C31=10000000,    $A$17&lt;=BY$19,      ($A$17+$DI$17)&gt;BY$19    ),   AND($C31&lt;&gt;10000000,  BY$19&gt;=$DX31,    BY$19&lt;=($DY31+$DI$17)  ))   ,$DW31,  "")</f>
        <v/>
      </c>
      <c r="BZ31" s="106" t="str">
        <f aca="false">IF(    OR(   AND($C31=10000000,    $A$17&lt;=BZ$19,      ($A$17+$DI$17)&gt;BZ$19    ),   AND($C31&lt;&gt;10000000,  BZ$19&gt;=$DX31,    BZ$19&lt;=($DY31+$DI$17)  ))   ,$DW31,  "")</f>
        <v/>
      </c>
      <c r="CA31" s="106" t="str">
        <f aca="false">IF(    OR(   AND($C31=10000000,    $A$17&lt;=CA$19,      ($A$17+$DI$17)&gt;CA$19    ),   AND($C31&lt;&gt;10000000,  CA$19&gt;=$DX31,    CA$19&lt;=($DY31+$DI$17)  ))   ,$DW31,  "")</f>
        <v/>
      </c>
      <c r="CB31" s="106" t="str">
        <f aca="false">IF(    OR(   AND($C31=10000000,    $A$17&lt;=CB$19,      ($A$17+$DI$17)&gt;CB$19    ),   AND($C31&lt;&gt;10000000,  CB$19&gt;=$DX31,    CB$19&lt;=($DY31+$DI$17)  ))   ,$DW31,  "")</f>
        <v/>
      </c>
      <c r="CC31" s="106" t="str">
        <f aca="false">IF(    OR(   AND($C31=10000000,    $A$17&lt;=CC$19,      ($A$17+$DI$17)&gt;CC$19    ),   AND($C31&lt;&gt;10000000,  CC$19&gt;=$DX31,    CC$19&lt;=($DY31+$DI$17)  ))   ,$DW31,  "")</f>
        <v/>
      </c>
      <c r="CD31" s="106" t="str">
        <f aca="false">IF(    OR(   AND($C31=10000000,    $A$17&lt;=CD$19,      ($A$17+$DI$17)&gt;CD$19    ),   AND($C31&lt;&gt;10000000,  CD$19&gt;=$DX31,    CD$19&lt;=($DY31+$DI$17)  ))   ,$DW31,  "")</f>
        <v/>
      </c>
      <c r="CE31" s="106" t="str">
        <f aca="false">IF(    OR(   AND($C31=10000000,    $A$17&lt;=CE$19,      ($A$17+$DI$17)&gt;CE$19    ),   AND($C31&lt;&gt;10000000,  CE$19&gt;=$DX31,    CE$19&lt;=($DY31+$DI$17)  ))   ,$DW31,  "")</f>
        <v/>
      </c>
      <c r="CF31" s="106" t="str">
        <f aca="false">IF(    OR(   AND($C31=10000000,    $A$17&lt;=CF$19,      ($A$17+$DI$17)&gt;CF$19    ),   AND($C31&lt;&gt;10000000,  CF$19&gt;=$DX31,    CF$19&lt;=($DY31+$DI$17)  ))   ,$DW31,  "")</f>
        <v/>
      </c>
      <c r="CG31" s="106" t="str">
        <f aca="false">IF(    OR(   AND($C31=10000000,    $A$17&lt;=CG$19,      ($A$17+$DI$17)&gt;CG$19    ),   AND($C31&lt;&gt;10000000,  CG$19&gt;=$DX31,    CG$19&lt;=($DY31+$DI$17)  ))   ,$DW31,  "")</f>
        <v/>
      </c>
      <c r="CH31" s="106" t="str">
        <f aca="false">IF(    OR(   AND($C31=10000000,    $A$17&lt;=CH$19,      ($A$17+$DI$17)&gt;CH$19    ),   AND($C31&lt;&gt;10000000,  CH$19&gt;=$DX31,    CH$19&lt;=($DY31+$DI$17)  ))   ,$DW31,  "")</f>
        <v/>
      </c>
      <c r="CI31" s="106" t="str">
        <f aca="false">IF(    OR(   AND($C31=10000000,    $A$17&lt;=CI$19,      ($A$17+$DI$17)&gt;CI$19    ),   AND($C31&lt;&gt;10000000,  CI$19&gt;=$DX31,    CI$19&lt;=($DY31+$DI$17)  ))   ,$DW31,  "")</f>
        <v/>
      </c>
      <c r="CJ31" s="106" t="str">
        <f aca="false">IF(    OR(   AND($C31=10000000,    $A$17&lt;=CJ$19,      ($A$17+$DI$17)&gt;CJ$19    ),   AND($C31&lt;&gt;10000000,  CJ$19&gt;=$DX31,    CJ$19&lt;=($DY31+$DI$17)  ))   ,$DW31,  "")</f>
        <v/>
      </c>
      <c r="CK31" s="106" t="str">
        <f aca="false">IF(    OR(   AND($C31=10000000,    $A$17&lt;=CK$19,      ($A$17+$DI$17)&gt;CK$19    ),   AND($C31&lt;&gt;10000000,  CK$19&gt;=$DX31,    CK$19&lt;=($DY31+$DI$17)  ))   ,$DW31,  "")</f>
        <v/>
      </c>
      <c r="CL31" s="106" t="str">
        <f aca="false">IF(    OR(   AND($C31=10000000,    $A$17&lt;=CL$19,      ($A$17+$DI$17)&gt;CL$19    ),   AND($C31&lt;&gt;10000000,  CL$19&gt;=$DX31,    CL$19&lt;=($DY31+$DI$17)  ))   ,$DW31,  "")</f>
        <v/>
      </c>
      <c r="CM31" s="106" t="str">
        <f aca="false">IF(    OR(   AND($C31=10000000,    $A$17&lt;=CM$19,      ($A$17+$DI$17)&gt;CM$19    ),   AND($C31&lt;&gt;10000000,  CM$19&gt;=$DX31,    CM$19&lt;=($DY31+$DI$17)  ))   ,$DW31,  "")</f>
        <v/>
      </c>
      <c r="CN31" s="106" t="str">
        <f aca="false">IF(    OR(   AND($C31=10000000,    $A$17&lt;=CN$19,      ($A$17+$DI$17)&gt;CN$19    ),   AND($C31&lt;&gt;10000000,  CN$19&gt;=$DX31,    CN$19&lt;=($DY31+$DI$17)  ))   ,$DW31,  "")</f>
        <v/>
      </c>
      <c r="CO31" s="106" t="str">
        <f aca="false">IF(    OR(   AND($C31=10000000,    $A$17&lt;=CO$19,      ($A$17+$DI$17)&gt;CO$19    ),   AND($C31&lt;&gt;10000000,  CO$19&gt;=$DX31,    CO$19&lt;=($DY31+$DI$17)  ))   ,$DW31,  "")</f>
        <v/>
      </c>
      <c r="CP31" s="106" t="str">
        <f aca="false">IF(    OR(   AND($C31=10000000,    $A$17&lt;=CP$19,      ($A$17+$DI$17)&gt;CP$19    ),   AND($C31&lt;&gt;10000000,  CP$19&gt;=$DX31,    CP$19&lt;=($DY31+$DI$17)  ))   ,$DW31,  "")</f>
        <v/>
      </c>
      <c r="CQ31" s="106" t="str">
        <f aca="false">IF(    OR(   AND($C31=10000000,    $A$17&lt;=CQ$19,      ($A$17+$DI$17)&gt;CQ$19    ),   AND($C31&lt;&gt;10000000,  CQ$19&gt;=$DX31,    CQ$19&lt;=($DY31+$DI$17)  ))   ,$DW31,  "")</f>
        <v/>
      </c>
      <c r="CR31" s="106" t="str">
        <f aca="false">IF(    OR(   AND($C31=10000000,    $A$17&lt;=CR$19,      ($A$17+$DI$17)&gt;CR$19    ),   AND($C31&lt;&gt;10000000,  CR$19&gt;=$DX31,    CR$19&lt;=($DY31+$DI$17)  ))   ,$DW31,  "")</f>
        <v/>
      </c>
      <c r="CS31" s="106" t="str">
        <f aca="false">IF(    OR(   AND($C31=10000000,    $A$17&lt;=CS$19,      ($A$17+$DI$17)&gt;CS$19    ),   AND($C31&lt;&gt;10000000,  CS$19&gt;=$DX31,    CS$19&lt;=($DY31+$DI$17)  ))   ,$DW31,  "")</f>
        <v/>
      </c>
      <c r="CT31" s="106" t="str">
        <f aca="false">IF(    OR(   AND($C31=10000000,    $A$17&lt;=CT$19,      ($A$17+$DI$17)&gt;CT$19    ),   AND($C31&lt;&gt;10000000,  CT$19&gt;=$DX31,    CT$19&lt;=($DY31+$DI$17)  ))   ,$DW31,  "")</f>
        <v/>
      </c>
      <c r="CU31" s="106" t="str">
        <f aca="false">IF(    OR(   AND($C31=10000000,    $A$17&lt;=CU$19,      ($A$17+$DI$17)&gt;CU$19    ),   AND($C31&lt;&gt;10000000,  CU$19&gt;=$DX31,    CU$19&lt;=($DY31+$DI$17)  ))   ,$DW31,  "")</f>
        <v/>
      </c>
      <c r="CV31" s="106" t="str">
        <f aca="false">IF(    OR(   AND($C31=10000000,    $A$17&lt;=CV$19,      ($A$17+$DI$17)&gt;CV$19    ),   AND($C31&lt;&gt;10000000,  CV$19&gt;=$DX31,    CV$19&lt;=($DY31+$DI$17)  ))   ,$DW31,  "")</f>
        <v/>
      </c>
      <c r="CW31" s="106" t="str">
        <f aca="false">IF(    OR(   AND($C31=10000000,    $A$17&lt;=CW$19,      ($A$17+$DI$17)&gt;CW$19    ),   AND($C31&lt;&gt;10000000,  CW$19&gt;=$DX31,    CW$19&lt;=($DY31+$DI$17)  ))   ,$DW31,  "")</f>
        <v/>
      </c>
      <c r="CX31" s="106" t="str">
        <f aca="false">IF(    OR(   AND($C31=10000000,    $A$17&lt;=CX$19,      ($A$17+$DI$17)&gt;CX$19    ),   AND($C31&lt;&gt;10000000,  CX$19&gt;=$DX31,    CX$19&lt;=($DY31+$DI$17)  ))   ,$DW31,  "")</f>
        <v/>
      </c>
      <c r="CY31" s="106" t="str">
        <f aca="false">IF(    OR(   AND($C31=10000000,    $A$17&lt;=CY$19,      ($A$17+$DI$17)&gt;CY$19    ),   AND($C31&lt;&gt;10000000,  CY$19&gt;=$DX31,    CY$19&lt;=($DY31+$DI$17)  ))   ,$DW31,  "")</f>
        <v/>
      </c>
      <c r="CZ31" s="106" t="str">
        <f aca="false">IF(    OR(   AND($C31=10000000,    $A$17&lt;=CZ$19,      ($A$17+$DI$17)&gt;CZ$19    ),   AND($C31&lt;&gt;10000000,  CZ$19&gt;=$DX31,    CZ$19&lt;=($DY31+$DI$17)  ))   ,$DW31,  "")</f>
        <v/>
      </c>
      <c r="DA31" s="106" t="str">
        <f aca="false">IF(    OR(   AND($C31=10000000,    $A$17&lt;=DA$19,      ($A$17+$DI$17)&gt;DA$19    ),   AND($C31&lt;&gt;10000000,  DA$19&gt;=$DX31,    DA$19&lt;=($DY31+$DI$17)  ))   ,$DW31,  "")</f>
        <v/>
      </c>
      <c r="DB31" s="106" t="str">
        <f aca="false">IF(    OR(   AND($C31=10000000,    $A$17&lt;=DB$19,      ($A$17+$DI$17)&gt;DB$19    ),   AND($C31&lt;&gt;10000000,  DB$19&gt;=$DX31,    DB$19&lt;=($DY31+$DI$17)  ))   ,$DW31,  "")</f>
        <v/>
      </c>
      <c r="DC31" s="106" t="str">
        <f aca="false">IF(    OR(   AND($C31=10000000,    $A$17&lt;=DC$19,      ($A$17+$DI$17)&gt;DC$19    ),   AND($C31&lt;&gt;10000000,  DC$19&gt;=$DX31,    DC$19&lt;=($DY31+$DI$17)  ))   ,$DW31,  "")</f>
        <v/>
      </c>
      <c r="DD31" s="106" t="str">
        <f aca="false">IF(    OR(   AND($C31=10000000,    $A$17&lt;=DD$19,      ($A$17+$DI$17)&gt;DD$19    ),   AND($C31&lt;&gt;10000000,  DD$19&gt;=$DX31,    DD$19&lt;=($DY31+$DI$17)  ))   ,$DW31,  "")</f>
        <v/>
      </c>
      <c r="DE31" s="106" t="str">
        <f aca="false">IF(    OR(   AND($C31=10000000,    $A$17&lt;=DE$19,      ($A$17+$DI$17)&gt;DE$19    ),   AND($C31&lt;&gt;10000000,  DE$19&gt;=$DX31,    DE$19&lt;=($DY31+$DI$17)  ))   ,$DW31,  "")</f>
        <v/>
      </c>
      <c r="DF31" s="106" t="str">
        <f aca="false">IF(    OR(   AND($C31=10000000,    $A$17&lt;=DF$19,      ($A$17+$DI$17)&gt;DF$19    ),   AND($C31&lt;&gt;10000000,  DF$19&gt;=$DX31,    DF$19&lt;=($DY31+$DI$17)  ))   ,$DW31,  "")</f>
        <v/>
      </c>
      <c r="DG31" s="106" t="str">
        <f aca="false">IF(    OR(   AND($C31=10000000,    $A$17&lt;=DG$19,      ($A$17+$DI$17)&gt;DG$19    ),   AND($C31&lt;&gt;10000000,  DG$19&gt;=$DX31,    DG$19&lt;=($DY31+$DI$17)  ))   ,$DW31,  "")</f>
        <v/>
      </c>
      <c r="DH31" s="106" t="str">
        <f aca="false">IF(    OR(   AND($C31=10000000,    $A$17&lt;=DH$19,      ($A$17+$DI$17)&gt;DH$19    ),   AND($C31&lt;&gt;10000000,  DH$19&gt;=$DX31,    DH$19&lt;=($DY31+$DI$17)  ))   ,$DW31,  "")</f>
        <v/>
      </c>
      <c r="DI31" s="106" t="str">
        <f aca="false">IF(    OR(   AND($C31=10000000,    $A$17&lt;=DI$19,      ($A$17+$DI$17)&gt;DI$19    ),   AND($C31&lt;&gt;10000000,  DI$19&gt;=$DX31,    DI$19&lt;=($DY31+$DI$17)  ))   ,$DW31,  "")</f>
        <v/>
      </c>
      <c r="DJ31" s="74" t="str">
        <f aca="false">IF(BC31="","",IF(ISERROR(FIND(CHAR(10),BC31,1)),BC31,LEFT(BC31,FIND(CHAR(10),BC31,1))))</f>
        <v/>
      </c>
      <c r="DK31" s="61" t="str">
        <f aca="false">IF(BC31="","",IFERROR(RIGHT(BC31,LEN(BC31)-FIND("@@@",SUBSTITUTE(BC31,CHAR(10),"@@@",LEN(BC31)-LEN(SUBSTITUTE(BC31,CHAR(10),""))),1)),BC31))</f>
        <v/>
      </c>
      <c r="DL31" s="61" t="str">
        <f aca="false">IF(BD31="","",IFERROR(RIGHT(BD31,LEN(BD31)-FIND("@@@",SUBSTITUTE(BD31,CHAR(10),"@@@",LEN(BD31)-LEN(SUBSTITUTE(BD31,CHAR(10),""))),1)),BD31))</f>
        <v/>
      </c>
      <c r="DM31" s="107" t="str">
        <f aca="false">IFERROR(DATE(("20"&amp;MID(DJ31,7,2))*1,MID(DJ31,4,2)*1,MID(DJ31,1,2)*1),"none")</f>
        <v>none</v>
      </c>
      <c r="DN31" s="107" t="str">
        <f aca="false">IFERROR(DATE(("20"&amp;MID(DK31,7,2))*1,MID(DK31,4,2)*1,MID(DK31,1,2)*1),"none")</f>
        <v>none</v>
      </c>
      <c r="DO31" s="107" t="n">
        <f aca="false">IF(DM31&lt;&gt;"none",DM31,DATE(1900,1,1))</f>
        <v>2</v>
      </c>
      <c r="DP31" s="107" t="n">
        <f aca="false">IF(DN31&lt;&gt;"none",DN31,DO31)</f>
        <v>2</v>
      </c>
      <c r="DQ31" s="108" t="n">
        <f aca="false">_xlfn.DAYS($A$17,DO31)</f>
        <v>46319</v>
      </c>
      <c r="DR31" s="108" t="n">
        <f aca="false">_xlfn.DAYS($A$17, DP31)</f>
        <v>46319</v>
      </c>
      <c r="DS31" s="60" t="n">
        <f aca="false">IF(DP31&lt;&gt;"",INT(DR31/7),0)</f>
        <v>6617</v>
      </c>
      <c r="DT31" s="108" t="n">
        <f aca="false">IF(N31="Overdue",_xlfn.DAYS($A$17,AM31),0)</f>
        <v>0</v>
      </c>
      <c r="DU31" s="108" t="n">
        <f aca="false">IF(AI31="Project",_xlfn.DAYS(AM31,$A$17),0)</f>
        <v>0</v>
      </c>
      <c r="DV31" s="60" t="str">
        <f aca="false">IFERROR(INDEX(Static!$D$5:$E$13,MATCH(AI31,Static!$D$5:$D$13,0),2),"")</f>
        <v/>
      </c>
      <c r="DW31" s="60" t="str">
        <f aca="false">IF(C31=10000000,"Red",IF(OR(C31=11000000,C31=12000000),"Black",IF(C31=11100000,"Dark",IF(AND(C31=12100000,N31="Completed"),"Green",IF(AND(C31=12100000,N31="Overdue"),"Red",IF(C31=12100000,"Dark",IF(AND(C31=12110000,N31="Overdue"),"LightRed",IF(AND(C31=12110000,N31="Completed"),"LightGreen",IF(OR(C31=11110000,C31=12110000),"Light",IF(AND(C31=12111000,N31="Overdue"),"SoftRed",IF(AND(C31=12111000,N31="Completed"),"SoftGreen",IF(OR(C31=11111000,C31=12111000),"Grey",""))))))))))))</f>
        <v/>
      </c>
      <c r="DX31" s="58" t="n">
        <f aca="false">IF(AL31&lt;&gt;"",AL31,$BJ$19)</f>
        <v>45658</v>
      </c>
      <c r="DY31" s="58" t="n">
        <f aca="false">IF(AM31&lt;&gt;"",AM31,$DI$19)</f>
        <v>46387</v>
      </c>
      <c r="DZ31" s="62" t="s">
        <v>364</v>
      </c>
    </row>
    <row r="32" customFormat="false" ht="14.15" hidden="false" customHeight="true" outlineLevel="0" collapsed="false">
      <c r="A32" s="54"/>
      <c r="B32" s="61" t="n">
        <f aca="false">AI32</f>
        <v>0</v>
      </c>
      <c r="C32" s="60" t="n">
        <f aca="false">IFERROR(INDEX(Static!$D$5:$F$13,MATCH(AI32,Static!$D$5:$D$13,0),3),90000000)</f>
        <v>90000000</v>
      </c>
      <c r="D32" s="60" t="str">
        <f aca="false">MID(C32,2,1)</f>
        <v>0</v>
      </c>
      <c r="E32" s="61" t="str">
        <f aca="false">AC32</f>
        <v/>
      </c>
      <c r="F32" s="60" t="n">
        <f aca="false">IF(B32="Venture",0,IF(OR(B32="Project",B32="Stream",B32="Action"),AL32,0))</f>
        <v>0</v>
      </c>
      <c r="G32" s="60" t="n">
        <f aca="false">AT32</f>
        <v>0</v>
      </c>
      <c r="H32" s="60" t="n">
        <f aca="false">IF(B32="Venture",0,IFERROR(INDEX($E$20:$F$55,MATCH(G32,$E$20:$E$55,0),2),0))</f>
        <v>0</v>
      </c>
      <c r="I32" s="60" t="str">
        <f aca="false">IF(B32="Venture",0,IFERROR(INDEX($E$20:$G$55,MATCH(G32,$E$20:$E$55,0),3),""))</f>
        <v/>
      </c>
      <c r="J32" s="60" t="n">
        <f aca="false">IF(B32="Venture",0,IFERROR(INDEX($E$20:$H$55,MATCH(G32,$E$20:$E$55,0),4),0))</f>
        <v>0</v>
      </c>
      <c r="K32" s="60" t="n">
        <f aca="false">IF(B32="Venture",0,IFERROR(INDEX($E$20:$G$55,MATCH(I32,$E$20:$E$55,0),3),""))</f>
        <v>0</v>
      </c>
      <c r="L32" s="60" t="n">
        <f aca="false">IF(C32="Venture",0,IFERROR(INDEX($E$20:$G$55,MATCH(J32,$E$20:$E$55,0),4),0))</f>
        <v>0</v>
      </c>
      <c r="M32" s="60" t="str">
        <f aca="false">IF(N32="Completed","Completed","Ongoing")</f>
        <v>Ongoing</v>
      </c>
      <c r="N32" s="60" t="n">
        <f aca="false">IF(OR(AI32="Venture",AI32="Routine",AI32="Run Goal", AI32="Chg Goal", AI32=""),AI32,IF(AO32&lt;&gt;"","Completed",IF(AN32&lt;&gt;"","Pending",IF(AND(AM32&lt;&gt;"",$A$17&gt;AM32),"Overdue",IF($A$17&gt;AL32,"Started","Open")))))</f>
        <v>0</v>
      </c>
      <c r="O32" s="59" t="n">
        <f aca="false">((LEN($BD32)-LEN(SUBSTITUTE($BD32,CHAR(10)&amp;". ","")))/3)+IF(LEFT(TRIM($BD32),2)=". ",1,0)</f>
        <v>0</v>
      </c>
      <c r="P32" s="59" t="n">
        <f aca="false">((LEN($BD32)-LEN(SUBSTITUTE($BD32,CHAR(10)&amp;"/ ","")))/3)+IF(LEFT(TRIM($BD32),2)="/ ",1,0)</f>
        <v>0</v>
      </c>
      <c r="Q32" s="59" t="n">
        <f aca="false">((LEN($BD32)-LEN(SUBSTITUTE($BD32,CHAR(10)&amp;"~ ","")))/3)+IF(LEFT(TRIM($BD32),2)="~ ",1,0)</f>
        <v>0</v>
      </c>
      <c r="R32" s="59" t="n">
        <f aca="false">((LEN($BD32)-LEN(SUBSTITUTE($BD32,CHAR(10)&amp;"! ","")))/3)+IF(LEFT(TRIM($BD32),2)="! ",1,0)</f>
        <v>0</v>
      </c>
      <c r="S32" s="59" t="n">
        <f aca="false">((LEN($BD32)-LEN(SUBSTITUTE($BD32,CHAR(10)&amp;"x ","")))/3)+IF(LEFT(TRIM($BD32),2)="x ",1,0)</f>
        <v>0</v>
      </c>
      <c r="T32" s="59" t="n">
        <f aca="false">SUM(O32:S32)</f>
        <v>0</v>
      </c>
      <c r="U32" s="60" t="n">
        <f aca="false">IF(OR($B32="Drill",$B32="Action"),$AP32,0)</f>
        <v>0</v>
      </c>
      <c r="V32" s="60" t="n">
        <f aca="false">IF(OR($B32="Sub",$B32="Stream"),$AP32+SUMIFS($AP$20:$AP$55,$G$20:$G$55,$E32),0)</f>
        <v>0</v>
      </c>
      <c r="W32" s="60" t="n">
        <f aca="false">IF(OR($B32="Routine",$B32="Project"),$AP32+SUMIFS($V$20:$V$55,$G$20:$G$55,$E32),0)</f>
        <v>0</v>
      </c>
      <c r="X32" s="60" t="n">
        <f aca="false">IF($B32="Venture",$AP32+SUMIFS($W$20:$W$55,$G$20:$G$55,$E32),0)</f>
        <v>0</v>
      </c>
      <c r="Y32" s="60" t="n">
        <f aca="false">IF(OR($B32="Drill",$B32="Action"),$AQ32,0)</f>
        <v>0</v>
      </c>
      <c r="Z32" s="60" t="n">
        <f aca="false">IF(OR($B32="Sub",$B32="Stream"),$AQ32+SUMIFS($AQ$20:$AQ$55,$G$20:$G$55,$E32),0)</f>
        <v>0</v>
      </c>
      <c r="AA32" s="60" t="n">
        <f aca="false">IF(OR($B32="Routine",$B32="Project"),$AQ32+SUMIFS($Z$20:$Z$55,$G$20:$G$55,$E32),0)</f>
        <v>0</v>
      </c>
      <c r="AB32" s="60" t="n">
        <f aca="false">IF($B32="Venture",$AQ32+SUMIFS($AA$20:$AA$55,$G$20:$G$55,$E32),0)</f>
        <v>0</v>
      </c>
      <c r="AC32" s="60" t="str">
        <f aca="false">IF(AI32="Venture",AJ32,AI32&amp;AJ32)</f>
        <v/>
      </c>
      <c r="AD32" s="61" t="str">
        <f aca="false">"  -  "&amp;IF(E32="","ZZZ",D32&amp;AF32&amp;IF(OR(B32="Run Goal",B32="Chg Goal", B32="Venture"),F32&amp;E32,IF(OR(B32="Routine",B32="Project"),H32&amp;G32&amp;F32&amp;E32,  IF(OR(B32="Sub",B32="Stream"),J32&amp;I32&amp;H32&amp;G32&amp;F32&amp;E32,IF(OR(B32="Drill",B32="Action"),L32&amp;K32&amp;J32&amp;I32&amp;H32&amp;G32&amp;F32&amp;E32,     "") )    )))</f>
        <v>  -  ZZZ</v>
      </c>
      <c r="AE32" s="60" t="str">
        <f aca="false">IF(AND(AN32="",AO32=""),"Y","N")</f>
        <v>Y</v>
      </c>
      <c r="AF32" s="99" t="str">
        <f aca="false">IF(OR(AG32="Y",AG32="Y"),AG32,IF(DN32="none","N",IF(DN32&gt;($A$17-WEEKDAY($A$17,2)-(7*$AF$18)),"Y","N")))</f>
        <v>N</v>
      </c>
      <c r="AG32" s="100"/>
      <c r="AH32" s="101"/>
      <c r="AI32" s="62"/>
      <c r="AJ32" s="64"/>
      <c r="AK32" s="64"/>
      <c r="AL32" s="70"/>
      <c r="AM32" s="70"/>
      <c r="AN32" s="70"/>
      <c r="AO32" s="70"/>
      <c r="AP32" s="102"/>
      <c r="AQ32" s="102"/>
      <c r="AR32" s="62"/>
      <c r="AS32" s="62"/>
      <c r="AT32" s="62"/>
      <c r="AU32" s="62"/>
      <c r="AV32" s="62"/>
      <c r="AW32" s="62"/>
      <c r="AX32" s="62"/>
      <c r="AY32" s="62"/>
      <c r="AZ32" s="62"/>
      <c r="BA32" s="62"/>
      <c r="BB32" s="54"/>
      <c r="BC32" s="103"/>
      <c r="BD32" s="54"/>
      <c r="BE32" s="60" t="n">
        <f aca="false">SUM(O32:R32)</f>
        <v>0</v>
      </c>
      <c r="BF32" s="66" t="n">
        <f aca="false">IF(AJ32="",1,IF(T32&lt;&gt;0,(P32*0.5+S32)/T32,1))</f>
        <v>1</v>
      </c>
      <c r="BG32" s="69" t="str">
        <f aca="false">IF(AI32="","",IF(AI32="Venture",X32,IF(OR(AI32="Chg Goal",AI32="RUn Goal"),W32,IF(OR(AI32="ROutine",AI32="Project"),W32,IF(OR(AI32="Sub",AI32="Stream"),V32,IF(OR(AI32="Drill",AI32="Action"),U32,0))))))</f>
        <v/>
      </c>
      <c r="BH32" s="69" t="str">
        <f aca="false">IF(AI32="","",IF(AI32="Venture",AB32,IF(OR(AI32="Chg Goal",AI32="RUn Goal"),AA32,IF(OR(AI32="ROutine",AI32="Project"),AA32,IF(OR(AI32="Sub",AI32="Stream"),Z32,IF(OR(AI32="Drill",AI32="Action"),Y32,0))))))</f>
        <v/>
      </c>
      <c r="BI32" s="104" t="str">
        <f aca="false">IF(AJ32="","",IF(OR(BG32=0, BG32=""),0,BH32/BG32))</f>
        <v/>
      </c>
      <c r="BJ32" s="105" t="str">
        <f aca="false">IF(    OR(   AND($C32=10000000,    BJ$19&gt;=$A$17,      BJ$19 &lt;($A$17+$DI$17)   ),   AND($C32&lt;&gt;10000000,  BJ$19&gt;=$DX32,    BJ$19&lt;=($DY32+$DI$17)  ))   ,$DW32,  "")</f>
        <v/>
      </c>
      <c r="BK32" s="106" t="str">
        <f aca="false">IF(    OR(   AND($C32=10000000,    $A$17&lt;=BK$19,      ($A$17+$DI$17)&gt;BK$19    ),   AND($C32&lt;&gt;10000000,  BK$19&gt;=$DX32,    BK$19&lt;=($DY32+$DI$17)  ))   ,$DW32,  "")</f>
        <v/>
      </c>
      <c r="BL32" s="106" t="str">
        <f aca="false">IF(    OR(   AND($C32=10000000,    $A$17&lt;=BL$19,      ($A$17+$DI$17)&gt;BL$19    ),   AND($C32&lt;&gt;10000000,  BL$19&gt;=$DX32,    BL$19&lt;=($DY32+$DI$17)  ))   ,$DW32,  "")</f>
        <v/>
      </c>
      <c r="BM32" s="106" t="str">
        <f aca="false">IF(    OR(   AND($C32=10000000,    $A$17&lt;=BM$19,      ($A$17+$DI$17)&gt;BM$19    ),   AND($C32&lt;&gt;10000000,  BM$19&gt;=$DX32,    BM$19&lt;=($DY32+$DI$17)  ))   ,$DW32,  "")</f>
        <v/>
      </c>
      <c r="BN32" s="106" t="str">
        <f aca="false">IF(    OR(   AND($C32=10000000,    $A$17&lt;=BN$19,      ($A$17+$DI$17)&gt;BN$19    ),   AND($C32&lt;&gt;10000000,  BN$19&gt;=$DX32,    BN$19&lt;=($DY32+$DI$17)  ))   ,$DW32,  "")</f>
        <v/>
      </c>
      <c r="BO32" s="106" t="str">
        <f aca="false">IF(    OR(   AND($C32=10000000,    $A$17&lt;=BO$19,      ($A$17+$DI$17)&gt;BO$19    ),   AND($C32&lt;&gt;10000000,  BO$19&gt;=$DX32,    BO$19&lt;=($DY32+$DI$17)  ))   ,$DW32,  "")</f>
        <v/>
      </c>
      <c r="BP32" s="106" t="str">
        <f aca="false">IF(    OR(   AND($C32=10000000,    $A$17&lt;=BP$19,      ($A$17+$DI$17)&gt;BP$19    ),   AND($C32&lt;&gt;10000000,  BP$19&gt;=$DX32,    BP$19&lt;=($DY32+$DI$17)  ))   ,$DW32,  "")</f>
        <v/>
      </c>
      <c r="BQ32" s="106" t="str">
        <f aca="false">IF(    OR(   AND($C32=10000000,    $A$17&lt;=BQ$19,      ($A$17+$DI$17)&gt;BQ$19    ),   AND($C32&lt;&gt;10000000,  BQ$19&gt;=$DX32,    BQ$19&lt;=($DY32+$DI$17)  ))   ,$DW32,  "")</f>
        <v/>
      </c>
      <c r="BR32" s="106" t="str">
        <f aca="false">IF(    OR(   AND($C32=10000000,    $A$17&lt;=BR$19,      ($A$17+$DI$17)&gt;BR$19    ),   AND($C32&lt;&gt;10000000,  BR$19&gt;=$DX32,    BR$19&lt;=($DY32+$DI$17)  ))   ,$DW32,  "")</f>
        <v/>
      </c>
      <c r="BS32" s="106" t="str">
        <f aca="false">IF(    OR(   AND($C32=10000000,    $A$17&lt;=BS$19,      ($A$17+$DI$17)&gt;BS$19    ),   AND($C32&lt;&gt;10000000,  BS$19&gt;=$DX32,    BS$19&lt;=($DY32+$DI$17)  ))   ,$DW32,  "")</f>
        <v/>
      </c>
      <c r="BT32" s="106" t="str">
        <f aca="false">IF(    OR(   AND($C32=10000000,    $A$17&lt;=BT$19,      ($A$17+$DI$17)&gt;BT$19    ),   AND($C32&lt;&gt;10000000,  BT$19&gt;=$DX32,    BT$19&lt;=($DY32+$DI$17)  ))   ,$DW32,  "")</f>
        <v/>
      </c>
      <c r="BU32" s="106" t="str">
        <f aca="false">IF(    OR(   AND($C32=10000000,    $A$17&lt;=BU$19,      ($A$17+$DI$17)&gt;BU$19    ),   AND($C32&lt;&gt;10000000,  BU$19&gt;=$DX32,    BU$19&lt;=($DY32+$DI$17)  ))   ,$DW32,  "")</f>
        <v/>
      </c>
      <c r="BV32" s="106" t="str">
        <f aca="false">IF(    OR(   AND($C32=10000000,    $A$17&lt;=BV$19,      ($A$17+$DI$17)&gt;BV$19    ),   AND($C32&lt;&gt;10000000,  BV$19&gt;=$DX32,    BV$19&lt;=($DY32+$DI$17)  ))   ,$DW32,  "")</f>
        <v/>
      </c>
      <c r="BW32" s="106" t="str">
        <f aca="false">IF(    OR(   AND($C32=10000000,    $A$17&lt;=BW$19,      ($A$17+$DI$17)&gt;BW$19    ),   AND($C32&lt;&gt;10000000,  BW$19&gt;=$DX32,    BW$19&lt;=($DY32+$DI$17)  ))   ,$DW32,  "")</f>
        <v/>
      </c>
      <c r="BX32" s="106" t="str">
        <f aca="false">IF(    OR(   AND($C32=10000000,    $A$17&lt;=BX$19,      ($A$17+$DI$17)&gt;BX$19    ),   AND($C32&lt;&gt;10000000,  BX$19&gt;=$DX32,    BX$19&lt;=($DY32+$DI$17)  ))   ,$DW32,  "")</f>
        <v/>
      </c>
      <c r="BY32" s="106" t="str">
        <f aca="false">IF(    OR(   AND($C32=10000000,    $A$17&lt;=BY$19,      ($A$17+$DI$17)&gt;BY$19    ),   AND($C32&lt;&gt;10000000,  BY$19&gt;=$DX32,    BY$19&lt;=($DY32+$DI$17)  ))   ,$DW32,  "")</f>
        <v/>
      </c>
      <c r="BZ32" s="106" t="str">
        <f aca="false">IF(    OR(   AND($C32=10000000,    $A$17&lt;=BZ$19,      ($A$17+$DI$17)&gt;BZ$19    ),   AND($C32&lt;&gt;10000000,  BZ$19&gt;=$DX32,    BZ$19&lt;=($DY32+$DI$17)  ))   ,$DW32,  "")</f>
        <v/>
      </c>
      <c r="CA32" s="106" t="str">
        <f aca="false">IF(    OR(   AND($C32=10000000,    $A$17&lt;=CA$19,      ($A$17+$DI$17)&gt;CA$19    ),   AND($C32&lt;&gt;10000000,  CA$19&gt;=$DX32,    CA$19&lt;=($DY32+$DI$17)  ))   ,$DW32,  "")</f>
        <v/>
      </c>
      <c r="CB32" s="106" t="str">
        <f aca="false">IF(    OR(   AND($C32=10000000,    $A$17&lt;=CB$19,      ($A$17+$DI$17)&gt;CB$19    ),   AND($C32&lt;&gt;10000000,  CB$19&gt;=$DX32,    CB$19&lt;=($DY32+$DI$17)  ))   ,$DW32,  "")</f>
        <v/>
      </c>
      <c r="CC32" s="106" t="str">
        <f aca="false">IF(    OR(   AND($C32=10000000,    $A$17&lt;=CC$19,      ($A$17+$DI$17)&gt;CC$19    ),   AND($C32&lt;&gt;10000000,  CC$19&gt;=$DX32,    CC$19&lt;=($DY32+$DI$17)  ))   ,$DW32,  "")</f>
        <v/>
      </c>
      <c r="CD32" s="106" t="str">
        <f aca="false">IF(    OR(   AND($C32=10000000,    $A$17&lt;=CD$19,      ($A$17+$DI$17)&gt;CD$19    ),   AND($C32&lt;&gt;10000000,  CD$19&gt;=$DX32,    CD$19&lt;=($DY32+$DI$17)  ))   ,$DW32,  "")</f>
        <v/>
      </c>
      <c r="CE32" s="106" t="str">
        <f aca="false">IF(    OR(   AND($C32=10000000,    $A$17&lt;=CE$19,      ($A$17+$DI$17)&gt;CE$19    ),   AND($C32&lt;&gt;10000000,  CE$19&gt;=$DX32,    CE$19&lt;=($DY32+$DI$17)  ))   ,$DW32,  "")</f>
        <v/>
      </c>
      <c r="CF32" s="106" t="str">
        <f aca="false">IF(    OR(   AND($C32=10000000,    $A$17&lt;=CF$19,      ($A$17+$DI$17)&gt;CF$19    ),   AND($C32&lt;&gt;10000000,  CF$19&gt;=$DX32,    CF$19&lt;=($DY32+$DI$17)  ))   ,$DW32,  "")</f>
        <v/>
      </c>
      <c r="CG32" s="106" t="str">
        <f aca="false">IF(    OR(   AND($C32=10000000,    $A$17&lt;=CG$19,      ($A$17+$DI$17)&gt;CG$19    ),   AND($C32&lt;&gt;10000000,  CG$19&gt;=$DX32,    CG$19&lt;=($DY32+$DI$17)  ))   ,$DW32,  "")</f>
        <v/>
      </c>
      <c r="CH32" s="106" t="str">
        <f aca="false">IF(    OR(   AND($C32=10000000,    $A$17&lt;=CH$19,      ($A$17+$DI$17)&gt;CH$19    ),   AND($C32&lt;&gt;10000000,  CH$19&gt;=$DX32,    CH$19&lt;=($DY32+$DI$17)  ))   ,$DW32,  "")</f>
        <v/>
      </c>
      <c r="CI32" s="106" t="str">
        <f aca="false">IF(    OR(   AND($C32=10000000,    $A$17&lt;=CI$19,      ($A$17+$DI$17)&gt;CI$19    ),   AND($C32&lt;&gt;10000000,  CI$19&gt;=$DX32,    CI$19&lt;=($DY32+$DI$17)  ))   ,$DW32,  "")</f>
        <v/>
      </c>
      <c r="CJ32" s="106" t="str">
        <f aca="false">IF(    OR(   AND($C32=10000000,    $A$17&lt;=CJ$19,      ($A$17+$DI$17)&gt;CJ$19    ),   AND($C32&lt;&gt;10000000,  CJ$19&gt;=$DX32,    CJ$19&lt;=($DY32+$DI$17)  ))   ,$DW32,  "")</f>
        <v/>
      </c>
      <c r="CK32" s="106" t="str">
        <f aca="false">IF(    OR(   AND($C32=10000000,    $A$17&lt;=CK$19,      ($A$17+$DI$17)&gt;CK$19    ),   AND($C32&lt;&gt;10000000,  CK$19&gt;=$DX32,    CK$19&lt;=($DY32+$DI$17)  ))   ,$DW32,  "")</f>
        <v/>
      </c>
      <c r="CL32" s="106" t="str">
        <f aca="false">IF(    OR(   AND($C32=10000000,    $A$17&lt;=CL$19,      ($A$17+$DI$17)&gt;CL$19    ),   AND($C32&lt;&gt;10000000,  CL$19&gt;=$DX32,    CL$19&lt;=($DY32+$DI$17)  ))   ,$DW32,  "")</f>
        <v/>
      </c>
      <c r="CM32" s="106" t="str">
        <f aca="false">IF(    OR(   AND($C32=10000000,    $A$17&lt;=CM$19,      ($A$17+$DI$17)&gt;CM$19    ),   AND($C32&lt;&gt;10000000,  CM$19&gt;=$DX32,    CM$19&lt;=($DY32+$DI$17)  ))   ,$DW32,  "")</f>
        <v/>
      </c>
      <c r="CN32" s="106" t="str">
        <f aca="false">IF(    OR(   AND($C32=10000000,    $A$17&lt;=CN$19,      ($A$17+$DI$17)&gt;CN$19    ),   AND($C32&lt;&gt;10000000,  CN$19&gt;=$DX32,    CN$19&lt;=($DY32+$DI$17)  ))   ,$DW32,  "")</f>
        <v/>
      </c>
      <c r="CO32" s="106" t="str">
        <f aca="false">IF(    OR(   AND($C32=10000000,    $A$17&lt;=CO$19,      ($A$17+$DI$17)&gt;CO$19    ),   AND($C32&lt;&gt;10000000,  CO$19&gt;=$DX32,    CO$19&lt;=($DY32+$DI$17)  ))   ,$DW32,  "")</f>
        <v/>
      </c>
      <c r="CP32" s="106" t="str">
        <f aca="false">IF(    OR(   AND($C32=10000000,    $A$17&lt;=CP$19,      ($A$17+$DI$17)&gt;CP$19    ),   AND($C32&lt;&gt;10000000,  CP$19&gt;=$DX32,    CP$19&lt;=($DY32+$DI$17)  ))   ,$DW32,  "")</f>
        <v/>
      </c>
      <c r="CQ32" s="106" t="str">
        <f aca="false">IF(    OR(   AND($C32=10000000,    $A$17&lt;=CQ$19,      ($A$17+$DI$17)&gt;CQ$19    ),   AND($C32&lt;&gt;10000000,  CQ$19&gt;=$DX32,    CQ$19&lt;=($DY32+$DI$17)  ))   ,$DW32,  "")</f>
        <v/>
      </c>
      <c r="CR32" s="106" t="str">
        <f aca="false">IF(    OR(   AND($C32=10000000,    $A$17&lt;=CR$19,      ($A$17+$DI$17)&gt;CR$19    ),   AND($C32&lt;&gt;10000000,  CR$19&gt;=$DX32,    CR$19&lt;=($DY32+$DI$17)  ))   ,$DW32,  "")</f>
        <v/>
      </c>
      <c r="CS32" s="106" t="str">
        <f aca="false">IF(    OR(   AND($C32=10000000,    $A$17&lt;=CS$19,      ($A$17+$DI$17)&gt;CS$19    ),   AND($C32&lt;&gt;10000000,  CS$19&gt;=$DX32,    CS$19&lt;=($DY32+$DI$17)  ))   ,$DW32,  "")</f>
        <v/>
      </c>
      <c r="CT32" s="106" t="str">
        <f aca="false">IF(    OR(   AND($C32=10000000,    $A$17&lt;=CT$19,      ($A$17+$DI$17)&gt;CT$19    ),   AND($C32&lt;&gt;10000000,  CT$19&gt;=$DX32,    CT$19&lt;=($DY32+$DI$17)  ))   ,$DW32,  "")</f>
        <v/>
      </c>
      <c r="CU32" s="106" t="str">
        <f aca="false">IF(    OR(   AND($C32=10000000,    $A$17&lt;=CU$19,      ($A$17+$DI$17)&gt;CU$19    ),   AND($C32&lt;&gt;10000000,  CU$19&gt;=$DX32,    CU$19&lt;=($DY32+$DI$17)  ))   ,$DW32,  "")</f>
        <v/>
      </c>
      <c r="CV32" s="106" t="str">
        <f aca="false">IF(    OR(   AND($C32=10000000,    $A$17&lt;=CV$19,      ($A$17+$DI$17)&gt;CV$19    ),   AND($C32&lt;&gt;10000000,  CV$19&gt;=$DX32,    CV$19&lt;=($DY32+$DI$17)  ))   ,$DW32,  "")</f>
        <v/>
      </c>
      <c r="CW32" s="106" t="str">
        <f aca="false">IF(    OR(   AND($C32=10000000,    $A$17&lt;=CW$19,      ($A$17+$DI$17)&gt;CW$19    ),   AND($C32&lt;&gt;10000000,  CW$19&gt;=$DX32,    CW$19&lt;=($DY32+$DI$17)  ))   ,$DW32,  "")</f>
        <v/>
      </c>
      <c r="CX32" s="106" t="str">
        <f aca="false">IF(    OR(   AND($C32=10000000,    $A$17&lt;=CX$19,      ($A$17+$DI$17)&gt;CX$19    ),   AND($C32&lt;&gt;10000000,  CX$19&gt;=$DX32,    CX$19&lt;=($DY32+$DI$17)  ))   ,$DW32,  "")</f>
        <v/>
      </c>
      <c r="CY32" s="106" t="str">
        <f aca="false">IF(    OR(   AND($C32=10000000,    $A$17&lt;=CY$19,      ($A$17+$DI$17)&gt;CY$19    ),   AND($C32&lt;&gt;10000000,  CY$19&gt;=$DX32,    CY$19&lt;=($DY32+$DI$17)  ))   ,$DW32,  "")</f>
        <v/>
      </c>
      <c r="CZ32" s="106" t="str">
        <f aca="false">IF(    OR(   AND($C32=10000000,    $A$17&lt;=CZ$19,      ($A$17+$DI$17)&gt;CZ$19    ),   AND($C32&lt;&gt;10000000,  CZ$19&gt;=$DX32,    CZ$19&lt;=($DY32+$DI$17)  ))   ,$DW32,  "")</f>
        <v/>
      </c>
      <c r="DA32" s="106" t="str">
        <f aca="false">IF(    OR(   AND($C32=10000000,    $A$17&lt;=DA$19,      ($A$17+$DI$17)&gt;DA$19    ),   AND($C32&lt;&gt;10000000,  DA$19&gt;=$DX32,    DA$19&lt;=($DY32+$DI$17)  ))   ,$DW32,  "")</f>
        <v/>
      </c>
      <c r="DB32" s="106" t="str">
        <f aca="false">IF(    OR(   AND($C32=10000000,    $A$17&lt;=DB$19,      ($A$17+$DI$17)&gt;DB$19    ),   AND($C32&lt;&gt;10000000,  DB$19&gt;=$DX32,    DB$19&lt;=($DY32+$DI$17)  ))   ,$DW32,  "")</f>
        <v/>
      </c>
      <c r="DC32" s="106" t="str">
        <f aca="false">IF(    OR(   AND($C32=10000000,    $A$17&lt;=DC$19,      ($A$17+$DI$17)&gt;DC$19    ),   AND($C32&lt;&gt;10000000,  DC$19&gt;=$DX32,    DC$19&lt;=($DY32+$DI$17)  ))   ,$DW32,  "")</f>
        <v/>
      </c>
      <c r="DD32" s="106" t="str">
        <f aca="false">IF(    OR(   AND($C32=10000000,    $A$17&lt;=DD$19,      ($A$17+$DI$17)&gt;DD$19    ),   AND($C32&lt;&gt;10000000,  DD$19&gt;=$DX32,    DD$19&lt;=($DY32+$DI$17)  ))   ,$DW32,  "")</f>
        <v/>
      </c>
      <c r="DE32" s="106" t="str">
        <f aca="false">IF(    OR(   AND($C32=10000000,    $A$17&lt;=DE$19,      ($A$17+$DI$17)&gt;DE$19    ),   AND($C32&lt;&gt;10000000,  DE$19&gt;=$DX32,    DE$19&lt;=($DY32+$DI$17)  ))   ,$DW32,  "")</f>
        <v/>
      </c>
      <c r="DF32" s="106" t="str">
        <f aca="false">IF(    OR(   AND($C32=10000000,    $A$17&lt;=DF$19,      ($A$17+$DI$17)&gt;DF$19    ),   AND($C32&lt;&gt;10000000,  DF$19&gt;=$DX32,    DF$19&lt;=($DY32+$DI$17)  ))   ,$DW32,  "")</f>
        <v/>
      </c>
      <c r="DG32" s="106" t="str">
        <f aca="false">IF(    OR(   AND($C32=10000000,    $A$17&lt;=DG$19,      ($A$17+$DI$17)&gt;DG$19    ),   AND($C32&lt;&gt;10000000,  DG$19&gt;=$DX32,    DG$19&lt;=($DY32+$DI$17)  ))   ,$DW32,  "")</f>
        <v/>
      </c>
      <c r="DH32" s="106" t="str">
        <f aca="false">IF(    OR(   AND($C32=10000000,    $A$17&lt;=DH$19,      ($A$17+$DI$17)&gt;DH$19    ),   AND($C32&lt;&gt;10000000,  DH$19&gt;=$DX32,    DH$19&lt;=($DY32+$DI$17)  ))   ,$DW32,  "")</f>
        <v/>
      </c>
      <c r="DI32" s="106" t="str">
        <f aca="false">IF(    OR(   AND($C32=10000000,    $A$17&lt;=DI$19,      ($A$17+$DI$17)&gt;DI$19    ),   AND($C32&lt;&gt;10000000,  DI$19&gt;=$DX32,    DI$19&lt;=($DY32+$DI$17)  ))   ,$DW32,  "")</f>
        <v/>
      </c>
      <c r="DJ32" s="74" t="str">
        <f aca="false">IF(BC32="","",IF(ISERROR(FIND(CHAR(10),BC32,1)),BC32,LEFT(BC32,FIND(CHAR(10),BC32,1))))</f>
        <v/>
      </c>
      <c r="DK32" s="61" t="str">
        <f aca="false">IF(BC32="","",IFERROR(RIGHT(BC32,LEN(BC32)-FIND("@@@",SUBSTITUTE(BC32,CHAR(10),"@@@",LEN(BC32)-LEN(SUBSTITUTE(BC32,CHAR(10),""))),1)),BC32))</f>
        <v/>
      </c>
      <c r="DL32" s="61" t="str">
        <f aca="false">IF(BD32="","",IFERROR(RIGHT(BD32,LEN(BD32)-FIND("@@@",SUBSTITUTE(BD32,CHAR(10),"@@@",LEN(BD32)-LEN(SUBSTITUTE(BD32,CHAR(10),""))),1)),BD32))</f>
        <v/>
      </c>
      <c r="DM32" s="107" t="str">
        <f aca="false">IFERROR(DATE(("20"&amp;MID(DJ32,7,2))*1,MID(DJ32,4,2)*1,MID(DJ32,1,2)*1),"none")</f>
        <v>none</v>
      </c>
      <c r="DN32" s="107" t="str">
        <f aca="false">IFERROR(DATE(("20"&amp;MID(DK32,7,2))*1,MID(DK32,4,2)*1,MID(DK32,1,2)*1),"none")</f>
        <v>none</v>
      </c>
      <c r="DO32" s="107" t="n">
        <f aca="false">IF(DM32&lt;&gt;"none",DM32,DATE(1900,1,1))</f>
        <v>2</v>
      </c>
      <c r="DP32" s="107" t="n">
        <f aca="false">IF(DN32&lt;&gt;"none",DN32,DO32)</f>
        <v>2</v>
      </c>
      <c r="DQ32" s="108" t="n">
        <f aca="false">_xlfn.DAYS($A$17,DO32)</f>
        <v>46319</v>
      </c>
      <c r="DR32" s="108" t="n">
        <f aca="false">_xlfn.DAYS($A$17, DP32)</f>
        <v>46319</v>
      </c>
      <c r="DS32" s="60" t="n">
        <f aca="false">IF(DP32&lt;&gt;"",INT(DR32/7),0)</f>
        <v>6617</v>
      </c>
      <c r="DT32" s="108" t="n">
        <f aca="false">IF(N32="Overdue",_xlfn.DAYS($A$17,AM32),0)</f>
        <v>0</v>
      </c>
      <c r="DU32" s="108" t="n">
        <f aca="false">IF(AI32="Project",_xlfn.DAYS(AM32,$A$17),0)</f>
        <v>0</v>
      </c>
      <c r="DV32" s="60" t="str">
        <f aca="false">IFERROR(INDEX(Static!$D$5:$E$13,MATCH(AI32,Static!$D$5:$D$13,0),2),"")</f>
        <v/>
      </c>
      <c r="DW32" s="60" t="str">
        <f aca="false">IF(C32=10000000,"Red",IF(OR(C32=11000000,C32=12000000),"Black",IF(C32=11100000,"Dark",IF(AND(C32=12100000,N32="Completed"),"Green",IF(AND(C32=12100000,N32="Overdue"),"Red",IF(C32=12100000,"Dark",IF(AND(C32=12110000,N32="Overdue"),"LightRed",IF(AND(C32=12110000,N32="Completed"),"LightGreen",IF(OR(C32=11110000,C32=12110000),"Light",IF(AND(C32=12111000,N32="Overdue"),"SoftRed",IF(AND(C32=12111000,N32="Completed"),"SoftGreen",IF(OR(C32=11111000,C32=12111000),"Grey",""))))))))))))</f>
        <v/>
      </c>
      <c r="DX32" s="58" t="n">
        <f aca="false">IF(AL32&lt;&gt;"",AL32,$BJ$19)</f>
        <v>45658</v>
      </c>
      <c r="DY32" s="58" t="n">
        <f aca="false">IF(AM32&lt;&gt;"",AM32,$DI$19)</f>
        <v>46387</v>
      </c>
      <c r="DZ32" s="62" t="s">
        <v>364</v>
      </c>
    </row>
    <row r="33" customFormat="false" ht="14.15" hidden="false" customHeight="true" outlineLevel="0" collapsed="false">
      <c r="A33" s="54"/>
      <c r="B33" s="61" t="n">
        <f aca="false">AI33</f>
        <v>0</v>
      </c>
      <c r="C33" s="60" t="n">
        <f aca="false">IFERROR(INDEX(Static!$D$5:$F$13,MATCH(AI33,Static!$D$5:$D$13,0),3),90000000)</f>
        <v>90000000</v>
      </c>
      <c r="D33" s="60" t="str">
        <f aca="false">MID(C33,2,1)</f>
        <v>0</v>
      </c>
      <c r="E33" s="61" t="str">
        <f aca="false">AC33</f>
        <v/>
      </c>
      <c r="F33" s="60" t="n">
        <f aca="false">IF(B33="Venture",0,IF(OR(B33="Project",B33="Stream",B33="Action"),AL33,0))</f>
        <v>0</v>
      </c>
      <c r="G33" s="60" t="n">
        <f aca="false">AT33</f>
        <v>0</v>
      </c>
      <c r="H33" s="60" t="n">
        <f aca="false">IF(B33="Venture",0,IFERROR(INDEX($E$20:$F$55,MATCH(G33,$E$20:$E$55,0),2),0))</f>
        <v>0</v>
      </c>
      <c r="I33" s="60" t="str">
        <f aca="false">IF(B33="Venture",0,IFERROR(INDEX($E$20:$G$55,MATCH(G33,$E$20:$E$55,0),3),""))</f>
        <v/>
      </c>
      <c r="J33" s="60" t="n">
        <f aca="false">IF(B33="Venture",0,IFERROR(INDEX($E$20:$H$55,MATCH(G33,$E$20:$E$55,0),4),0))</f>
        <v>0</v>
      </c>
      <c r="K33" s="60" t="n">
        <f aca="false">IF(B33="Venture",0,IFERROR(INDEX($E$20:$G$55,MATCH(I33,$E$20:$E$55,0),3),""))</f>
        <v>0</v>
      </c>
      <c r="L33" s="60" t="n">
        <f aca="false">IF(C33="Venture",0,IFERROR(INDEX($E$20:$G$55,MATCH(J33,$E$20:$E$55,0),4),0))</f>
        <v>0</v>
      </c>
      <c r="M33" s="60" t="str">
        <f aca="false">IF(N33="Completed","Completed","Ongoing")</f>
        <v>Ongoing</v>
      </c>
      <c r="N33" s="60" t="n">
        <f aca="false">IF(OR(AI33="Venture",AI33="Routine",AI33="Run Goal", AI33="Chg Goal", AI33=""),AI33,IF(AO33&lt;&gt;"","Completed",IF(AN33&lt;&gt;"","Pending",IF(AND(AM33&lt;&gt;"",$A$17&gt;AM33),"Overdue",IF($A$17&gt;AL33,"Started","Open")))))</f>
        <v>0</v>
      </c>
      <c r="O33" s="59" t="n">
        <f aca="false">((LEN($BD33)-LEN(SUBSTITUTE($BD33,CHAR(10)&amp;". ","")))/3)+IF(LEFT(TRIM($BD33),2)=". ",1,0)</f>
        <v>0</v>
      </c>
      <c r="P33" s="59" t="n">
        <f aca="false">((LEN($BD33)-LEN(SUBSTITUTE($BD33,CHAR(10)&amp;"/ ","")))/3)+IF(LEFT(TRIM($BD33),2)="/ ",1,0)</f>
        <v>0</v>
      </c>
      <c r="Q33" s="59" t="n">
        <f aca="false">((LEN($BD33)-LEN(SUBSTITUTE($BD33,CHAR(10)&amp;"~ ","")))/3)+IF(LEFT(TRIM($BD33),2)="~ ",1,0)</f>
        <v>0</v>
      </c>
      <c r="R33" s="59" t="n">
        <f aca="false">((LEN($BD33)-LEN(SUBSTITUTE($BD33,CHAR(10)&amp;"! ","")))/3)+IF(LEFT(TRIM($BD33),2)="! ",1,0)</f>
        <v>0</v>
      </c>
      <c r="S33" s="59" t="n">
        <f aca="false">((LEN($BD33)-LEN(SUBSTITUTE($BD33,CHAR(10)&amp;"x ","")))/3)+IF(LEFT(TRIM($BD33),2)="x ",1,0)</f>
        <v>0</v>
      </c>
      <c r="T33" s="59" t="n">
        <f aca="false">SUM(O33:S33)</f>
        <v>0</v>
      </c>
      <c r="U33" s="60" t="n">
        <f aca="false">IF(OR($B33="Drill",$B33="Action"),$AP33,0)</f>
        <v>0</v>
      </c>
      <c r="V33" s="60" t="n">
        <f aca="false">IF(OR($B33="Sub",$B33="Stream"),$AP33+SUMIFS($AP$20:$AP$55,$G$20:$G$55,$E33),0)</f>
        <v>0</v>
      </c>
      <c r="W33" s="60" t="n">
        <f aca="false">IF(OR($B33="Routine",$B33="Project"),$AP33+SUMIFS($V$20:$V$55,$G$20:$G$55,$E33),0)</f>
        <v>0</v>
      </c>
      <c r="X33" s="60" t="n">
        <f aca="false">IF($B33="Venture",$AP33+SUMIFS($W$20:$W$55,$G$20:$G$55,$E33),0)</f>
        <v>0</v>
      </c>
      <c r="Y33" s="60" t="n">
        <f aca="false">IF(OR($B33="Drill",$B33="Action"),$AQ33,0)</f>
        <v>0</v>
      </c>
      <c r="Z33" s="60" t="n">
        <f aca="false">IF(OR($B33="Sub",$B33="Stream"),$AQ33+SUMIFS($AQ$20:$AQ$55,$G$20:$G$55,$E33),0)</f>
        <v>0</v>
      </c>
      <c r="AA33" s="60" t="n">
        <f aca="false">IF(OR($B33="Routine",$B33="Project"),$AQ33+SUMIFS($Z$20:$Z$55,$G$20:$G$55,$E33),0)</f>
        <v>0</v>
      </c>
      <c r="AB33" s="60" t="n">
        <f aca="false">IF($B33="Venture",$AQ33+SUMIFS($AA$20:$AA$55,$G$20:$G$55,$E33),0)</f>
        <v>0</v>
      </c>
      <c r="AC33" s="60" t="str">
        <f aca="false">IF(AI33="Venture",AJ33,AI33&amp;AJ33)</f>
        <v/>
      </c>
      <c r="AD33" s="61" t="str">
        <f aca="false">"  -  "&amp;IF(E33="","ZZZ",D33&amp;AF33&amp;IF(OR(B33="Run Goal",B33="Chg Goal", B33="Venture"),F33&amp;E33,IF(OR(B33="Routine",B33="Project"),H33&amp;G33&amp;F33&amp;E33,  IF(OR(B33="Sub",B33="Stream"),J33&amp;I33&amp;H33&amp;G33&amp;F33&amp;E33,IF(OR(B33="Drill",B33="Action"),L33&amp;K33&amp;J33&amp;I33&amp;H33&amp;G33&amp;F33&amp;E33,     "") )    )))</f>
        <v>  -  ZZZ</v>
      </c>
      <c r="AE33" s="60" t="str">
        <f aca="false">IF(AND(AN33="",AO33=""),"Y","N")</f>
        <v>Y</v>
      </c>
      <c r="AF33" s="99" t="str">
        <f aca="false">IF(OR(AG33="Y",AG33="Y"),AG33,IF(DN33="none","N",IF(DN33&gt;($A$17-WEEKDAY($A$17,2)-(7*$AF$18)),"Y","N")))</f>
        <v>N</v>
      </c>
      <c r="AG33" s="100"/>
      <c r="AH33" s="101"/>
      <c r="AI33" s="62"/>
      <c r="AJ33" s="64"/>
      <c r="AK33" s="64"/>
      <c r="AL33" s="70"/>
      <c r="AM33" s="70"/>
      <c r="AN33" s="70"/>
      <c r="AO33" s="70"/>
      <c r="AP33" s="102"/>
      <c r="AQ33" s="102"/>
      <c r="AR33" s="62"/>
      <c r="AS33" s="62"/>
      <c r="AT33" s="62"/>
      <c r="AU33" s="62"/>
      <c r="AV33" s="62"/>
      <c r="AW33" s="62"/>
      <c r="AX33" s="62"/>
      <c r="AY33" s="62"/>
      <c r="AZ33" s="62"/>
      <c r="BA33" s="62"/>
      <c r="BB33" s="54"/>
      <c r="BC33" s="103"/>
      <c r="BD33" s="54"/>
      <c r="BE33" s="60" t="n">
        <f aca="false">SUM(O33:R33)</f>
        <v>0</v>
      </c>
      <c r="BF33" s="66" t="n">
        <f aca="false">IF(AJ33="",1,IF(T33&lt;&gt;0,(P33*0.5+S33)/T33,1))</f>
        <v>1</v>
      </c>
      <c r="BG33" s="69" t="str">
        <f aca="false">IF(AI33="","",IF(AI33="Venture",X33,IF(OR(AI33="Chg Goal",AI33="RUn Goal"),W33,IF(OR(AI33="ROutine",AI33="Project"),W33,IF(OR(AI33="Sub",AI33="Stream"),V33,IF(OR(AI33="Drill",AI33="Action"),U33,0))))))</f>
        <v/>
      </c>
      <c r="BH33" s="69" t="str">
        <f aca="false">IF(AI33="","",IF(AI33="Venture",AB33,IF(OR(AI33="Chg Goal",AI33="RUn Goal"),AA33,IF(OR(AI33="ROutine",AI33="Project"),AA33,IF(OR(AI33="Sub",AI33="Stream"),Z33,IF(OR(AI33="Drill",AI33="Action"),Y33,0))))))</f>
        <v/>
      </c>
      <c r="BI33" s="104" t="str">
        <f aca="false">IF(AJ33="","",IF(OR(BG33=0, BG33=""),0,BH33/BG33))</f>
        <v/>
      </c>
      <c r="BJ33" s="105" t="str">
        <f aca="false">IF(    OR(   AND($C33=10000000,    BJ$19&gt;=$A$17,      BJ$19 &lt;($A$17+$DI$17)   ),   AND($C33&lt;&gt;10000000,  BJ$19&gt;=$DX33,    BJ$19&lt;=($DY33+$DI$17)  ))   ,$DW33,  "")</f>
        <v/>
      </c>
      <c r="BK33" s="106" t="str">
        <f aca="false">IF(    OR(   AND($C33=10000000,    $A$17&lt;=BK$19,      ($A$17+$DI$17)&gt;BK$19    ),   AND($C33&lt;&gt;10000000,  BK$19&gt;=$DX33,    BK$19&lt;=($DY33+$DI$17)  ))   ,$DW33,  "")</f>
        <v/>
      </c>
      <c r="BL33" s="106" t="str">
        <f aca="false">IF(    OR(   AND($C33=10000000,    $A$17&lt;=BL$19,      ($A$17+$DI$17)&gt;BL$19    ),   AND($C33&lt;&gt;10000000,  BL$19&gt;=$DX33,    BL$19&lt;=($DY33+$DI$17)  ))   ,$DW33,  "")</f>
        <v/>
      </c>
      <c r="BM33" s="106" t="str">
        <f aca="false">IF(    OR(   AND($C33=10000000,    $A$17&lt;=BM$19,      ($A$17+$DI$17)&gt;BM$19    ),   AND($C33&lt;&gt;10000000,  BM$19&gt;=$DX33,    BM$19&lt;=($DY33+$DI$17)  ))   ,$DW33,  "")</f>
        <v/>
      </c>
      <c r="BN33" s="106" t="str">
        <f aca="false">IF(    OR(   AND($C33=10000000,    $A$17&lt;=BN$19,      ($A$17+$DI$17)&gt;BN$19    ),   AND($C33&lt;&gt;10000000,  BN$19&gt;=$DX33,    BN$19&lt;=($DY33+$DI$17)  ))   ,$DW33,  "")</f>
        <v/>
      </c>
      <c r="BO33" s="106" t="str">
        <f aca="false">IF(    OR(   AND($C33=10000000,    $A$17&lt;=BO$19,      ($A$17+$DI$17)&gt;BO$19    ),   AND($C33&lt;&gt;10000000,  BO$19&gt;=$DX33,    BO$19&lt;=($DY33+$DI$17)  ))   ,$DW33,  "")</f>
        <v/>
      </c>
      <c r="BP33" s="106" t="str">
        <f aca="false">IF(    OR(   AND($C33=10000000,    $A$17&lt;=BP$19,      ($A$17+$DI$17)&gt;BP$19    ),   AND($C33&lt;&gt;10000000,  BP$19&gt;=$DX33,    BP$19&lt;=($DY33+$DI$17)  ))   ,$DW33,  "")</f>
        <v/>
      </c>
      <c r="BQ33" s="106" t="str">
        <f aca="false">IF(    OR(   AND($C33=10000000,    $A$17&lt;=BQ$19,      ($A$17+$DI$17)&gt;BQ$19    ),   AND($C33&lt;&gt;10000000,  BQ$19&gt;=$DX33,    BQ$19&lt;=($DY33+$DI$17)  ))   ,$DW33,  "")</f>
        <v/>
      </c>
      <c r="BR33" s="106" t="str">
        <f aca="false">IF(    OR(   AND($C33=10000000,    $A$17&lt;=BR$19,      ($A$17+$DI$17)&gt;BR$19    ),   AND($C33&lt;&gt;10000000,  BR$19&gt;=$DX33,    BR$19&lt;=($DY33+$DI$17)  ))   ,$DW33,  "")</f>
        <v/>
      </c>
      <c r="BS33" s="106" t="str">
        <f aca="false">IF(    OR(   AND($C33=10000000,    $A$17&lt;=BS$19,      ($A$17+$DI$17)&gt;BS$19    ),   AND($C33&lt;&gt;10000000,  BS$19&gt;=$DX33,    BS$19&lt;=($DY33+$DI$17)  ))   ,$DW33,  "")</f>
        <v/>
      </c>
      <c r="BT33" s="106" t="str">
        <f aca="false">IF(    OR(   AND($C33=10000000,    $A$17&lt;=BT$19,      ($A$17+$DI$17)&gt;BT$19    ),   AND($C33&lt;&gt;10000000,  BT$19&gt;=$DX33,    BT$19&lt;=($DY33+$DI$17)  ))   ,$DW33,  "")</f>
        <v/>
      </c>
      <c r="BU33" s="106" t="str">
        <f aca="false">IF(    OR(   AND($C33=10000000,    $A$17&lt;=BU$19,      ($A$17+$DI$17)&gt;BU$19    ),   AND($C33&lt;&gt;10000000,  BU$19&gt;=$DX33,    BU$19&lt;=($DY33+$DI$17)  ))   ,$DW33,  "")</f>
        <v/>
      </c>
      <c r="BV33" s="106" t="str">
        <f aca="false">IF(    OR(   AND($C33=10000000,    $A$17&lt;=BV$19,      ($A$17+$DI$17)&gt;BV$19    ),   AND($C33&lt;&gt;10000000,  BV$19&gt;=$DX33,    BV$19&lt;=($DY33+$DI$17)  ))   ,$DW33,  "")</f>
        <v/>
      </c>
      <c r="BW33" s="106" t="str">
        <f aca="false">IF(    OR(   AND($C33=10000000,    $A$17&lt;=BW$19,      ($A$17+$DI$17)&gt;BW$19    ),   AND($C33&lt;&gt;10000000,  BW$19&gt;=$DX33,    BW$19&lt;=($DY33+$DI$17)  ))   ,$DW33,  "")</f>
        <v/>
      </c>
      <c r="BX33" s="106" t="str">
        <f aca="false">IF(    OR(   AND($C33=10000000,    $A$17&lt;=BX$19,      ($A$17+$DI$17)&gt;BX$19    ),   AND($C33&lt;&gt;10000000,  BX$19&gt;=$DX33,    BX$19&lt;=($DY33+$DI$17)  ))   ,$DW33,  "")</f>
        <v/>
      </c>
      <c r="BY33" s="106" t="str">
        <f aca="false">IF(    OR(   AND($C33=10000000,    $A$17&lt;=BY$19,      ($A$17+$DI$17)&gt;BY$19    ),   AND($C33&lt;&gt;10000000,  BY$19&gt;=$DX33,    BY$19&lt;=($DY33+$DI$17)  ))   ,$DW33,  "")</f>
        <v/>
      </c>
      <c r="BZ33" s="106" t="str">
        <f aca="false">IF(    OR(   AND($C33=10000000,    $A$17&lt;=BZ$19,      ($A$17+$DI$17)&gt;BZ$19    ),   AND($C33&lt;&gt;10000000,  BZ$19&gt;=$DX33,    BZ$19&lt;=($DY33+$DI$17)  ))   ,$DW33,  "")</f>
        <v/>
      </c>
      <c r="CA33" s="106" t="str">
        <f aca="false">IF(    OR(   AND($C33=10000000,    $A$17&lt;=CA$19,      ($A$17+$DI$17)&gt;CA$19    ),   AND($C33&lt;&gt;10000000,  CA$19&gt;=$DX33,    CA$19&lt;=($DY33+$DI$17)  ))   ,$DW33,  "")</f>
        <v/>
      </c>
      <c r="CB33" s="106" t="str">
        <f aca="false">IF(    OR(   AND($C33=10000000,    $A$17&lt;=CB$19,      ($A$17+$DI$17)&gt;CB$19    ),   AND($C33&lt;&gt;10000000,  CB$19&gt;=$DX33,    CB$19&lt;=($DY33+$DI$17)  ))   ,$DW33,  "")</f>
        <v/>
      </c>
      <c r="CC33" s="106" t="str">
        <f aca="false">IF(    OR(   AND($C33=10000000,    $A$17&lt;=CC$19,      ($A$17+$DI$17)&gt;CC$19    ),   AND($C33&lt;&gt;10000000,  CC$19&gt;=$DX33,    CC$19&lt;=($DY33+$DI$17)  ))   ,$DW33,  "")</f>
        <v/>
      </c>
      <c r="CD33" s="106" t="str">
        <f aca="false">IF(    OR(   AND($C33=10000000,    $A$17&lt;=CD$19,      ($A$17+$DI$17)&gt;CD$19    ),   AND($C33&lt;&gt;10000000,  CD$19&gt;=$DX33,    CD$19&lt;=($DY33+$DI$17)  ))   ,$DW33,  "")</f>
        <v/>
      </c>
      <c r="CE33" s="106" t="str">
        <f aca="false">IF(    OR(   AND($C33=10000000,    $A$17&lt;=CE$19,      ($A$17+$DI$17)&gt;CE$19    ),   AND($C33&lt;&gt;10000000,  CE$19&gt;=$DX33,    CE$19&lt;=($DY33+$DI$17)  ))   ,$DW33,  "")</f>
        <v/>
      </c>
      <c r="CF33" s="106" t="str">
        <f aca="false">IF(    OR(   AND($C33=10000000,    $A$17&lt;=CF$19,      ($A$17+$DI$17)&gt;CF$19    ),   AND($C33&lt;&gt;10000000,  CF$19&gt;=$DX33,    CF$19&lt;=($DY33+$DI$17)  ))   ,$DW33,  "")</f>
        <v/>
      </c>
      <c r="CG33" s="106" t="str">
        <f aca="false">IF(    OR(   AND($C33=10000000,    $A$17&lt;=CG$19,      ($A$17+$DI$17)&gt;CG$19    ),   AND($C33&lt;&gt;10000000,  CG$19&gt;=$DX33,    CG$19&lt;=($DY33+$DI$17)  ))   ,$DW33,  "")</f>
        <v/>
      </c>
      <c r="CH33" s="106" t="str">
        <f aca="false">IF(    OR(   AND($C33=10000000,    $A$17&lt;=CH$19,      ($A$17+$DI$17)&gt;CH$19    ),   AND($C33&lt;&gt;10000000,  CH$19&gt;=$DX33,    CH$19&lt;=($DY33+$DI$17)  ))   ,$DW33,  "")</f>
        <v/>
      </c>
      <c r="CI33" s="106" t="str">
        <f aca="false">IF(    OR(   AND($C33=10000000,    $A$17&lt;=CI$19,      ($A$17+$DI$17)&gt;CI$19    ),   AND($C33&lt;&gt;10000000,  CI$19&gt;=$DX33,    CI$19&lt;=($DY33+$DI$17)  ))   ,$DW33,  "")</f>
        <v/>
      </c>
      <c r="CJ33" s="106" t="str">
        <f aca="false">IF(    OR(   AND($C33=10000000,    $A$17&lt;=CJ$19,      ($A$17+$DI$17)&gt;CJ$19    ),   AND($C33&lt;&gt;10000000,  CJ$19&gt;=$DX33,    CJ$19&lt;=($DY33+$DI$17)  ))   ,$DW33,  "")</f>
        <v/>
      </c>
      <c r="CK33" s="106" t="str">
        <f aca="false">IF(    OR(   AND($C33=10000000,    $A$17&lt;=CK$19,      ($A$17+$DI$17)&gt;CK$19    ),   AND($C33&lt;&gt;10000000,  CK$19&gt;=$DX33,    CK$19&lt;=($DY33+$DI$17)  ))   ,$DW33,  "")</f>
        <v/>
      </c>
      <c r="CL33" s="106" t="str">
        <f aca="false">IF(    OR(   AND($C33=10000000,    $A$17&lt;=CL$19,      ($A$17+$DI$17)&gt;CL$19    ),   AND($C33&lt;&gt;10000000,  CL$19&gt;=$DX33,    CL$19&lt;=($DY33+$DI$17)  ))   ,$DW33,  "")</f>
        <v/>
      </c>
      <c r="CM33" s="106" t="str">
        <f aca="false">IF(    OR(   AND($C33=10000000,    $A$17&lt;=CM$19,      ($A$17+$DI$17)&gt;CM$19    ),   AND($C33&lt;&gt;10000000,  CM$19&gt;=$DX33,    CM$19&lt;=($DY33+$DI$17)  ))   ,$DW33,  "")</f>
        <v/>
      </c>
      <c r="CN33" s="106" t="str">
        <f aca="false">IF(    OR(   AND($C33=10000000,    $A$17&lt;=CN$19,      ($A$17+$DI$17)&gt;CN$19    ),   AND($C33&lt;&gt;10000000,  CN$19&gt;=$DX33,    CN$19&lt;=($DY33+$DI$17)  ))   ,$DW33,  "")</f>
        <v/>
      </c>
      <c r="CO33" s="106" t="str">
        <f aca="false">IF(    OR(   AND($C33=10000000,    $A$17&lt;=CO$19,      ($A$17+$DI$17)&gt;CO$19    ),   AND($C33&lt;&gt;10000000,  CO$19&gt;=$DX33,    CO$19&lt;=($DY33+$DI$17)  ))   ,$DW33,  "")</f>
        <v/>
      </c>
      <c r="CP33" s="106" t="str">
        <f aca="false">IF(    OR(   AND($C33=10000000,    $A$17&lt;=CP$19,      ($A$17+$DI$17)&gt;CP$19    ),   AND($C33&lt;&gt;10000000,  CP$19&gt;=$DX33,    CP$19&lt;=($DY33+$DI$17)  ))   ,$DW33,  "")</f>
        <v/>
      </c>
      <c r="CQ33" s="106" t="str">
        <f aca="false">IF(    OR(   AND($C33=10000000,    $A$17&lt;=CQ$19,      ($A$17+$DI$17)&gt;CQ$19    ),   AND($C33&lt;&gt;10000000,  CQ$19&gt;=$DX33,    CQ$19&lt;=($DY33+$DI$17)  ))   ,$DW33,  "")</f>
        <v/>
      </c>
      <c r="CR33" s="106" t="str">
        <f aca="false">IF(    OR(   AND($C33=10000000,    $A$17&lt;=CR$19,      ($A$17+$DI$17)&gt;CR$19    ),   AND($C33&lt;&gt;10000000,  CR$19&gt;=$DX33,    CR$19&lt;=($DY33+$DI$17)  ))   ,$DW33,  "")</f>
        <v/>
      </c>
      <c r="CS33" s="106" t="str">
        <f aca="false">IF(    OR(   AND($C33=10000000,    $A$17&lt;=CS$19,      ($A$17+$DI$17)&gt;CS$19    ),   AND($C33&lt;&gt;10000000,  CS$19&gt;=$DX33,    CS$19&lt;=($DY33+$DI$17)  ))   ,$DW33,  "")</f>
        <v/>
      </c>
      <c r="CT33" s="106" t="str">
        <f aca="false">IF(    OR(   AND($C33=10000000,    $A$17&lt;=CT$19,      ($A$17+$DI$17)&gt;CT$19    ),   AND($C33&lt;&gt;10000000,  CT$19&gt;=$DX33,    CT$19&lt;=($DY33+$DI$17)  ))   ,$DW33,  "")</f>
        <v/>
      </c>
      <c r="CU33" s="106" t="str">
        <f aca="false">IF(    OR(   AND($C33=10000000,    $A$17&lt;=CU$19,      ($A$17+$DI$17)&gt;CU$19    ),   AND($C33&lt;&gt;10000000,  CU$19&gt;=$DX33,    CU$19&lt;=($DY33+$DI$17)  ))   ,$DW33,  "")</f>
        <v/>
      </c>
      <c r="CV33" s="106" t="str">
        <f aca="false">IF(    OR(   AND($C33=10000000,    $A$17&lt;=CV$19,      ($A$17+$DI$17)&gt;CV$19    ),   AND($C33&lt;&gt;10000000,  CV$19&gt;=$DX33,    CV$19&lt;=($DY33+$DI$17)  ))   ,$DW33,  "")</f>
        <v/>
      </c>
      <c r="CW33" s="106" t="str">
        <f aca="false">IF(    OR(   AND($C33=10000000,    $A$17&lt;=CW$19,      ($A$17+$DI$17)&gt;CW$19    ),   AND($C33&lt;&gt;10000000,  CW$19&gt;=$DX33,    CW$19&lt;=($DY33+$DI$17)  ))   ,$DW33,  "")</f>
        <v/>
      </c>
      <c r="CX33" s="106" t="str">
        <f aca="false">IF(    OR(   AND($C33=10000000,    $A$17&lt;=CX$19,      ($A$17+$DI$17)&gt;CX$19    ),   AND($C33&lt;&gt;10000000,  CX$19&gt;=$DX33,    CX$19&lt;=($DY33+$DI$17)  ))   ,$DW33,  "")</f>
        <v/>
      </c>
      <c r="CY33" s="106" t="str">
        <f aca="false">IF(    OR(   AND($C33=10000000,    $A$17&lt;=CY$19,      ($A$17+$DI$17)&gt;CY$19    ),   AND($C33&lt;&gt;10000000,  CY$19&gt;=$DX33,    CY$19&lt;=($DY33+$DI$17)  ))   ,$DW33,  "")</f>
        <v/>
      </c>
      <c r="CZ33" s="106" t="str">
        <f aca="false">IF(    OR(   AND($C33=10000000,    $A$17&lt;=CZ$19,      ($A$17+$DI$17)&gt;CZ$19    ),   AND($C33&lt;&gt;10000000,  CZ$19&gt;=$DX33,    CZ$19&lt;=($DY33+$DI$17)  ))   ,$DW33,  "")</f>
        <v/>
      </c>
      <c r="DA33" s="106" t="str">
        <f aca="false">IF(    OR(   AND($C33=10000000,    $A$17&lt;=DA$19,      ($A$17+$DI$17)&gt;DA$19    ),   AND($C33&lt;&gt;10000000,  DA$19&gt;=$DX33,    DA$19&lt;=($DY33+$DI$17)  ))   ,$DW33,  "")</f>
        <v/>
      </c>
      <c r="DB33" s="106" t="str">
        <f aca="false">IF(    OR(   AND($C33=10000000,    $A$17&lt;=DB$19,      ($A$17+$DI$17)&gt;DB$19    ),   AND($C33&lt;&gt;10000000,  DB$19&gt;=$DX33,    DB$19&lt;=($DY33+$DI$17)  ))   ,$DW33,  "")</f>
        <v/>
      </c>
      <c r="DC33" s="106" t="str">
        <f aca="false">IF(    OR(   AND($C33=10000000,    $A$17&lt;=DC$19,      ($A$17+$DI$17)&gt;DC$19    ),   AND($C33&lt;&gt;10000000,  DC$19&gt;=$DX33,    DC$19&lt;=($DY33+$DI$17)  ))   ,$DW33,  "")</f>
        <v/>
      </c>
      <c r="DD33" s="106" t="str">
        <f aca="false">IF(    OR(   AND($C33=10000000,    $A$17&lt;=DD$19,      ($A$17+$DI$17)&gt;DD$19    ),   AND($C33&lt;&gt;10000000,  DD$19&gt;=$DX33,    DD$19&lt;=($DY33+$DI$17)  ))   ,$DW33,  "")</f>
        <v/>
      </c>
      <c r="DE33" s="106" t="str">
        <f aca="false">IF(    OR(   AND($C33=10000000,    $A$17&lt;=DE$19,      ($A$17+$DI$17)&gt;DE$19    ),   AND($C33&lt;&gt;10000000,  DE$19&gt;=$DX33,    DE$19&lt;=($DY33+$DI$17)  ))   ,$DW33,  "")</f>
        <v/>
      </c>
      <c r="DF33" s="106" t="str">
        <f aca="false">IF(    OR(   AND($C33=10000000,    $A$17&lt;=DF$19,      ($A$17+$DI$17)&gt;DF$19    ),   AND($C33&lt;&gt;10000000,  DF$19&gt;=$DX33,    DF$19&lt;=($DY33+$DI$17)  ))   ,$DW33,  "")</f>
        <v/>
      </c>
      <c r="DG33" s="106" t="str">
        <f aca="false">IF(    OR(   AND($C33=10000000,    $A$17&lt;=DG$19,      ($A$17+$DI$17)&gt;DG$19    ),   AND($C33&lt;&gt;10000000,  DG$19&gt;=$DX33,    DG$19&lt;=($DY33+$DI$17)  ))   ,$DW33,  "")</f>
        <v/>
      </c>
      <c r="DH33" s="106" t="str">
        <f aca="false">IF(    OR(   AND($C33=10000000,    $A$17&lt;=DH$19,      ($A$17+$DI$17)&gt;DH$19    ),   AND($C33&lt;&gt;10000000,  DH$19&gt;=$DX33,    DH$19&lt;=($DY33+$DI$17)  ))   ,$DW33,  "")</f>
        <v/>
      </c>
      <c r="DI33" s="106" t="str">
        <f aca="false">IF(    OR(   AND($C33=10000000,    $A$17&lt;=DI$19,      ($A$17+$DI$17)&gt;DI$19    ),   AND($C33&lt;&gt;10000000,  DI$19&gt;=$DX33,    DI$19&lt;=($DY33+$DI$17)  ))   ,$DW33,  "")</f>
        <v/>
      </c>
      <c r="DJ33" s="74" t="str">
        <f aca="false">IF(BC33="","",IF(ISERROR(FIND(CHAR(10),BC33,1)),BC33,LEFT(BC33,FIND(CHAR(10),BC33,1))))</f>
        <v/>
      </c>
      <c r="DK33" s="61" t="str">
        <f aca="false">IF(BC33="","",IFERROR(RIGHT(BC33,LEN(BC33)-FIND("@@@",SUBSTITUTE(BC33,CHAR(10),"@@@",LEN(BC33)-LEN(SUBSTITUTE(BC33,CHAR(10),""))),1)),BC33))</f>
        <v/>
      </c>
      <c r="DL33" s="61" t="str">
        <f aca="false">IF(BD33="","",IFERROR(RIGHT(BD33,LEN(BD33)-FIND("@@@",SUBSTITUTE(BD33,CHAR(10),"@@@",LEN(BD33)-LEN(SUBSTITUTE(BD33,CHAR(10),""))),1)),BD33))</f>
        <v/>
      </c>
      <c r="DM33" s="107" t="str">
        <f aca="false">IFERROR(DATE(("20"&amp;MID(DJ33,7,2))*1,MID(DJ33,4,2)*1,MID(DJ33,1,2)*1),"none")</f>
        <v>none</v>
      </c>
      <c r="DN33" s="107" t="str">
        <f aca="false">IFERROR(DATE(("20"&amp;MID(DK33,7,2))*1,MID(DK33,4,2)*1,MID(DK33,1,2)*1),"none")</f>
        <v>none</v>
      </c>
      <c r="DO33" s="107" t="n">
        <f aca="false">IF(DM33&lt;&gt;"none",DM33,DATE(1900,1,1))</f>
        <v>2</v>
      </c>
      <c r="DP33" s="107" t="n">
        <f aca="false">IF(DN33&lt;&gt;"none",DN33,DO33)</f>
        <v>2</v>
      </c>
      <c r="DQ33" s="108" t="n">
        <f aca="false">_xlfn.DAYS($A$17,DO33)</f>
        <v>46319</v>
      </c>
      <c r="DR33" s="108" t="n">
        <f aca="false">_xlfn.DAYS($A$17, DP33)</f>
        <v>46319</v>
      </c>
      <c r="DS33" s="60" t="n">
        <f aca="false">IF(DP33&lt;&gt;"",INT(DR33/7),0)</f>
        <v>6617</v>
      </c>
      <c r="DT33" s="108" t="n">
        <f aca="false">IF(N33="Overdue",_xlfn.DAYS($A$17,AM33),0)</f>
        <v>0</v>
      </c>
      <c r="DU33" s="108" t="n">
        <f aca="false">IF(AI33="Project",_xlfn.DAYS(AM33,$A$17),0)</f>
        <v>0</v>
      </c>
      <c r="DV33" s="60" t="str">
        <f aca="false">IFERROR(INDEX(Static!$D$5:$E$13,MATCH(AI33,Static!$D$5:$D$13,0),2),"")</f>
        <v/>
      </c>
      <c r="DW33" s="60" t="str">
        <f aca="false">IF(C33=10000000,"Red",IF(OR(C33=11000000,C33=12000000),"Black",IF(C33=11100000,"Dark",IF(AND(C33=12100000,N33="Completed"),"Green",IF(AND(C33=12100000,N33="Overdue"),"Red",IF(C33=12100000,"Dark",IF(AND(C33=12110000,N33="Overdue"),"LightRed",IF(AND(C33=12110000,N33="Completed"),"LightGreen",IF(OR(C33=11110000,C33=12110000),"Light",IF(AND(C33=12111000,N33="Overdue"),"SoftRed",IF(AND(C33=12111000,N33="Completed"),"SoftGreen",IF(OR(C33=11111000,C33=12111000),"Grey",""))))))))))))</f>
        <v/>
      </c>
      <c r="DX33" s="58" t="n">
        <f aca="false">IF(AL33&lt;&gt;"",AL33,$BJ$19)</f>
        <v>45658</v>
      </c>
      <c r="DY33" s="58" t="n">
        <f aca="false">IF(AM33&lt;&gt;"",AM33,$DI$19)</f>
        <v>46387</v>
      </c>
      <c r="DZ33" s="62" t="s">
        <v>364</v>
      </c>
    </row>
    <row r="34" customFormat="false" ht="14.15" hidden="false" customHeight="true" outlineLevel="0" collapsed="false">
      <c r="A34" s="54"/>
      <c r="B34" s="61" t="n">
        <f aca="false">AI34</f>
        <v>0</v>
      </c>
      <c r="C34" s="60" t="n">
        <f aca="false">IFERROR(INDEX(Static!$D$5:$F$13,MATCH(AI34,Static!$D$5:$D$13,0),3),90000000)</f>
        <v>90000000</v>
      </c>
      <c r="D34" s="60" t="str">
        <f aca="false">MID(C34,2,1)</f>
        <v>0</v>
      </c>
      <c r="E34" s="61" t="str">
        <f aca="false">AC34</f>
        <v/>
      </c>
      <c r="F34" s="60" t="n">
        <f aca="false">IF(B34="Venture",0,IF(OR(B34="Project",B34="Stream",B34="Action"),AL34,0))</f>
        <v>0</v>
      </c>
      <c r="G34" s="60" t="n">
        <f aca="false">AT34</f>
        <v>0</v>
      </c>
      <c r="H34" s="60" t="n">
        <f aca="false">IF(B34="Venture",0,IFERROR(INDEX($E$20:$F$55,MATCH(G34,$E$20:$E$55,0),2),0))</f>
        <v>0</v>
      </c>
      <c r="I34" s="60" t="str">
        <f aca="false">IF(B34="Venture",0,IFERROR(INDEX($E$20:$G$55,MATCH(G34,$E$20:$E$55,0),3),""))</f>
        <v/>
      </c>
      <c r="J34" s="60" t="n">
        <f aca="false">IF(B34="Venture",0,IFERROR(INDEX($E$20:$H$55,MATCH(G34,$E$20:$E$55,0),4),0))</f>
        <v>0</v>
      </c>
      <c r="K34" s="60" t="n">
        <f aca="false">IF(B34="Venture",0,IFERROR(INDEX($E$20:$G$55,MATCH(I34,$E$20:$E$55,0),3),""))</f>
        <v>0</v>
      </c>
      <c r="L34" s="60" t="n">
        <f aca="false">IF(C34="Venture",0,IFERROR(INDEX($E$20:$G$55,MATCH(J34,$E$20:$E$55,0),4),0))</f>
        <v>0</v>
      </c>
      <c r="M34" s="60" t="str">
        <f aca="false">IF(N34="Completed","Completed","Ongoing")</f>
        <v>Ongoing</v>
      </c>
      <c r="N34" s="60" t="n">
        <f aca="false">IF(OR(AI34="Venture",AI34="Routine",AI34="Run Goal", AI34="Chg Goal", AI34=""),AI34,IF(AO34&lt;&gt;"","Completed",IF(AN34&lt;&gt;"","Pending",IF(AND(AM34&lt;&gt;"",$A$17&gt;AM34),"Overdue",IF($A$17&gt;AL34,"Started","Open")))))</f>
        <v>0</v>
      </c>
      <c r="O34" s="59" t="n">
        <f aca="false">((LEN($BD34)-LEN(SUBSTITUTE($BD34,CHAR(10)&amp;". ","")))/3)+IF(LEFT(TRIM($BD34),2)=". ",1,0)</f>
        <v>0</v>
      </c>
      <c r="P34" s="59" t="n">
        <f aca="false">((LEN($BD34)-LEN(SUBSTITUTE($BD34,CHAR(10)&amp;"/ ","")))/3)+IF(LEFT(TRIM($BD34),2)="/ ",1,0)</f>
        <v>0</v>
      </c>
      <c r="Q34" s="59" t="n">
        <f aca="false">((LEN($BD34)-LEN(SUBSTITUTE($BD34,CHAR(10)&amp;"~ ","")))/3)+IF(LEFT(TRIM($BD34),2)="~ ",1,0)</f>
        <v>0</v>
      </c>
      <c r="R34" s="59" t="n">
        <f aca="false">((LEN($BD34)-LEN(SUBSTITUTE($BD34,CHAR(10)&amp;"! ","")))/3)+IF(LEFT(TRIM($BD34),2)="! ",1,0)</f>
        <v>0</v>
      </c>
      <c r="S34" s="59" t="n">
        <f aca="false">((LEN($BD34)-LEN(SUBSTITUTE($BD34,CHAR(10)&amp;"x ","")))/3)+IF(LEFT(TRIM($BD34),2)="x ",1,0)</f>
        <v>0</v>
      </c>
      <c r="T34" s="59" t="n">
        <f aca="false">SUM(O34:S34)</f>
        <v>0</v>
      </c>
      <c r="U34" s="60" t="n">
        <f aca="false">IF(OR($B34="Drill",$B34="Action"),$AP34,0)</f>
        <v>0</v>
      </c>
      <c r="V34" s="60" t="n">
        <f aca="false">IF(OR($B34="Sub",$B34="Stream"),$AP34+SUMIFS($AP$20:$AP$55,$G$20:$G$55,$E34),0)</f>
        <v>0</v>
      </c>
      <c r="W34" s="60" t="n">
        <f aca="false">IF(OR($B34="Routine",$B34="Project"),$AP34+SUMIFS($V$20:$V$55,$G$20:$G$55,$E34),0)</f>
        <v>0</v>
      </c>
      <c r="X34" s="60" t="n">
        <f aca="false">IF($B34="Venture",$AP34+SUMIFS($W$20:$W$55,$G$20:$G$55,$E34),0)</f>
        <v>0</v>
      </c>
      <c r="Y34" s="60" t="n">
        <f aca="false">IF(OR($B34="Drill",$B34="Action"),$AQ34,0)</f>
        <v>0</v>
      </c>
      <c r="Z34" s="60" t="n">
        <f aca="false">IF(OR($B34="Sub",$B34="Stream"),$AQ34+SUMIFS($AQ$20:$AQ$55,$G$20:$G$55,$E34),0)</f>
        <v>0</v>
      </c>
      <c r="AA34" s="60" t="n">
        <f aca="false">IF(OR($B34="Routine",$B34="Project"),$AQ34+SUMIFS($Z$20:$Z$55,$G$20:$G$55,$E34),0)</f>
        <v>0</v>
      </c>
      <c r="AB34" s="60" t="n">
        <f aca="false">IF($B34="Venture",$AQ34+SUMIFS($AA$20:$AA$55,$G$20:$G$55,$E34),0)</f>
        <v>0</v>
      </c>
      <c r="AC34" s="60" t="str">
        <f aca="false">IF(AI34="Venture",AJ34,AI34&amp;AJ34)</f>
        <v/>
      </c>
      <c r="AD34" s="61" t="str">
        <f aca="false">"  -  "&amp;IF(E34="","ZZZ",D34&amp;AF34&amp;IF(OR(B34="Run Goal",B34="Chg Goal", B34="Venture"),F34&amp;E34,IF(OR(B34="Routine",B34="Project"),H34&amp;G34&amp;F34&amp;E34,  IF(OR(B34="Sub",B34="Stream"),J34&amp;I34&amp;H34&amp;G34&amp;F34&amp;E34,IF(OR(B34="Drill",B34="Action"),L34&amp;K34&amp;J34&amp;I34&amp;H34&amp;G34&amp;F34&amp;E34,     "") )    )))</f>
        <v>  -  ZZZ</v>
      </c>
      <c r="AE34" s="60" t="str">
        <f aca="false">IF(AND(AN34="",AO34=""),"Y","N")</f>
        <v>Y</v>
      </c>
      <c r="AF34" s="99" t="str">
        <f aca="false">IF(OR(AG34="Y",AG34="Y"),AG34,IF(DN34="none","N",IF(DN34&gt;($A$17-WEEKDAY($A$17,2)-(7*$AF$18)),"Y","N")))</f>
        <v>N</v>
      </c>
      <c r="AG34" s="100"/>
      <c r="AH34" s="101"/>
      <c r="AI34" s="62"/>
      <c r="AJ34" s="64"/>
      <c r="AK34" s="64"/>
      <c r="AL34" s="70"/>
      <c r="AM34" s="70"/>
      <c r="AN34" s="70"/>
      <c r="AO34" s="70"/>
      <c r="AP34" s="102"/>
      <c r="AQ34" s="102"/>
      <c r="AR34" s="62"/>
      <c r="AS34" s="62"/>
      <c r="AT34" s="62"/>
      <c r="AU34" s="62"/>
      <c r="AV34" s="62"/>
      <c r="AW34" s="62"/>
      <c r="AX34" s="62"/>
      <c r="AY34" s="62"/>
      <c r="AZ34" s="62"/>
      <c r="BA34" s="62"/>
      <c r="BB34" s="54"/>
      <c r="BC34" s="103"/>
      <c r="BD34" s="54"/>
      <c r="BE34" s="60" t="n">
        <f aca="false">SUM(O34:R34)</f>
        <v>0</v>
      </c>
      <c r="BF34" s="66" t="n">
        <f aca="false">IF(AJ34="",1,IF(T34&lt;&gt;0,(P34*0.5+S34)/T34,1))</f>
        <v>1</v>
      </c>
      <c r="BG34" s="69" t="str">
        <f aca="false">IF(AI34="","",IF(AI34="Venture",X34,IF(OR(AI34="Chg Goal",AI34="RUn Goal"),W34,IF(OR(AI34="ROutine",AI34="Project"),W34,IF(OR(AI34="Sub",AI34="Stream"),V34,IF(OR(AI34="Drill",AI34="Action"),U34,0))))))</f>
        <v/>
      </c>
      <c r="BH34" s="69" t="str">
        <f aca="false">IF(AI34="","",IF(AI34="Venture",AB34,IF(OR(AI34="Chg Goal",AI34="RUn Goal"),AA34,IF(OR(AI34="ROutine",AI34="Project"),AA34,IF(OR(AI34="Sub",AI34="Stream"),Z34,IF(OR(AI34="Drill",AI34="Action"),Y34,0))))))</f>
        <v/>
      </c>
      <c r="BI34" s="104" t="str">
        <f aca="false">IF(AJ34="","",IF(OR(BG34=0, BG34=""),0,BH34/BG34))</f>
        <v/>
      </c>
      <c r="BJ34" s="105" t="str">
        <f aca="false">IF(    OR(   AND($C34=10000000,    BJ$19&gt;=$A$17,      BJ$19 &lt;($A$17+$DI$17)   ),   AND($C34&lt;&gt;10000000,  BJ$19&gt;=$DX34,    BJ$19&lt;=($DY34+$DI$17)  ))   ,$DW34,  "")</f>
        <v/>
      </c>
      <c r="BK34" s="106" t="str">
        <f aca="false">IF(    OR(   AND($C34=10000000,    $A$17&lt;=BK$19,      ($A$17+$DI$17)&gt;BK$19    ),   AND($C34&lt;&gt;10000000,  BK$19&gt;=$DX34,    BK$19&lt;=($DY34+$DI$17)  ))   ,$DW34,  "")</f>
        <v/>
      </c>
      <c r="BL34" s="106" t="str">
        <f aca="false">IF(    OR(   AND($C34=10000000,    $A$17&lt;=BL$19,      ($A$17+$DI$17)&gt;BL$19    ),   AND($C34&lt;&gt;10000000,  BL$19&gt;=$DX34,    BL$19&lt;=($DY34+$DI$17)  ))   ,$DW34,  "")</f>
        <v/>
      </c>
      <c r="BM34" s="106" t="str">
        <f aca="false">IF(    OR(   AND($C34=10000000,    $A$17&lt;=BM$19,      ($A$17+$DI$17)&gt;BM$19    ),   AND($C34&lt;&gt;10000000,  BM$19&gt;=$DX34,    BM$19&lt;=($DY34+$DI$17)  ))   ,$DW34,  "")</f>
        <v/>
      </c>
      <c r="BN34" s="106" t="str">
        <f aca="false">IF(    OR(   AND($C34=10000000,    $A$17&lt;=BN$19,      ($A$17+$DI$17)&gt;BN$19    ),   AND($C34&lt;&gt;10000000,  BN$19&gt;=$DX34,    BN$19&lt;=($DY34+$DI$17)  ))   ,$DW34,  "")</f>
        <v/>
      </c>
      <c r="BO34" s="106" t="str">
        <f aca="false">IF(    OR(   AND($C34=10000000,    $A$17&lt;=BO$19,      ($A$17+$DI$17)&gt;BO$19    ),   AND($C34&lt;&gt;10000000,  BO$19&gt;=$DX34,    BO$19&lt;=($DY34+$DI$17)  ))   ,$DW34,  "")</f>
        <v/>
      </c>
      <c r="BP34" s="106" t="str">
        <f aca="false">IF(    OR(   AND($C34=10000000,    $A$17&lt;=BP$19,      ($A$17+$DI$17)&gt;BP$19    ),   AND($C34&lt;&gt;10000000,  BP$19&gt;=$DX34,    BP$19&lt;=($DY34+$DI$17)  ))   ,$DW34,  "")</f>
        <v/>
      </c>
      <c r="BQ34" s="106" t="str">
        <f aca="false">IF(    OR(   AND($C34=10000000,    $A$17&lt;=BQ$19,      ($A$17+$DI$17)&gt;BQ$19    ),   AND($C34&lt;&gt;10000000,  BQ$19&gt;=$DX34,    BQ$19&lt;=($DY34+$DI$17)  ))   ,$DW34,  "")</f>
        <v/>
      </c>
      <c r="BR34" s="106" t="str">
        <f aca="false">IF(    OR(   AND($C34=10000000,    $A$17&lt;=BR$19,      ($A$17+$DI$17)&gt;BR$19    ),   AND($C34&lt;&gt;10000000,  BR$19&gt;=$DX34,    BR$19&lt;=($DY34+$DI$17)  ))   ,$DW34,  "")</f>
        <v/>
      </c>
      <c r="BS34" s="106" t="str">
        <f aca="false">IF(    OR(   AND($C34=10000000,    $A$17&lt;=BS$19,      ($A$17+$DI$17)&gt;BS$19    ),   AND($C34&lt;&gt;10000000,  BS$19&gt;=$DX34,    BS$19&lt;=($DY34+$DI$17)  ))   ,$DW34,  "")</f>
        <v/>
      </c>
      <c r="BT34" s="106" t="str">
        <f aca="false">IF(    OR(   AND($C34=10000000,    $A$17&lt;=BT$19,      ($A$17+$DI$17)&gt;BT$19    ),   AND($C34&lt;&gt;10000000,  BT$19&gt;=$DX34,    BT$19&lt;=($DY34+$DI$17)  ))   ,$DW34,  "")</f>
        <v/>
      </c>
      <c r="BU34" s="106" t="str">
        <f aca="false">IF(    OR(   AND($C34=10000000,    $A$17&lt;=BU$19,      ($A$17+$DI$17)&gt;BU$19    ),   AND($C34&lt;&gt;10000000,  BU$19&gt;=$DX34,    BU$19&lt;=($DY34+$DI$17)  ))   ,$DW34,  "")</f>
        <v/>
      </c>
      <c r="BV34" s="106" t="str">
        <f aca="false">IF(    OR(   AND($C34=10000000,    $A$17&lt;=BV$19,      ($A$17+$DI$17)&gt;BV$19    ),   AND($C34&lt;&gt;10000000,  BV$19&gt;=$DX34,    BV$19&lt;=($DY34+$DI$17)  ))   ,$DW34,  "")</f>
        <v/>
      </c>
      <c r="BW34" s="106" t="str">
        <f aca="false">IF(    OR(   AND($C34=10000000,    $A$17&lt;=BW$19,      ($A$17+$DI$17)&gt;BW$19    ),   AND($C34&lt;&gt;10000000,  BW$19&gt;=$DX34,    BW$19&lt;=($DY34+$DI$17)  ))   ,$DW34,  "")</f>
        <v/>
      </c>
      <c r="BX34" s="106" t="str">
        <f aca="false">IF(    OR(   AND($C34=10000000,    $A$17&lt;=BX$19,      ($A$17+$DI$17)&gt;BX$19    ),   AND($C34&lt;&gt;10000000,  BX$19&gt;=$DX34,    BX$19&lt;=($DY34+$DI$17)  ))   ,$DW34,  "")</f>
        <v/>
      </c>
      <c r="BY34" s="106" t="str">
        <f aca="false">IF(    OR(   AND($C34=10000000,    $A$17&lt;=BY$19,      ($A$17+$DI$17)&gt;BY$19    ),   AND($C34&lt;&gt;10000000,  BY$19&gt;=$DX34,    BY$19&lt;=($DY34+$DI$17)  ))   ,$DW34,  "")</f>
        <v/>
      </c>
      <c r="BZ34" s="106" t="str">
        <f aca="false">IF(    OR(   AND($C34=10000000,    $A$17&lt;=BZ$19,      ($A$17+$DI$17)&gt;BZ$19    ),   AND($C34&lt;&gt;10000000,  BZ$19&gt;=$DX34,    BZ$19&lt;=($DY34+$DI$17)  ))   ,$DW34,  "")</f>
        <v/>
      </c>
      <c r="CA34" s="106" t="str">
        <f aca="false">IF(    OR(   AND($C34=10000000,    $A$17&lt;=CA$19,      ($A$17+$DI$17)&gt;CA$19    ),   AND($C34&lt;&gt;10000000,  CA$19&gt;=$DX34,    CA$19&lt;=($DY34+$DI$17)  ))   ,$DW34,  "")</f>
        <v/>
      </c>
      <c r="CB34" s="106" t="str">
        <f aca="false">IF(    OR(   AND($C34=10000000,    $A$17&lt;=CB$19,      ($A$17+$DI$17)&gt;CB$19    ),   AND($C34&lt;&gt;10000000,  CB$19&gt;=$DX34,    CB$19&lt;=($DY34+$DI$17)  ))   ,$DW34,  "")</f>
        <v/>
      </c>
      <c r="CC34" s="106" t="str">
        <f aca="false">IF(    OR(   AND($C34=10000000,    $A$17&lt;=CC$19,      ($A$17+$DI$17)&gt;CC$19    ),   AND($C34&lt;&gt;10000000,  CC$19&gt;=$DX34,    CC$19&lt;=($DY34+$DI$17)  ))   ,$DW34,  "")</f>
        <v/>
      </c>
      <c r="CD34" s="106" t="str">
        <f aca="false">IF(    OR(   AND($C34=10000000,    $A$17&lt;=CD$19,      ($A$17+$DI$17)&gt;CD$19    ),   AND($C34&lt;&gt;10000000,  CD$19&gt;=$DX34,    CD$19&lt;=($DY34+$DI$17)  ))   ,$DW34,  "")</f>
        <v/>
      </c>
      <c r="CE34" s="106" t="str">
        <f aca="false">IF(    OR(   AND($C34=10000000,    $A$17&lt;=CE$19,      ($A$17+$DI$17)&gt;CE$19    ),   AND($C34&lt;&gt;10000000,  CE$19&gt;=$DX34,    CE$19&lt;=($DY34+$DI$17)  ))   ,$DW34,  "")</f>
        <v/>
      </c>
      <c r="CF34" s="106" t="str">
        <f aca="false">IF(    OR(   AND($C34=10000000,    $A$17&lt;=CF$19,      ($A$17+$DI$17)&gt;CF$19    ),   AND($C34&lt;&gt;10000000,  CF$19&gt;=$DX34,    CF$19&lt;=($DY34+$DI$17)  ))   ,$DW34,  "")</f>
        <v/>
      </c>
      <c r="CG34" s="106" t="str">
        <f aca="false">IF(    OR(   AND($C34=10000000,    $A$17&lt;=CG$19,      ($A$17+$DI$17)&gt;CG$19    ),   AND($C34&lt;&gt;10000000,  CG$19&gt;=$DX34,    CG$19&lt;=($DY34+$DI$17)  ))   ,$DW34,  "")</f>
        <v/>
      </c>
      <c r="CH34" s="106" t="str">
        <f aca="false">IF(    OR(   AND($C34=10000000,    $A$17&lt;=CH$19,      ($A$17+$DI$17)&gt;CH$19    ),   AND($C34&lt;&gt;10000000,  CH$19&gt;=$DX34,    CH$19&lt;=($DY34+$DI$17)  ))   ,$DW34,  "")</f>
        <v/>
      </c>
      <c r="CI34" s="106" t="str">
        <f aca="false">IF(    OR(   AND($C34=10000000,    $A$17&lt;=CI$19,      ($A$17+$DI$17)&gt;CI$19    ),   AND($C34&lt;&gt;10000000,  CI$19&gt;=$DX34,    CI$19&lt;=($DY34+$DI$17)  ))   ,$DW34,  "")</f>
        <v/>
      </c>
      <c r="CJ34" s="106" t="str">
        <f aca="false">IF(    OR(   AND($C34=10000000,    $A$17&lt;=CJ$19,      ($A$17+$DI$17)&gt;CJ$19    ),   AND($C34&lt;&gt;10000000,  CJ$19&gt;=$DX34,    CJ$19&lt;=($DY34+$DI$17)  ))   ,$DW34,  "")</f>
        <v/>
      </c>
      <c r="CK34" s="106" t="str">
        <f aca="false">IF(    OR(   AND($C34=10000000,    $A$17&lt;=CK$19,      ($A$17+$DI$17)&gt;CK$19    ),   AND($C34&lt;&gt;10000000,  CK$19&gt;=$DX34,    CK$19&lt;=($DY34+$DI$17)  ))   ,$DW34,  "")</f>
        <v/>
      </c>
      <c r="CL34" s="106" t="str">
        <f aca="false">IF(    OR(   AND($C34=10000000,    $A$17&lt;=CL$19,      ($A$17+$DI$17)&gt;CL$19    ),   AND($C34&lt;&gt;10000000,  CL$19&gt;=$DX34,    CL$19&lt;=($DY34+$DI$17)  ))   ,$DW34,  "")</f>
        <v/>
      </c>
      <c r="CM34" s="106" t="str">
        <f aca="false">IF(    OR(   AND($C34=10000000,    $A$17&lt;=CM$19,      ($A$17+$DI$17)&gt;CM$19    ),   AND($C34&lt;&gt;10000000,  CM$19&gt;=$DX34,    CM$19&lt;=($DY34+$DI$17)  ))   ,$DW34,  "")</f>
        <v/>
      </c>
      <c r="CN34" s="106" t="str">
        <f aca="false">IF(    OR(   AND($C34=10000000,    $A$17&lt;=CN$19,      ($A$17+$DI$17)&gt;CN$19    ),   AND($C34&lt;&gt;10000000,  CN$19&gt;=$DX34,    CN$19&lt;=($DY34+$DI$17)  ))   ,$DW34,  "")</f>
        <v/>
      </c>
      <c r="CO34" s="106" t="str">
        <f aca="false">IF(    OR(   AND($C34=10000000,    $A$17&lt;=CO$19,      ($A$17+$DI$17)&gt;CO$19    ),   AND($C34&lt;&gt;10000000,  CO$19&gt;=$DX34,    CO$19&lt;=($DY34+$DI$17)  ))   ,$DW34,  "")</f>
        <v/>
      </c>
      <c r="CP34" s="106" t="str">
        <f aca="false">IF(    OR(   AND($C34=10000000,    $A$17&lt;=CP$19,      ($A$17+$DI$17)&gt;CP$19    ),   AND($C34&lt;&gt;10000000,  CP$19&gt;=$DX34,    CP$19&lt;=($DY34+$DI$17)  ))   ,$DW34,  "")</f>
        <v/>
      </c>
      <c r="CQ34" s="106" t="str">
        <f aca="false">IF(    OR(   AND($C34=10000000,    $A$17&lt;=CQ$19,      ($A$17+$DI$17)&gt;CQ$19    ),   AND($C34&lt;&gt;10000000,  CQ$19&gt;=$DX34,    CQ$19&lt;=($DY34+$DI$17)  ))   ,$DW34,  "")</f>
        <v/>
      </c>
      <c r="CR34" s="106" t="str">
        <f aca="false">IF(    OR(   AND($C34=10000000,    $A$17&lt;=CR$19,      ($A$17+$DI$17)&gt;CR$19    ),   AND($C34&lt;&gt;10000000,  CR$19&gt;=$DX34,    CR$19&lt;=($DY34+$DI$17)  ))   ,$DW34,  "")</f>
        <v/>
      </c>
      <c r="CS34" s="106" t="str">
        <f aca="false">IF(    OR(   AND($C34=10000000,    $A$17&lt;=CS$19,      ($A$17+$DI$17)&gt;CS$19    ),   AND($C34&lt;&gt;10000000,  CS$19&gt;=$DX34,    CS$19&lt;=($DY34+$DI$17)  ))   ,$DW34,  "")</f>
        <v/>
      </c>
      <c r="CT34" s="106" t="str">
        <f aca="false">IF(    OR(   AND($C34=10000000,    $A$17&lt;=CT$19,      ($A$17+$DI$17)&gt;CT$19    ),   AND($C34&lt;&gt;10000000,  CT$19&gt;=$DX34,    CT$19&lt;=($DY34+$DI$17)  ))   ,$DW34,  "")</f>
        <v/>
      </c>
      <c r="CU34" s="106" t="str">
        <f aca="false">IF(    OR(   AND($C34=10000000,    $A$17&lt;=CU$19,      ($A$17+$DI$17)&gt;CU$19    ),   AND($C34&lt;&gt;10000000,  CU$19&gt;=$DX34,    CU$19&lt;=($DY34+$DI$17)  ))   ,$DW34,  "")</f>
        <v/>
      </c>
      <c r="CV34" s="106" t="str">
        <f aca="false">IF(    OR(   AND($C34=10000000,    $A$17&lt;=CV$19,      ($A$17+$DI$17)&gt;CV$19    ),   AND($C34&lt;&gt;10000000,  CV$19&gt;=$DX34,    CV$19&lt;=($DY34+$DI$17)  ))   ,$DW34,  "")</f>
        <v/>
      </c>
      <c r="CW34" s="106" t="str">
        <f aca="false">IF(    OR(   AND($C34=10000000,    $A$17&lt;=CW$19,      ($A$17+$DI$17)&gt;CW$19    ),   AND($C34&lt;&gt;10000000,  CW$19&gt;=$DX34,    CW$19&lt;=($DY34+$DI$17)  ))   ,$DW34,  "")</f>
        <v/>
      </c>
      <c r="CX34" s="106" t="str">
        <f aca="false">IF(    OR(   AND($C34=10000000,    $A$17&lt;=CX$19,      ($A$17+$DI$17)&gt;CX$19    ),   AND($C34&lt;&gt;10000000,  CX$19&gt;=$DX34,    CX$19&lt;=($DY34+$DI$17)  ))   ,$DW34,  "")</f>
        <v/>
      </c>
      <c r="CY34" s="106" t="str">
        <f aca="false">IF(    OR(   AND($C34=10000000,    $A$17&lt;=CY$19,      ($A$17+$DI$17)&gt;CY$19    ),   AND($C34&lt;&gt;10000000,  CY$19&gt;=$DX34,    CY$19&lt;=($DY34+$DI$17)  ))   ,$DW34,  "")</f>
        <v/>
      </c>
      <c r="CZ34" s="106" t="str">
        <f aca="false">IF(    OR(   AND($C34=10000000,    $A$17&lt;=CZ$19,      ($A$17+$DI$17)&gt;CZ$19    ),   AND($C34&lt;&gt;10000000,  CZ$19&gt;=$DX34,    CZ$19&lt;=($DY34+$DI$17)  ))   ,$DW34,  "")</f>
        <v/>
      </c>
      <c r="DA34" s="106" t="str">
        <f aca="false">IF(    OR(   AND($C34=10000000,    $A$17&lt;=DA$19,      ($A$17+$DI$17)&gt;DA$19    ),   AND($C34&lt;&gt;10000000,  DA$19&gt;=$DX34,    DA$19&lt;=($DY34+$DI$17)  ))   ,$DW34,  "")</f>
        <v/>
      </c>
      <c r="DB34" s="106" t="str">
        <f aca="false">IF(    OR(   AND($C34=10000000,    $A$17&lt;=DB$19,      ($A$17+$DI$17)&gt;DB$19    ),   AND($C34&lt;&gt;10000000,  DB$19&gt;=$DX34,    DB$19&lt;=($DY34+$DI$17)  ))   ,$DW34,  "")</f>
        <v/>
      </c>
      <c r="DC34" s="106" t="str">
        <f aca="false">IF(    OR(   AND($C34=10000000,    $A$17&lt;=DC$19,      ($A$17+$DI$17)&gt;DC$19    ),   AND($C34&lt;&gt;10000000,  DC$19&gt;=$DX34,    DC$19&lt;=($DY34+$DI$17)  ))   ,$DW34,  "")</f>
        <v/>
      </c>
      <c r="DD34" s="106" t="str">
        <f aca="false">IF(    OR(   AND($C34=10000000,    $A$17&lt;=DD$19,      ($A$17+$DI$17)&gt;DD$19    ),   AND($C34&lt;&gt;10000000,  DD$19&gt;=$DX34,    DD$19&lt;=($DY34+$DI$17)  ))   ,$DW34,  "")</f>
        <v/>
      </c>
      <c r="DE34" s="106" t="str">
        <f aca="false">IF(    OR(   AND($C34=10000000,    $A$17&lt;=DE$19,      ($A$17+$DI$17)&gt;DE$19    ),   AND($C34&lt;&gt;10000000,  DE$19&gt;=$DX34,    DE$19&lt;=($DY34+$DI$17)  ))   ,$DW34,  "")</f>
        <v/>
      </c>
      <c r="DF34" s="106" t="str">
        <f aca="false">IF(    OR(   AND($C34=10000000,    $A$17&lt;=DF$19,      ($A$17+$DI$17)&gt;DF$19    ),   AND($C34&lt;&gt;10000000,  DF$19&gt;=$DX34,    DF$19&lt;=($DY34+$DI$17)  ))   ,$DW34,  "")</f>
        <v/>
      </c>
      <c r="DG34" s="106" t="str">
        <f aca="false">IF(    OR(   AND($C34=10000000,    $A$17&lt;=DG$19,      ($A$17+$DI$17)&gt;DG$19    ),   AND($C34&lt;&gt;10000000,  DG$19&gt;=$DX34,    DG$19&lt;=($DY34+$DI$17)  ))   ,$DW34,  "")</f>
        <v/>
      </c>
      <c r="DH34" s="106" t="str">
        <f aca="false">IF(    OR(   AND($C34=10000000,    $A$17&lt;=DH$19,      ($A$17+$DI$17)&gt;DH$19    ),   AND($C34&lt;&gt;10000000,  DH$19&gt;=$DX34,    DH$19&lt;=($DY34+$DI$17)  ))   ,$DW34,  "")</f>
        <v/>
      </c>
      <c r="DI34" s="106" t="str">
        <f aca="false">IF(    OR(   AND($C34=10000000,    $A$17&lt;=DI$19,      ($A$17+$DI$17)&gt;DI$19    ),   AND($C34&lt;&gt;10000000,  DI$19&gt;=$DX34,    DI$19&lt;=($DY34+$DI$17)  ))   ,$DW34,  "")</f>
        <v/>
      </c>
      <c r="DJ34" s="74" t="str">
        <f aca="false">IF(BC34="","",IF(ISERROR(FIND(CHAR(10),BC34,1)),BC34,LEFT(BC34,FIND(CHAR(10),BC34,1))))</f>
        <v/>
      </c>
      <c r="DK34" s="61" t="str">
        <f aca="false">IF(BC34="","",IFERROR(RIGHT(BC34,LEN(BC34)-FIND("@@@",SUBSTITUTE(BC34,CHAR(10),"@@@",LEN(BC34)-LEN(SUBSTITUTE(BC34,CHAR(10),""))),1)),BC34))</f>
        <v/>
      </c>
      <c r="DL34" s="61" t="str">
        <f aca="false">IF(BD34="","",IFERROR(RIGHT(BD34,LEN(BD34)-FIND("@@@",SUBSTITUTE(BD34,CHAR(10),"@@@",LEN(BD34)-LEN(SUBSTITUTE(BD34,CHAR(10),""))),1)),BD34))</f>
        <v/>
      </c>
      <c r="DM34" s="107" t="str">
        <f aca="false">IFERROR(DATE(("20"&amp;MID(DJ34,7,2))*1,MID(DJ34,4,2)*1,MID(DJ34,1,2)*1),"none")</f>
        <v>none</v>
      </c>
      <c r="DN34" s="107" t="str">
        <f aca="false">IFERROR(DATE(("20"&amp;MID(DK34,7,2))*1,MID(DK34,4,2)*1,MID(DK34,1,2)*1),"none")</f>
        <v>none</v>
      </c>
      <c r="DO34" s="107" t="n">
        <f aca="false">IF(DM34&lt;&gt;"none",DM34,DATE(1900,1,1))</f>
        <v>2</v>
      </c>
      <c r="DP34" s="107" t="n">
        <f aca="false">IF(DN34&lt;&gt;"none",DN34,DO34)</f>
        <v>2</v>
      </c>
      <c r="DQ34" s="108" t="n">
        <f aca="false">_xlfn.DAYS($A$17,DO34)</f>
        <v>46319</v>
      </c>
      <c r="DR34" s="108" t="n">
        <f aca="false">_xlfn.DAYS($A$17, DP34)</f>
        <v>46319</v>
      </c>
      <c r="DS34" s="60" t="n">
        <f aca="false">IF(DP34&lt;&gt;"",INT(DR34/7),0)</f>
        <v>6617</v>
      </c>
      <c r="DT34" s="108" t="n">
        <f aca="false">IF(N34="Overdue",_xlfn.DAYS($A$17,AM34),0)</f>
        <v>0</v>
      </c>
      <c r="DU34" s="108" t="n">
        <f aca="false">IF(AI34="Project",_xlfn.DAYS(AM34,$A$17),0)</f>
        <v>0</v>
      </c>
      <c r="DV34" s="60" t="str">
        <f aca="false">IFERROR(INDEX(Static!$D$5:$E$13,MATCH(AI34,Static!$D$5:$D$13,0),2),"")</f>
        <v/>
      </c>
      <c r="DW34" s="60" t="str">
        <f aca="false">IF(C34=10000000,"Red",IF(OR(C34=11000000,C34=12000000),"Black",IF(C34=11100000,"Dark",IF(AND(C34=12100000,N34="Completed"),"Green",IF(AND(C34=12100000,N34="Overdue"),"Red",IF(C34=12100000,"Dark",IF(AND(C34=12110000,N34="Overdue"),"LightRed",IF(AND(C34=12110000,N34="Completed"),"LightGreen",IF(OR(C34=11110000,C34=12110000),"Light",IF(AND(C34=12111000,N34="Overdue"),"SoftRed",IF(AND(C34=12111000,N34="Completed"),"SoftGreen",IF(OR(C34=11111000,C34=12111000),"Grey",""))))))))))))</f>
        <v/>
      </c>
      <c r="DX34" s="58" t="n">
        <f aca="false">IF(AL34&lt;&gt;"",AL34,$BJ$19)</f>
        <v>45658</v>
      </c>
      <c r="DY34" s="58" t="n">
        <f aca="false">IF(AM34&lt;&gt;"",AM34,$DI$19)</f>
        <v>46387</v>
      </c>
      <c r="DZ34" s="62" t="s">
        <v>364</v>
      </c>
    </row>
    <row r="35" customFormat="false" ht="14.15" hidden="false" customHeight="true" outlineLevel="0" collapsed="false">
      <c r="A35" s="54"/>
      <c r="B35" s="61" t="n">
        <f aca="false">AI35</f>
        <v>0</v>
      </c>
      <c r="C35" s="60" t="n">
        <f aca="false">IFERROR(INDEX(Static!$D$5:$F$13,MATCH(AI35,Static!$D$5:$D$13,0),3),90000000)</f>
        <v>90000000</v>
      </c>
      <c r="D35" s="60" t="str">
        <f aca="false">MID(C35,2,1)</f>
        <v>0</v>
      </c>
      <c r="E35" s="61" t="str">
        <f aca="false">AC35</f>
        <v/>
      </c>
      <c r="F35" s="60" t="n">
        <f aca="false">IF(B35="Venture",0,IF(OR(B35="Project",B35="Stream",B35="Action"),AL35,0))</f>
        <v>0</v>
      </c>
      <c r="G35" s="60" t="n">
        <f aca="false">AT35</f>
        <v>0</v>
      </c>
      <c r="H35" s="60" t="n">
        <f aca="false">IF(B35="Venture",0,IFERROR(INDEX($E$20:$F$55,MATCH(G35,$E$20:$E$55,0),2),0))</f>
        <v>0</v>
      </c>
      <c r="I35" s="60" t="str">
        <f aca="false">IF(B35="Venture",0,IFERROR(INDEX($E$20:$G$55,MATCH(G35,$E$20:$E$55,0),3),""))</f>
        <v/>
      </c>
      <c r="J35" s="60" t="n">
        <f aca="false">IF(B35="Venture",0,IFERROR(INDEX($E$20:$H$55,MATCH(G35,$E$20:$E$55,0),4),0))</f>
        <v>0</v>
      </c>
      <c r="K35" s="60" t="n">
        <f aca="false">IF(B35="Venture",0,IFERROR(INDEX($E$20:$G$55,MATCH(I35,$E$20:$E$55,0),3),""))</f>
        <v>0</v>
      </c>
      <c r="L35" s="60" t="n">
        <f aca="false">IF(C35="Venture",0,IFERROR(INDEX($E$20:$G$55,MATCH(J35,$E$20:$E$55,0),4),0))</f>
        <v>0</v>
      </c>
      <c r="M35" s="60" t="str">
        <f aca="false">IF(N35="Completed","Completed","Ongoing")</f>
        <v>Ongoing</v>
      </c>
      <c r="N35" s="60" t="n">
        <f aca="false">IF(OR(AI35="Venture",AI35="Routine",AI35="Run Goal", AI35="Chg Goal", AI35=""),AI35,IF(AO35&lt;&gt;"","Completed",IF(AN35&lt;&gt;"","Pending",IF(AND(AM35&lt;&gt;"",$A$17&gt;AM35),"Overdue",IF($A$17&gt;AL35,"Started","Open")))))</f>
        <v>0</v>
      </c>
      <c r="O35" s="59" t="n">
        <f aca="false">((LEN($BD35)-LEN(SUBSTITUTE($BD35,CHAR(10)&amp;". ","")))/3)+IF(LEFT(TRIM($BD35),2)=". ",1,0)</f>
        <v>0</v>
      </c>
      <c r="P35" s="59" t="n">
        <f aca="false">((LEN($BD35)-LEN(SUBSTITUTE($BD35,CHAR(10)&amp;"/ ","")))/3)+IF(LEFT(TRIM($BD35),2)="/ ",1,0)</f>
        <v>0</v>
      </c>
      <c r="Q35" s="59" t="n">
        <f aca="false">((LEN($BD35)-LEN(SUBSTITUTE($BD35,CHAR(10)&amp;"~ ","")))/3)+IF(LEFT(TRIM($BD35),2)="~ ",1,0)</f>
        <v>0</v>
      </c>
      <c r="R35" s="59" t="n">
        <f aca="false">((LEN($BD35)-LEN(SUBSTITUTE($BD35,CHAR(10)&amp;"! ","")))/3)+IF(LEFT(TRIM($BD35),2)="! ",1,0)</f>
        <v>0</v>
      </c>
      <c r="S35" s="59" t="n">
        <f aca="false">((LEN($BD35)-LEN(SUBSTITUTE($BD35,CHAR(10)&amp;"x ","")))/3)+IF(LEFT(TRIM($BD35),2)="x ",1,0)</f>
        <v>0</v>
      </c>
      <c r="T35" s="59" t="n">
        <f aca="false">SUM(O35:S35)</f>
        <v>0</v>
      </c>
      <c r="U35" s="60" t="n">
        <f aca="false">IF(OR($B35="Drill",$B35="Action"),$AP35,0)</f>
        <v>0</v>
      </c>
      <c r="V35" s="60" t="n">
        <f aca="false">IF(OR($B35="Sub",$B35="Stream"),$AP35+SUMIFS($AP$20:$AP$55,$G$20:$G$55,$E35),0)</f>
        <v>0</v>
      </c>
      <c r="W35" s="60" t="n">
        <f aca="false">IF(OR($B35="Routine",$B35="Project"),$AP35+SUMIFS($V$20:$V$55,$G$20:$G$55,$E35),0)</f>
        <v>0</v>
      </c>
      <c r="X35" s="60" t="n">
        <f aca="false">IF($B35="Venture",$AP35+SUMIFS($W$20:$W$55,$G$20:$G$55,$E35),0)</f>
        <v>0</v>
      </c>
      <c r="Y35" s="60" t="n">
        <f aca="false">IF(OR($B35="Drill",$B35="Action"),$AQ35,0)</f>
        <v>0</v>
      </c>
      <c r="Z35" s="60" t="n">
        <f aca="false">IF(OR($B35="Sub",$B35="Stream"),$AQ35+SUMIFS($AQ$20:$AQ$55,$G$20:$G$55,$E35),0)</f>
        <v>0</v>
      </c>
      <c r="AA35" s="60" t="n">
        <f aca="false">IF(OR($B35="Routine",$B35="Project"),$AQ35+SUMIFS($Z$20:$Z$55,$G$20:$G$55,$E35),0)</f>
        <v>0</v>
      </c>
      <c r="AB35" s="60" t="n">
        <f aca="false">IF($B35="Venture",$AQ35+SUMIFS($AA$20:$AA$55,$G$20:$G$55,$E35),0)</f>
        <v>0</v>
      </c>
      <c r="AC35" s="60" t="str">
        <f aca="false">IF(AI35="Venture",AJ35,AI35&amp;AJ35)</f>
        <v/>
      </c>
      <c r="AD35" s="61" t="str">
        <f aca="false">"  -  "&amp;IF(E35="","ZZZ",D35&amp;AF35&amp;IF(OR(B35="Run Goal",B35="Chg Goal", B35="Venture"),F35&amp;E35,IF(OR(B35="Routine",B35="Project"),H35&amp;G35&amp;F35&amp;E35,  IF(OR(B35="Sub",B35="Stream"),J35&amp;I35&amp;H35&amp;G35&amp;F35&amp;E35,IF(OR(B35="Drill",B35="Action"),L35&amp;K35&amp;J35&amp;I35&amp;H35&amp;G35&amp;F35&amp;E35,     "") )    )))</f>
        <v>  -  ZZZ</v>
      </c>
      <c r="AE35" s="60" t="str">
        <f aca="false">IF(AND(AN35="",AO35=""),"Y","N")</f>
        <v>Y</v>
      </c>
      <c r="AF35" s="99" t="str">
        <f aca="false">IF(OR(AG35="Y",AG35="Y"),AG35,IF(DN35="none","N",IF(DN35&gt;($A$17-WEEKDAY($A$17,2)-(7*$AF$18)),"Y","N")))</f>
        <v>N</v>
      </c>
      <c r="AG35" s="100"/>
      <c r="AH35" s="101"/>
      <c r="AI35" s="62"/>
      <c r="AJ35" s="64"/>
      <c r="AK35" s="64"/>
      <c r="AL35" s="70"/>
      <c r="AM35" s="70"/>
      <c r="AN35" s="70"/>
      <c r="AO35" s="70"/>
      <c r="AP35" s="102"/>
      <c r="AQ35" s="102"/>
      <c r="AR35" s="62"/>
      <c r="AS35" s="62"/>
      <c r="AT35" s="62"/>
      <c r="AU35" s="62"/>
      <c r="AV35" s="62"/>
      <c r="AW35" s="62"/>
      <c r="AX35" s="62"/>
      <c r="AY35" s="62"/>
      <c r="AZ35" s="62"/>
      <c r="BA35" s="62"/>
      <c r="BB35" s="54"/>
      <c r="BC35" s="103"/>
      <c r="BD35" s="54"/>
      <c r="BE35" s="60" t="n">
        <f aca="false">SUM(O35:R35)</f>
        <v>0</v>
      </c>
      <c r="BF35" s="66" t="n">
        <f aca="false">IF(AJ35="",1,IF(T35&lt;&gt;0,(P35*0.5+S35)/T35,1))</f>
        <v>1</v>
      </c>
      <c r="BG35" s="69" t="str">
        <f aca="false">IF(AI35="","",IF(AI35="Venture",X35,IF(OR(AI35="Chg Goal",AI35="RUn Goal"),W35,IF(OR(AI35="ROutine",AI35="Project"),W35,IF(OR(AI35="Sub",AI35="Stream"),V35,IF(OR(AI35="Drill",AI35="Action"),U35,0))))))</f>
        <v/>
      </c>
      <c r="BH35" s="69" t="str">
        <f aca="false">IF(AI35="","",IF(AI35="Venture",AB35,IF(OR(AI35="Chg Goal",AI35="RUn Goal"),AA35,IF(OR(AI35="ROutine",AI35="Project"),AA35,IF(OR(AI35="Sub",AI35="Stream"),Z35,IF(OR(AI35="Drill",AI35="Action"),Y35,0))))))</f>
        <v/>
      </c>
      <c r="BI35" s="104" t="str">
        <f aca="false">IF(AJ35="","",IF(OR(BG35=0, BG35=""),0,BH35/BG35))</f>
        <v/>
      </c>
      <c r="BJ35" s="105" t="str">
        <f aca="false">IF(    OR(   AND($C35=10000000,    BJ$19&gt;=$A$17,      BJ$19 &lt;($A$17+$DI$17)   ),   AND($C35&lt;&gt;10000000,  BJ$19&gt;=$DX35,    BJ$19&lt;=($DY35+$DI$17)  ))   ,$DW35,  "")</f>
        <v/>
      </c>
      <c r="BK35" s="106" t="str">
        <f aca="false">IF(    OR(   AND($C35=10000000,    $A$17&lt;=BK$19,      ($A$17+$DI$17)&gt;BK$19    ),   AND($C35&lt;&gt;10000000,  BK$19&gt;=$DX35,    BK$19&lt;=($DY35+$DI$17)  ))   ,$DW35,  "")</f>
        <v/>
      </c>
      <c r="BL35" s="106" t="str">
        <f aca="false">IF(    OR(   AND($C35=10000000,    $A$17&lt;=BL$19,      ($A$17+$DI$17)&gt;BL$19    ),   AND($C35&lt;&gt;10000000,  BL$19&gt;=$DX35,    BL$19&lt;=($DY35+$DI$17)  ))   ,$DW35,  "")</f>
        <v/>
      </c>
      <c r="BM35" s="106" t="str">
        <f aca="false">IF(    OR(   AND($C35=10000000,    $A$17&lt;=BM$19,      ($A$17+$DI$17)&gt;BM$19    ),   AND($C35&lt;&gt;10000000,  BM$19&gt;=$DX35,    BM$19&lt;=($DY35+$DI$17)  ))   ,$DW35,  "")</f>
        <v/>
      </c>
      <c r="BN35" s="106" t="str">
        <f aca="false">IF(    OR(   AND($C35=10000000,    $A$17&lt;=BN$19,      ($A$17+$DI$17)&gt;BN$19    ),   AND($C35&lt;&gt;10000000,  BN$19&gt;=$DX35,    BN$19&lt;=($DY35+$DI$17)  ))   ,$DW35,  "")</f>
        <v/>
      </c>
      <c r="BO35" s="106" t="str">
        <f aca="false">IF(    OR(   AND($C35=10000000,    $A$17&lt;=BO$19,      ($A$17+$DI$17)&gt;BO$19    ),   AND($C35&lt;&gt;10000000,  BO$19&gt;=$DX35,    BO$19&lt;=($DY35+$DI$17)  ))   ,$DW35,  "")</f>
        <v/>
      </c>
      <c r="BP35" s="106" t="str">
        <f aca="false">IF(    OR(   AND($C35=10000000,    $A$17&lt;=BP$19,      ($A$17+$DI$17)&gt;BP$19    ),   AND($C35&lt;&gt;10000000,  BP$19&gt;=$DX35,    BP$19&lt;=($DY35+$DI$17)  ))   ,$DW35,  "")</f>
        <v/>
      </c>
      <c r="BQ35" s="106" t="str">
        <f aca="false">IF(    OR(   AND($C35=10000000,    $A$17&lt;=BQ$19,      ($A$17+$DI$17)&gt;BQ$19    ),   AND($C35&lt;&gt;10000000,  BQ$19&gt;=$DX35,    BQ$19&lt;=($DY35+$DI$17)  ))   ,$DW35,  "")</f>
        <v/>
      </c>
      <c r="BR35" s="106" t="str">
        <f aca="false">IF(    OR(   AND($C35=10000000,    $A$17&lt;=BR$19,      ($A$17+$DI$17)&gt;BR$19    ),   AND($C35&lt;&gt;10000000,  BR$19&gt;=$DX35,    BR$19&lt;=($DY35+$DI$17)  ))   ,$DW35,  "")</f>
        <v/>
      </c>
      <c r="BS35" s="106" t="str">
        <f aca="false">IF(    OR(   AND($C35=10000000,    $A$17&lt;=BS$19,      ($A$17+$DI$17)&gt;BS$19    ),   AND($C35&lt;&gt;10000000,  BS$19&gt;=$DX35,    BS$19&lt;=($DY35+$DI$17)  ))   ,$DW35,  "")</f>
        <v/>
      </c>
      <c r="BT35" s="106" t="str">
        <f aca="false">IF(    OR(   AND($C35=10000000,    $A$17&lt;=BT$19,      ($A$17+$DI$17)&gt;BT$19    ),   AND($C35&lt;&gt;10000000,  BT$19&gt;=$DX35,    BT$19&lt;=($DY35+$DI$17)  ))   ,$DW35,  "")</f>
        <v/>
      </c>
      <c r="BU35" s="106" t="str">
        <f aca="false">IF(    OR(   AND($C35=10000000,    $A$17&lt;=BU$19,      ($A$17+$DI$17)&gt;BU$19    ),   AND($C35&lt;&gt;10000000,  BU$19&gt;=$DX35,    BU$19&lt;=($DY35+$DI$17)  ))   ,$DW35,  "")</f>
        <v/>
      </c>
      <c r="BV35" s="106" t="str">
        <f aca="false">IF(    OR(   AND($C35=10000000,    $A$17&lt;=BV$19,      ($A$17+$DI$17)&gt;BV$19    ),   AND($C35&lt;&gt;10000000,  BV$19&gt;=$DX35,    BV$19&lt;=($DY35+$DI$17)  ))   ,$DW35,  "")</f>
        <v/>
      </c>
      <c r="BW35" s="106" t="str">
        <f aca="false">IF(    OR(   AND($C35=10000000,    $A$17&lt;=BW$19,      ($A$17+$DI$17)&gt;BW$19    ),   AND($C35&lt;&gt;10000000,  BW$19&gt;=$DX35,    BW$19&lt;=($DY35+$DI$17)  ))   ,$DW35,  "")</f>
        <v/>
      </c>
      <c r="BX35" s="106" t="str">
        <f aca="false">IF(    OR(   AND($C35=10000000,    $A$17&lt;=BX$19,      ($A$17+$DI$17)&gt;BX$19    ),   AND($C35&lt;&gt;10000000,  BX$19&gt;=$DX35,    BX$19&lt;=($DY35+$DI$17)  ))   ,$DW35,  "")</f>
        <v/>
      </c>
      <c r="BY35" s="106" t="str">
        <f aca="false">IF(    OR(   AND($C35=10000000,    $A$17&lt;=BY$19,      ($A$17+$DI$17)&gt;BY$19    ),   AND($C35&lt;&gt;10000000,  BY$19&gt;=$DX35,    BY$19&lt;=($DY35+$DI$17)  ))   ,$DW35,  "")</f>
        <v/>
      </c>
      <c r="BZ35" s="106" t="str">
        <f aca="false">IF(    OR(   AND($C35=10000000,    $A$17&lt;=BZ$19,      ($A$17+$DI$17)&gt;BZ$19    ),   AND($C35&lt;&gt;10000000,  BZ$19&gt;=$DX35,    BZ$19&lt;=($DY35+$DI$17)  ))   ,$DW35,  "")</f>
        <v/>
      </c>
      <c r="CA35" s="106" t="str">
        <f aca="false">IF(    OR(   AND($C35=10000000,    $A$17&lt;=CA$19,      ($A$17+$DI$17)&gt;CA$19    ),   AND($C35&lt;&gt;10000000,  CA$19&gt;=$DX35,    CA$19&lt;=($DY35+$DI$17)  ))   ,$DW35,  "")</f>
        <v/>
      </c>
      <c r="CB35" s="106" t="str">
        <f aca="false">IF(    OR(   AND($C35=10000000,    $A$17&lt;=CB$19,      ($A$17+$DI$17)&gt;CB$19    ),   AND($C35&lt;&gt;10000000,  CB$19&gt;=$DX35,    CB$19&lt;=($DY35+$DI$17)  ))   ,$DW35,  "")</f>
        <v/>
      </c>
      <c r="CC35" s="106" t="str">
        <f aca="false">IF(    OR(   AND($C35=10000000,    $A$17&lt;=CC$19,      ($A$17+$DI$17)&gt;CC$19    ),   AND($C35&lt;&gt;10000000,  CC$19&gt;=$DX35,    CC$19&lt;=($DY35+$DI$17)  ))   ,$DW35,  "")</f>
        <v/>
      </c>
      <c r="CD35" s="106" t="str">
        <f aca="false">IF(    OR(   AND($C35=10000000,    $A$17&lt;=CD$19,      ($A$17+$DI$17)&gt;CD$19    ),   AND($C35&lt;&gt;10000000,  CD$19&gt;=$DX35,    CD$19&lt;=($DY35+$DI$17)  ))   ,$DW35,  "")</f>
        <v/>
      </c>
      <c r="CE35" s="106" t="str">
        <f aca="false">IF(    OR(   AND($C35=10000000,    $A$17&lt;=CE$19,      ($A$17+$DI$17)&gt;CE$19    ),   AND($C35&lt;&gt;10000000,  CE$19&gt;=$DX35,    CE$19&lt;=($DY35+$DI$17)  ))   ,$DW35,  "")</f>
        <v/>
      </c>
      <c r="CF35" s="106" t="str">
        <f aca="false">IF(    OR(   AND($C35=10000000,    $A$17&lt;=CF$19,      ($A$17+$DI$17)&gt;CF$19    ),   AND($C35&lt;&gt;10000000,  CF$19&gt;=$DX35,    CF$19&lt;=($DY35+$DI$17)  ))   ,$DW35,  "")</f>
        <v/>
      </c>
      <c r="CG35" s="106" t="str">
        <f aca="false">IF(    OR(   AND($C35=10000000,    $A$17&lt;=CG$19,      ($A$17+$DI$17)&gt;CG$19    ),   AND($C35&lt;&gt;10000000,  CG$19&gt;=$DX35,    CG$19&lt;=($DY35+$DI$17)  ))   ,$DW35,  "")</f>
        <v/>
      </c>
      <c r="CH35" s="106" t="str">
        <f aca="false">IF(    OR(   AND($C35=10000000,    $A$17&lt;=CH$19,      ($A$17+$DI$17)&gt;CH$19    ),   AND($C35&lt;&gt;10000000,  CH$19&gt;=$DX35,    CH$19&lt;=($DY35+$DI$17)  ))   ,$DW35,  "")</f>
        <v/>
      </c>
      <c r="CI35" s="106" t="str">
        <f aca="false">IF(    OR(   AND($C35=10000000,    $A$17&lt;=CI$19,      ($A$17+$DI$17)&gt;CI$19    ),   AND($C35&lt;&gt;10000000,  CI$19&gt;=$DX35,    CI$19&lt;=($DY35+$DI$17)  ))   ,$DW35,  "")</f>
        <v/>
      </c>
      <c r="CJ35" s="106" t="str">
        <f aca="false">IF(    OR(   AND($C35=10000000,    $A$17&lt;=CJ$19,      ($A$17+$DI$17)&gt;CJ$19    ),   AND($C35&lt;&gt;10000000,  CJ$19&gt;=$DX35,    CJ$19&lt;=($DY35+$DI$17)  ))   ,$DW35,  "")</f>
        <v/>
      </c>
      <c r="CK35" s="106" t="str">
        <f aca="false">IF(    OR(   AND($C35=10000000,    $A$17&lt;=CK$19,      ($A$17+$DI$17)&gt;CK$19    ),   AND($C35&lt;&gt;10000000,  CK$19&gt;=$DX35,    CK$19&lt;=($DY35+$DI$17)  ))   ,$DW35,  "")</f>
        <v/>
      </c>
      <c r="CL35" s="106" t="str">
        <f aca="false">IF(    OR(   AND($C35=10000000,    $A$17&lt;=CL$19,      ($A$17+$DI$17)&gt;CL$19    ),   AND($C35&lt;&gt;10000000,  CL$19&gt;=$DX35,    CL$19&lt;=($DY35+$DI$17)  ))   ,$DW35,  "")</f>
        <v/>
      </c>
      <c r="CM35" s="106" t="str">
        <f aca="false">IF(    OR(   AND($C35=10000000,    $A$17&lt;=CM$19,      ($A$17+$DI$17)&gt;CM$19    ),   AND($C35&lt;&gt;10000000,  CM$19&gt;=$DX35,    CM$19&lt;=($DY35+$DI$17)  ))   ,$DW35,  "")</f>
        <v/>
      </c>
      <c r="CN35" s="106" t="str">
        <f aca="false">IF(    OR(   AND($C35=10000000,    $A$17&lt;=CN$19,      ($A$17+$DI$17)&gt;CN$19    ),   AND($C35&lt;&gt;10000000,  CN$19&gt;=$DX35,    CN$19&lt;=($DY35+$DI$17)  ))   ,$DW35,  "")</f>
        <v/>
      </c>
      <c r="CO35" s="106" t="str">
        <f aca="false">IF(    OR(   AND($C35=10000000,    $A$17&lt;=CO$19,      ($A$17+$DI$17)&gt;CO$19    ),   AND($C35&lt;&gt;10000000,  CO$19&gt;=$DX35,    CO$19&lt;=($DY35+$DI$17)  ))   ,$DW35,  "")</f>
        <v/>
      </c>
      <c r="CP35" s="106" t="str">
        <f aca="false">IF(    OR(   AND($C35=10000000,    $A$17&lt;=CP$19,      ($A$17+$DI$17)&gt;CP$19    ),   AND($C35&lt;&gt;10000000,  CP$19&gt;=$DX35,    CP$19&lt;=($DY35+$DI$17)  ))   ,$DW35,  "")</f>
        <v/>
      </c>
      <c r="CQ35" s="106" t="str">
        <f aca="false">IF(    OR(   AND($C35=10000000,    $A$17&lt;=CQ$19,      ($A$17+$DI$17)&gt;CQ$19    ),   AND($C35&lt;&gt;10000000,  CQ$19&gt;=$DX35,    CQ$19&lt;=($DY35+$DI$17)  ))   ,$DW35,  "")</f>
        <v/>
      </c>
      <c r="CR35" s="106" t="str">
        <f aca="false">IF(    OR(   AND($C35=10000000,    $A$17&lt;=CR$19,      ($A$17+$DI$17)&gt;CR$19    ),   AND($C35&lt;&gt;10000000,  CR$19&gt;=$DX35,    CR$19&lt;=($DY35+$DI$17)  ))   ,$DW35,  "")</f>
        <v/>
      </c>
      <c r="CS35" s="106" t="str">
        <f aca="false">IF(    OR(   AND($C35=10000000,    $A$17&lt;=CS$19,      ($A$17+$DI$17)&gt;CS$19    ),   AND($C35&lt;&gt;10000000,  CS$19&gt;=$DX35,    CS$19&lt;=($DY35+$DI$17)  ))   ,$DW35,  "")</f>
        <v/>
      </c>
      <c r="CT35" s="106" t="str">
        <f aca="false">IF(    OR(   AND($C35=10000000,    $A$17&lt;=CT$19,      ($A$17+$DI$17)&gt;CT$19    ),   AND($C35&lt;&gt;10000000,  CT$19&gt;=$DX35,    CT$19&lt;=($DY35+$DI$17)  ))   ,$DW35,  "")</f>
        <v/>
      </c>
      <c r="CU35" s="106" t="str">
        <f aca="false">IF(    OR(   AND($C35=10000000,    $A$17&lt;=CU$19,      ($A$17+$DI$17)&gt;CU$19    ),   AND($C35&lt;&gt;10000000,  CU$19&gt;=$DX35,    CU$19&lt;=($DY35+$DI$17)  ))   ,$DW35,  "")</f>
        <v/>
      </c>
      <c r="CV35" s="106" t="str">
        <f aca="false">IF(    OR(   AND($C35=10000000,    $A$17&lt;=CV$19,      ($A$17+$DI$17)&gt;CV$19    ),   AND($C35&lt;&gt;10000000,  CV$19&gt;=$DX35,    CV$19&lt;=($DY35+$DI$17)  ))   ,$DW35,  "")</f>
        <v/>
      </c>
      <c r="CW35" s="106" t="str">
        <f aca="false">IF(    OR(   AND($C35=10000000,    $A$17&lt;=CW$19,      ($A$17+$DI$17)&gt;CW$19    ),   AND($C35&lt;&gt;10000000,  CW$19&gt;=$DX35,    CW$19&lt;=($DY35+$DI$17)  ))   ,$DW35,  "")</f>
        <v/>
      </c>
      <c r="CX35" s="106" t="str">
        <f aca="false">IF(    OR(   AND($C35=10000000,    $A$17&lt;=CX$19,      ($A$17+$DI$17)&gt;CX$19    ),   AND($C35&lt;&gt;10000000,  CX$19&gt;=$DX35,    CX$19&lt;=($DY35+$DI$17)  ))   ,$DW35,  "")</f>
        <v/>
      </c>
      <c r="CY35" s="106" t="str">
        <f aca="false">IF(    OR(   AND($C35=10000000,    $A$17&lt;=CY$19,      ($A$17+$DI$17)&gt;CY$19    ),   AND($C35&lt;&gt;10000000,  CY$19&gt;=$DX35,    CY$19&lt;=($DY35+$DI$17)  ))   ,$DW35,  "")</f>
        <v/>
      </c>
      <c r="CZ35" s="106" t="str">
        <f aca="false">IF(    OR(   AND($C35=10000000,    $A$17&lt;=CZ$19,      ($A$17+$DI$17)&gt;CZ$19    ),   AND($C35&lt;&gt;10000000,  CZ$19&gt;=$DX35,    CZ$19&lt;=($DY35+$DI$17)  ))   ,$DW35,  "")</f>
        <v/>
      </c>
      <c r="DA35" s="106" t="str">
        <f aca="false">IF(    OR(   AND($C35=10000000,    $A$17&lt;=DA$19,      ($A$17+$DI$17)&gt;DA$19    ),   AND($C35&lt;&gt;10000000,  DA$19&gt;=$DX35,    DA$19&lt;=($DY35+$DI$17)  ))   ,$DW35,  "")</f>
        <v/>
      </c>
      <c r="DB35" s="106" t="str">
        <f aca="false">IF(    OR(   AND($C35=10000000,    $A$17&lt;=DB$19,      ($A$17+$DI$17)&gt;DB$19    ),   AND($C35&lt;&gt;10000000,  DB$19&gt;=$DX35,    DB$19&lt;=($DY35+$DI$17)  ))   ,$DW35,  "")</f>
        <v/>
      </c>
      <c r="DC35" s="106" t="str">
        <f aca="false">IF(    OR(   AND($C35=10000000,    $A$17&lt;=DC$19,      ($A$17+$DI$17)&gt;DC$19    ),   AND($C35&lt;&gt;10000000,  DC$19&gt;=$DX35,    DC$19&lt;=($DY35+$DI$17)  ))   ,$DW35,  "")</f>
        <v/>
      </c>
      <c r="DD35" s="106" t="str">
        <f aca="false">IF(    OR(   AND($C35=10000000,    $A$17&lt;=DD$19,      ($A$17+$DI$17)&gt;DD$19    ),   AND($C35&lt;&gt;10000000,  DD$19&gt;=$DX35,    DD$19&lt;=($DY35+$DI$17)  ))   ,$DW35,  "")</f>
        <v/>
      </c>
      <c r="DE35" s="106" t="str">
        <f aca="false">IF(    OR(   AND($C35=10000000,    $A$17&lt;=DE$19,      ($A$17+$DI$17)&gt;DE$19    ),   AND($C35&lt;&gt;10000000,  DE$19&gt;=$DX35,    DE$19&lt;=($DY35+$DI$17)  ))   ,$DW35,  "")</f>
        <v/>
      </c>
      <c r="DF35" s="106" t="str">
        <f aca="false">IF(    OR(   AND($C35=10000000,    $A$17&lt;=DF$19,      ($A$17+$DI$17)&gt;DF$19    ),   AND($C35&lt;&gt;10000000,  DF$19&gt;=$DX35,    DF$19&lt;=($DY35+$DI$17)  ))   ,$DW35,  "")</f>
        <v/>
      </c>
      <c r="DG35" s="106" t="str">
        <f aca="false">IF(    OR(   AND($C35=10000000,    $A$17&lt;=DG$19,      ($A$17+$DI$17)&gt;DG$19    ),   AND($C35&lt;&gt;10000000,  DG$19&gt;=$DX35,    DG$19&lt;=($DY35+$DI$17)  ))   ,$DW35,  "")</f>
        <v/>
      </c>
      <c r="DH35" s="106" t="str">
        <f aca="false">IF(    OR(   AND($C35=10000000,    $A$17&lt;=DH$19,      ($A$17+$DI$17)&gt;DH$19    ),   AND($C35&lt;&gt;10000000,  DH$19&gt;=$DX35,    DH$19&lt;=($DY35+$DI$17)  ))   ,$DW35,  "")</f>
        <v/>
      </c>
      <c r="DI35" s="106" t="str">
        <f aca="false">IF(    OR(   AND($C35=10000000,    $A$17&lt;=DI$19,      ($A$17+$DI$17)&gt;DI$19    ),   AND($C35&lt;&gt;10000000,  DI$19&gt;=$DX35,    DI$19&lt;=($DY35+$DI$17)  ))   ,$DW35,  "")</f>
        <v/>
      </c>
      <c r="DJ35" s="74" t="str">
        <f aca="false">IF(BC35="","",IF(ISERROR(FIND(CHAR(10),BC35,1)),BC35,LEFT(BC35,FIND(CHAR(10),BC35,1))))</f>
        <v/>
      </c>
      <c r="DK35" s="61" t="str">
        <f aca="false">IF(BC35="","",IFERROR(RIGHT(BC35,LEN(BC35)-FIND("@@@",SUBSTITUTE(BC35,CHAR(10),"@@@",LEN(BC35)-LEN(SUBSTITUTE(BC35,CHAR(10),""))),1)),BC35))</f>
        <v/>
      </c>
      <c r="DL35" s="61" t="str">
        <f aca="false">IF(BD35="","",IFERROR(RIGHT(BD35,LEN(BD35)-FIND("@@@",SUBSTITUTE(BD35,CHAR(10),"@@@",LEN(BD35)-LEN(SUBSTITUTE(BD35,CHAR(10),""))),1)),BD35))</f>
        <v/>
      </c>
      <c r="DM35" s="107" t="str">
        <f aca="false">IFERROR(DATE(("20"&amp;MID(DJ35,7,2))*1,MID(DJ35,4,2)*1,MID(DJ35,1,2)*1),"none")</f>
        <v>none</v>
      </c>
      <c r="DN35" s="107" t="str">
        <f aca="false">IFERROR(DATE(("20"&amp;MID(DK35,7,2))*1,MID(DK35,4,2)*1,MID(DK35,1,2)*1),"none")</f>
        <v>none</v>
      </c>
      <c r="DO35" s="107" t="n">
        <f aca="false">IF(DM35&lt;&gt;"none",DM35,DATE(1900,1,1))</f>
        <v>2</v>
      </c>
      <c r="DP35" s="107" t="n">
        <f aca="false">IF(DN35&lt;&gt;"none",DN35,DO35)</f>
        <v>2</v>
      </c>
      <c r="DQ35" s="108" t="n">
        <f aca="false">_xlfn.DAYS($A$17,DO35)</f>
        <v>46319</v>
      </c>
      <c r="DR35" s="108" t="n">
        <f aca="false">_xlfn.DAYS($A$17, DP35)</f>
        <v>46319</v>
      </c>
      <c r="DS35" s="60" t="n">
        <f aca="false">IF(DP35&lt;&gt;"",INT(DR35/7),0)</f>
        <v>6617</v>
      </c>
      <c r="DT35" s="108" t="n">
        <f aca="false">IF(N35="Overdue",_xlfn.DAYS($A$17,AM35),0)</f>
        <v>0</v>
      </c>
      <c r="DU35" s="108" t="n">
        <f aca="false">IF(AI35="Project",_xlfn.DAYS(AM35,$A$17),0)</f>
        <v>0</v>
      </c>
      <c r="DV35" s="60" t="str">
        <f aca="false">IFERROR(INDEX(Static!$D$5:$E$13,MATCH(AI35,Static!$D$5:$D$13,0),2),"")</f>
        <v/>
      </c>
      <c r="DW35" s="60" t="str">
        <f aca="false">IF(C35=10000000,"Red",IF(OR(C35=11000000,C35=12000000),"Black",IF(C35=11100000,"Dark",IF(AND(C35=12100000,N35="Completed"),"Green",IF(AND(C35=12100000,N35="Overdue"),"Red",IF(C35=12100000,"Dark",IF(AND(C35=12110000,N35="Overdue"),"LightRed",IF(AND(C35=12110000,N35="Completed"),"LightGreen",IF(OR(C35=11110000,C35=12110000),"Light",IF(AND(C35=12111000,N35="Overdue"),"SoftRed",IF(AND(C35=12111000,N35="Completed"),"SoftGreen",IF(OR(C35=11111000,C35=12111000),"Grey",""))))))))))))</f>
        <v/>
      </c>
      <c r="DX35" s="58" t="n">
        <f aca="false">IF(AL35&lt;&gt;"",AL35,$BJ$19)</f>
        <v>45658</v>
      </c>
      <c r="DY35" s="58" t="n">
        <f aca="false">IF(AM35&lt;&gt;"",AM35,$DI$19)</f>
        <v>46387</v>
      </c>
      <c r="DZ35" s="62" t="s">
        <v>364</v>
      </c>
    </row>
    <row r="36" customFormat="false" ht="14.15" hidden="false" customHeight="true" outlineLevel="0" collapsed="false">
      <c r="A36" s="54"/>
      <c r="B36" s="61" t="n">
        <f aca="false">AI36</f>
        <v>0</v>
      </c>
      <c r="C36" s="60" t="n">
        <f aca="false">IFERROR(INDEX(Static!$D$5:$F$13,MATCH(AI36,Static!$D$5:$D$13,0),3),90000000)</f>
        <v>90000000</v>
      </c>
      <c r="D36" s="60" t="str">
        <f aca="false">MID(C36,2,1)</f>
        <v>0</v>
      </c>
      <c r="E36" s="61" t="str">
        <f aca="false">AC36</f>
        <v/>
      </c>
      <c r="F36" s="60" t="n">
        <f aca="false">IF(B36="Venture",0,IF(OR(B36="Project",B36="Stream",B36="Action"),AL36,0))</f>
        <v>0</v>
      </c>
      <c r="G36" s="60" t="n">
        <f aca="false">AT36</f>
        <v>0</v>
      </c>
      <c r="H36" s="60" t="n">
        <f aca="false">IF(B36="Venture",0,IFERROR(INDEX($E$20:$F$55,MATCH(G36,$E$20:$E$55,0),2),0))</f>
        <v>0</v>
      </c>
      <c r="I36" s="60" t="str">
        <f aca="false">IF(B36="Venture",0,IFERROR(INDEX($E$20:$G$55,MATCH(G36,$E$20:$E$55,0),3),""))</f>
        <v/>
      </c>
      <c r="J36" s="60" t="n">
        <f aca="false">IF(B36="Venture",0,IFERROR(INDEX($E$20:$H$55,MATCH(G36,$E$20:$E$55,0),4),0))</f>
        <v>0</v>
      </c>
      <c r="K36" s="60" t="n">
        <f aca="false">IF(B36="Venture",0,IFERROR(INDEX($E$20:$G$55,MATCH(I36,$E$20:$E$55,0),3),""))</f>
        <v>0</v>
      </c>
      <c r="L36" s="60" t="n">
        <f aca="false">IF(C36="Venture",0,IFERROR(INDEX($E$20:$G$55,MATCH(J36,$E$20:$E$55,0),4),0))</f>
        <v>0</v>
      </c>
      <c r="M36" s="60" t="str">
        <f aca="false">IF(N36="Completed","Completed","Ongoing")</f>
        <v>Ongoing</v>
      </c>
      <c r="N36" s="60" t="n">
        <f aca="false">IF(OR(AI36="Venture",AI36="Routine",AI36="Run Goal", AI36="Chg Goal", AI36=""),AI36,IF(AO36&lt;&gt;"","Completed",IF(AN36&lt;&gt;"","Pending",IF(AND(AM36&lt;&gt;"",$A$17&gt;AM36),"Overdue",IF($A$17&gt;AL36,"Started","Open")))))</f>
        <v>0</v>
      </c>
      <c r="O36" s="59" t="n">
        <f aca="false">((LEN($BD36)-LEN(SUBSTITUTE($BD36,CHAR(10)&amp;". ","")))/3)+IF(LEFT(TRIM($BD36),2)=". ",1,0)</f>
        <v>0</v>
      </c>
      <c r="P36" s="59" t="n">
        <f aca="false">((LEN($BD36)-LEN(SUBSTITUTE($BD36,CHAR(10)&amp;"/ ","")))/3)+IF(LEFT(TRIM($BD36),2)="/ ",1,0)</f>
        <v>0</v>
      </c>
      <c r="Q36" s="59" t="n">
        <f aca="false">((LEN($BD36)-LEN(SUBSTITUTE($BD36,CHAR(10)&amp;"~ ","")))/3)+IF(LEFT(TRIM($BD36),2)="~ ",1,0)</f>
        <v>0</v>
      </c>
      <c r="R36" s="59" t="n">
        <f aca="false">((LEN($BD36)-LEN(SUBSTITUTE($BD36,CHAR(10)&amp;"! ","")))/3)+IF(LEFT(TRIM($BD36),2)="! ",1,0)</f>
        <v>0</v>
      </c>
      <c r="S36" s="59" t="n">
        <f aca="false">((LEN($BD36)-LEN(SUBSTITUTE($BD36,CHAR(10)&amp;"x ","")))/3)+IF(LEFT(TRIM($BD36),2)="x ",1,0)</f>
        <v>0</v>
      </c>
      <c r="T36" s="59" t="n">
        <f aca="false">SUM(O36:S36)</f>
        <v>0</v>
      </c>
      <c r="U36" s="60" t="n">
        <f aca="false">IF(OR($B36="Drill",$B36="Action"),$AP36,0)</f>
        <v>0</v>
      </c>
      <c r="V36" s="60" t="n">
        <f aca="false">IF(OR($B36="Sub",$B36="Stream"),$AP36+SUMIFS($AP$20:$AP$55,$G$20:$G$55,$E36),0)</f>
        <v>0</v>
      </c>
      <c r="W36" s="60" t="n">
        <f aca="false">IF(OR($B36="Routine",$B36="Project"),$AP36+SUMIFS($V$20:$V$55,$G$20:$G$55,$E36),0)</f>
        <v>0</v>
      </c>
      <c r="X36" s="60" t="n">
        <f aca="false">IF($B36="Venture",$AP36+SUMIFS($W$20:$W$55,$G$20:$G$55,$E36),0)</f>
        <v>0</v>
      </c>
      <c r="Y36" s="60" t="n">
        <f aca="false">IF(OR($B36="Drill",$B36="Action"),$AQ36,0)</f>
        <v>0</v>
      </c>
      <c r="Z36" s="60" t="n">
        <f aca="false">IF(OR($B36="Sub",$B36="Stream"),$AQ36+SUMIFS($AQ$20:$AQ$55,$G$20:$G$55,$E36),0)</f>
        <v>0</v>
      </c>
      <c r="AA36" s="60" t="n">
        <f aca="false">IF(OR($B36="Routine",$B36="Project"),$AQ36+SUMIFS($Z$20:$Z$55,$G$20:$G$55,$E36),0)</f>
        <v>0</v>
      </c>
      <c r="AB36" s="60" t="n">
        <f aca="false">IF($B36="Venture",$AQ36+SUMIFS($AA$20:$AA$55,$G$20:$G$55,$E36),0)</f>
        <v>0</v>
      </c>
      <c r="AC36" s="60" t="str">
        <f aca="false">IF(AI36="Venture",AJ36,AI36&amp;AJ36)</f>
        <v/>
      </c>
      <c r="AD36" s="61" t="str">
        <f aca="false">"  -  "&amp;IF(E36="","ZZZ",D36&amp;AF36&amp;IF(OR(B36="Run Goal",B36="Chg Goal", B36="Venture"),F36&amp;E36,IF(OR(B36="Routine",B36="Project"),H36&amp;G36&amp;F36&amp;E36,  IF(OR(B36="Sub",B36="Stream"),J36&amp;I36&amp;H36&amp;G36&amp;F36&amp;E36,IF(OR(B36="Drill",B36="Action"),L36&amp;K36&amp;J36&amp;I36&amp;H36&amp;G36&amp;F36&amp;E36,     "") )    )))</f>
        <v>  -  ZZZ</v>
      </c>
      <c r="AE36" s="60" t="str">
        <f aca="false">IF(AND(AN36="",AO36=""),"Y","N")</f>
        <v>Y</v>
      </c>
      <c r="AF36" s="99" t="str">
        <f aca="false">IF(OR(AG36="Y",AG36="Y"),AG36,IF(DN36="none","N",IF(DN36&gt;($A$17-WEEKDAY($A$17,2)-(7*$AF$18)),"Y","N")))</f>
        <v>N</v>
      </c>
      <c r="AG36" s="100"/>
      <c r="AH36" s="101"/>
      <c r="AI36" s="62"/>
      <c r="AJ36" s="64"/>
      <c r="AK36" s="64"/>
      <c r="AL36" s="70"/>
      <c r="AM36" s="70"/>
      <c r="AN36" s="70"/>
      <c r="AO36" s="70"/>
      <c r="AP36" s="102"/>
      <c r="AQ36" s="102"/>
      <c r="AR36" s="62"/>
      <c r="AS36" s="62"/>
      <c r="AT36" s="62"/>
      <c r="AU36" s="62"/>
      <c r="AV36" s="62"/>
      <c r="AW36" s="62"/>
      <c r="AX36" s="62"/>
      <c r="AY36" s="62"/>
      <c r="AZ36" s="62"/>
      <c r="BA36" s="62"/>
      <c r="BB36" s="54"/>
      <c r="BC36" s="103"/>
      <c r="BD36" s="54"/>
      <c r="BE36" s="60" t="n">
        <f aca="false">SUM(O36:R36)</f>
        <v>0</v>
      </c>
      <c r="BF36" s="66" t="n">
        <f aca="false">IF(AJ36="",1,IF(T36&lt;&gt;0,(P36*0.5+S36)/T36,1))</f>
        <v>1</v>
      </c>
      <c r="BG36" s="69" t="str">
        <f aca="false">IF(AI36="","",IF(AI36="Venture",X36,IF(OR(AI36="Chg Goal",AI36="RUn Goal"),W36,IF(OR(AI36="ROutine",AI36="Project"),W36,IF(OR(AI36="Sub",AI36="Stream"),V36,IF(OR(AI36="Drill",AI36="Action"),U36,0))))))</f>
        <v/>
      </c>
      <c r="BH36" s="69" t="str">
        <f aca="false">IF(AI36="","",IF(AI36="Venture",AB36,IF(OR(AI36="Chg Goal",AI36="RUn Goal"),AA36,IF(OR(AI36="ROutine",AI36="Project"),AA36,IF(OR(AI36="Sub",AI36="Stream"),Z36,IF(OR(AI36="Drill",AI36="Action"),Y36,0))))))</f>
        <v/>
      </c>
      <c r="BI36" s="104" t="str">
        <f aca="false">IF(AJ36="","",IF(OR(BG36=0, BG36=""),0,BH36/BG36))</f>
        <v/>
      </c>
      <c r="BJ36" s="105" t="str">
        <f aca="false">IF(    OR(   AND($C36=10000000,    BJ$19&gt;=$A$17,      BJ$19 &lt;($A$17+$DI$17)   ),   AND($C36&lt;&gt;10000000,  BJ$19&gt;=$DX36,    BJ$19&lt;=($DY36+$DI$17)  ))   ,$DW36,  "")</f>
        <v/>
      </c>
      <c r="BK36" s="106" t="str">
        <f aca="false">IF(    OR(   AND($C36=10000000,    $A$17&lt;=BK$19,      ($A$17+$DI$17)&gt;BK$19    ),   AND($C36&lt;&gt;10000000,  BK$19&gt;=$DX36,    BK$19&lt;=($DY36+$DI$17)  ))   ,$DW36,  "")</f>
        <v/>
      </c>
      <c r="BL36" s="106" t="str">
        <f aca="false">IF(    OR(   AND($C36=10000000,    $A$17&lt;=BL$19,      ($A$17+$DI$17)&gt;BL$19    ),   AND($C36&lt;&gt;10000000,  BL$19&gt;=$DX36,    BL$19&lt;=($DY36+$DI$17)  ))   ,$DW36,  "")</f>
        <v/>
      </c>
      <c r="BM36" s="106" t="str">
        <f aca="false">IF(    OR(   AND($C36=10000000,    $A$17&lt;=BM$19,      ($A$17+$DI$17)&gt;BM$19    ),   AND($C36&lt;&gt;10000000,  BM$19&gt;=$DX36,    BM$19&lt;=($DY36+$DI$17)  ))   ,$DW36,  "")</f>
        <v/>
      </c>
      <c r="BN36" s="106" t="str">
        <f aca="false">IF(    OR(   AND($C36=10000000,    $A$17&lt;=BN$19,      ($A$17+$DI$17)&gt;BN$19    ),   AND($C36&lt;&gt;10000000,  BN$19&gt;=$DX36,    BN$19&lt;=($DY36+$DI$17)  ))   ,$DW36,  "")</f>
        <v/>
      </c>
      <c r="BO36" s="106" t="str">
        <f aca="false">IF(    OR(   AND($C36=10000000,    $A$17&lt;=BO$19,      ($A$17+$DI$17)&gt;BO$19    ),   AND($C36&lt;&gt;10000000,  BO$19&gt;=$DX36,    BO$19&lt;=($DY36+$DI$17)  ))   ,$DW36,  "")</f>
        <v/>
      </c>
      <c r="BP36" s="106" t="str">
        <f aca="false">IF(    OR(   AND($C36=10000000,    $A$17&lt;=BP$19,      ($A$17+$DI$17)&gt;BP$19    ),   AND($C36&lt;&gt;10000000,  BP$19&gt;=$DX36,    BP$19&lt;=($DY36+$DI$17)  ))   ,$DW36,  "")</f>
        <v/>
      </c>
      <c r="BQ36" s="106" t="str">
        <f aca="false">IF(    OR(   AND($C36=10000000,    $A$17&lt;=BQ$19,      ($A$17+$DI$17)&gt;BQ$19    ),   AND($C36&lt;&gt;10000000,  BQ$19&gt;=$DX36,    BQ$19&lt;=($DY36+$DI$17)  ))   ,$DW36,  "")</f>
        <v/>
      </c>
      <c r="BR36" s="106" t="str">
        <f aca="false">IF(    OR(   AND($C36=10000000,    $A$17&lt;=BR$19,      ($A$17+$DI$17)&gt;BR$19    ),   AND($C36&lt;&gt;10000000,  BR$19&gt;=$DX36,    BR$19&lt;=($DY36+$DI$17)  ))   ,$DW36,  "")</f>
        <v/>
      </c>
      <c r="BS36" s="106" t="str">
        <f aca="false">IF(    OR(   AND($C36=10000000,    $A$17&lt;=BS$19,      ($A$17+$DI$17)&gt;BS$19    ),   AND($C36&lt;&gt;10000000,  BS$19&gt;=$DX36,    BS$19&lt;=($DY36+$DI$17)  ))   ,$DW36,  "")</f>
        <v/>
      </c>
      <c r="BT36" s="106" t="str">
        <f aca="false">IF(    OR(   AND($C36=10000000,    $A$17&lt;=BT$19,      ($A$17+$DI$17)&gt;BT$19    ),   AND($C36&lt;&gt;10000000,  BT$19&gt;=$DX36,    BT$19&lt;=($DY36+$DI$17)  ))   ,$DW36,  "")</f>
        <v/>
      </c>
      <c r="BU36" s="106" t="str">
        <f aca="false">IF(    OR(   AND($C36=10000000,    $A$17&lt;=BU$19,      ($A$17+$DI$17)&gt;BU$19    ),   AND($C36&lt;&gt;10000000,  BU$19&gt;=$DX36,    BU$19&lt;=($DY36+$DI$17)  ))   ,$DW36,  "")</f>
        <v/>
      </c>
      <c r="BV36" s="106" t="str">
        <f aca="false">IF(    OR(   AND($C36=10000000,    $A$17&lt;=BV$19,      ($A$17+$DI$17)&gt;BV$19    ),   AND($C36&lt;&gt;10000000,  BV$19&gt;=$DX36,    BV$19&lt;=($DY36+$DI$17)  ))   ,$DW36,  "")</f>
        <v/>
      </c>
      <c r="BW36" s="106" t="str">
        <f aca="false">IF(    OR(   AND($C36=10000000,    $A$17&lt;=BW$19,      ($A$17+$DI$17)&gt;BW$19    ),   AND($C36&lt;&gt;10000000,  BW$19&gt;=$DX36,    BW$19&lt;=($DY36+$DI$17)  ))   ,$DW36,  "")</f>
        <v/>
      </c>
      <c r="BX36" s="106" t="str">
        <f aca="false">IF(    OR(   AND($C36=10000000,    $A$17&lt;=BX$19,      ($A$17+$DI$17)&gt;BX$19    ),   AND($C36&lt;&gt;10000000,  BX$19&gt;=$DX36,    BX$19&lt;=($DY36+$DI$17)  ))   ,$DW36,  "")</f>
        <v/>
      </c>
      <c r="BY36" s="106" t="str">
        <f aca="false">IF(    OR(   AND($C36=10000000,    $A$17&lt;=BY$19,      ($A$17+$DI$17)&gt;BY$19    ),   AND($C36&lt;&gt;10000000,  BY$19&gt;=$DX36,    BY$19&lt;=($DY36+$DI$17)  ))   ,$DW36,  "")</f>
        <v/>
      </c>
      <c r="BZ36" s="106" t="str">
        <f aca="false">IF(    OR(   AND($C36=10000000,    $A$17&lt;=BZ$19,      ($A$17+$DI$17)&gt;BZ$19    ),   AND($C36&lt;&gt;10000000,  BZ$19&gt;=$DX36,    BZ$19&lt;=($DY36+$DI$17)  ))   ,$DW36,  "")</f>
        <v/>
      </c>
      <c r="CA36" s="106" t="str">
        <f aca="false">IF(    OR(   AND($C36=10000000,    $A$17&lt;=CA$19,      ($A$17+$DI$17)&gt;CA$19    ),   AND($C36&lt;&gt;10000000,  CA$19&gt;=$DX36,    CA$19&lt;=($DY36+$DI$17)  ))   ,$DW36,  "")</f>
        <v/>
      </c>
      <c r="CB36" s="106" t="str">
        <f aca="false">IF(    OR(   AND($C36=10000000,    $A$17&lt;=CB$19,      ($A$17+$DI$17)&gt;CB$19    ),   AND($C36&lt;&gt;10000000,  CB$19&gt;=$DX36,    CB$19&lt;=($DY36+$DI$17)  ))   ,$DW36,  "")</f>
        <v/>
      </c>
      <c r="CC36" s="106" t="str">
        <f aca="false">IF(    OR(   AND($C36=10000000,    $A$17&lt;=CC$19,      ($A$17+$DI$17)&gt;CC$19    ),   AND($C36&lt;&gt;10000000,  CC$19&gt;=$DX36,    CC$19&lt;=($DY36+$DI$17)  ))   ,$DW36,  "")</f>
        <v/>
      </c>
      <c r="CD36" s="106" t="str">
        <f aca="false">IF(    OR(   AND($C36=10000000,    $A$17&lt;=CD$19,      ($A$17+$DI$17)&gt;CD$19    ),   AND($C36&lt;&gt;10000000,  CD$19&gt;=$DX36,    CD$19&lt;=($DY36+$DI$17)  ))   ,$DW36,  "")</f>
        <v/>
      </c>
      <c r="CE36" s="106" t="str">
        <f aca="false">IF(    OR(   AND($C36=10000000,    $A$17&lt;=CE$19,      ($A$17+$DI$17)&gt;CE$19    ),   AND($C36&lt;&gt;10000000,  CE$19&gt;=$DX36,    CE$19&lt;=($DY36+$DI$17)  ))   ,$DW36,  "")</f>
        <v/>
      </c>
      <c r="CF36" s="106" t="str">
        <f aca="false">IF(    OR(   AND($C36=10000000,    $A$17&lt;=CF$19,      ($A$17+$DI$17)&gt;CF$19    ),   AND($C36&lt;&gt;10000000,  CF$19&gt;=$DX36,    CF$19&lt;=($DY36+$DI$17)  ))   ,$DW36,  "")</f>
        <v/>
      </c>
      <c r="CG36" s="106" t="str">
        <f aca="false">IF(    OR(   AND($C36=10000000,    $A$17&lt;=CG$19,      ($A$17+$DI$17)&gt;CG$19    ),   AND($C36&lt;&gt;10000000,  CG$19&gt;=$DX36,    CG$19&lt;=($DY36+$DI$17)  ))   ,$DW36,  "")</f>
        <v/>
      </c>
      <c r="CH36" s="106" t="str">
        <f aca="false">IF(    OR(   AND($C36=10000000,    $A$17&lt;=CH$19,      ($A$17+$DI$17)&gt;CH$19    ),   AND($C36&lt;&gt;10000000,  CH$19&gt;=$DX36,    CH$19&lt;=($DY36+$DI$17)  ))   ,$DW36,  "")</f>
        <v/>
      </c>
      <c r="CI36" s="106" t="str">
        <f aca="false">IF(    OR(   AND($C36=10000000,    $A$17&lt;=CI$19,      ($A$17+$DI$17)&gt;CI$19    ),   AND($C36&lt;&gt;10000000,  CI$19&gt;=$DX36,    CI$19&lt;=($DY36+$DI$17)  ))   ,$DW36,  "")</f>
        <v/>
      </c>
      <c r="CJ36" s="106" t="str">
        <f aca="false">IF(    OR(   AND($C36=10000000,    $A$17&lt;=CJ$19,      ($A$17+$DI$17)&gt;CJ$19    ),   AND($C36&lt;&gt;10000000,  CJ$19&gt;=$DX36,    CJ$19&lt;=($DY36+$DI$17)  ))   ,$DW36,  "")</f>
        <v/>
      </c>
      <c r="CK36" s="106" t="str">
        <f aca="false">IF(    OR(   AND($C36=10000000,    $A$17&lt;=CK$19,      ($A$17+$DI$17)&gt;CK$19    ),   AND($C36&lt;&gt;10000000,  CK$19&gt;=$DX36,    CK$19&lt;=($DY36+$DI$17)  ))   ,$DW36,  "")</f>
        <v/>
      </c>
      <c r="CL36" s="106" t="str">
        <f aca="false">IF(    OR(   AND($C36=10000000,    $A$17&lt;=CL$19,      ($A$17+$DI$17)&gt;CL$19    ),   AND($C36&lt;&gt;10000000,  CL$19&gt;=$DX36,    CL$19&lt;=($DY36+$DI$17)  ))   ,$DW36,  "")</f>
        <v/>
      </c>
      <c r="CM36" s="106" t="str">
        <f aca="false">IF(    OR(   AND($C36=10000000,    $A$17&lt;=CM$19,      ($A$17+$DI$17)&gt;CM$19    ),   AND($C36&lt;&gt;10000000,  CM$19&gt;=$DX36,    CM$19&lt;=($DY36+$DI$17)  ))   ,$DW36,  "")</f>
        <v/>
      </c>
      <c r="CN36" s="106" t="str">
        <f aca="false">IF(    OR(   AND($C36=10000000,    $A$17&lt;=CN$19,      ($A$17+$DI$17)&gt;CN$19    ),   AND($C36&lt;&gt;10000000,  CN$19&gt;=$DX36,    CN$19&lt;=($DY36+$DI$17)  ))   ,$DW36,  "")</f>
        <v/>
      </c>
      <c r="CO36" s="106" t="str">
        <f aca="false">IF(    OR(   AND($C36=10000000,    $A$17&lt;=CO$19,      ($A$17+$DI$17)&gt;CO$19    ),   AND($C36&lt;&gt;10000000,  CO$19&gt;=$DX36,    CO$19&lt;=($DY36+$DI$17)  ))   ,$DW36,  "")</f>
        <v/>
      </c>
      <c r="CP36" s="106" t="str">
        <f aca="false">IF(    OR(   AND($C36=10000000,    $A$17&lt;=CP$19,      ($A$17+$DI$17)&gt;CP$19    ),   AND($C36&lt;&gt;10000000,  CP$19&gt;=$DX36,    CP$19&lt;=($DY36+$DI$17)  ))   ,$DW36,  "")</f>
        <v/>
      </c>
      <c r="CQ36" s="106" t="str">
        <f aca="false">IF(    OR(   AND($C36=10000000,    $A$17&lt;=CQ$19,      ($A$17+$DI$17)&gt;CQ$19    ),   AND($C36&lt;&gt;10000000,  CQ$19&gt;=$DX36,    CQ$19&lt;=($DY36+$DI$17)  ))   ,$DW36,  "")</f>
        <v/>
      </c>
      <c r="CR36" s="106" t="str">
        <f aca="false">IF(    OR(   AND($C36=10000000,    $A$17&lt;=CR$19,      ($A$17+$DI$17)&gt;CR$19    ),   AND($C36&lt;&gt;10000000,  CR$19&gt;=$DX36,    CR$19&lt;=($DY36+$DI$17)  ))   ,$DW36,  "")</f>
        <v/>
      </c>
      <c r="CS36" s="106" t="str">
        <f aca="false">IF(    OR(   AND($C36=10000000,    $A$17&lt;=CS$19,      ($A$17+$DI$17)&gt;CS$19    ),   AND($C36&lt;&gt;10000000,  CS$19&gt;=$DX36,    CS$19&lt;=($DY36+$DI$17)  ))   ,$DW36,  "")</f>
        <v/>
      </c>
      <c r="CT36" s="106" t="str">
        <f aca="false">IF(    OR(   AND($C36=10000000,    $A$17&lt;=CT$19,      ($A$17+$DI$17)&gt;CT$19    ),   AND($C36&lt;&gt;10000000,  CT$19&gt;=$DX36,    CT$19&lt;=($DY36+$DI$17)  ))   ,$DW36,  "")</f>
        <v/>
      </c>
      <c r="CU36" s="106" t="str">
        <f aca="false">IF(    OR(   AND($C36=10000000,    $A$17&lt;=CU$19,      ($A$17+$DI$17)&gt;CU$19    ),   AND($C36&lt;&gt;10000000,  CU$19&gt;=$DX36,    CU$19&lt;=($DY36+$DI$17)  ))   ,$DW36,  "")</f>
        <v/>
      </c>
      <c r="CV36" s="106" t="str">
        <f aca="false">IF(    OR(   AND($C36=10000000,    $A$17&lt;=CV$19,      ($A$17+$DI$17)&gt;CV$19    ),   AND($C36&lt;&gt;10000000,  CV$19&gt;=$DX36,    CV$19&lt;=($DY36+$DI$17)  ))   ,$DW36,  "")</f>
        <v/>
      </c>
      <c r="CW36" s="106" t="str">
        <f aca="false">IF(    OR(   AND($C36=10000000,    $A$17&lt;=CW$19,      ($A$17+$DI$17)&gt;CW$19    ),   AND($C36&lt;&gt;10000000,  CW$19&gt;=$DX36,    CW$19&lt;=($DY36+$DI$17)  ))   ,$DW36,  "")</f>
        <v/>
      </c>
      <c r="CX36" s="106" t="str">
        <f aca="false">IF(    OR(   AND($C36=10000000,    $A$17&lt;=CX$19,      ($A$17+$DI$17)&gt;CX$19    ),   AND($C36&lt;&gt;10000000,  CX$19&gt;=$DX36,    CX$19&lt;=($DY36+$DI$17)  ))   ,$DW36,  "")</f>
        <v/>
      </c>
      <c r="CY36" s="106" t="str">
        <f aca="false">IF(    OR(   AND($C36=10000000,    $A$17&lt;=CY$19,      ($A$17+$DI$17)&gt;CY$19    ),   AND($C36&lt;&gt;10000000,  CY$19&gt;=$DX36,    CY$19&lt;=($DY36+$DI$17)  ))   ,$DW36,  "")</f>
        <v/>
      </c>
      <c r="CZ36" s="106" t="str">
        <f aca="false">IF(    OR(   AND($C36=10000000,    $A$17&lt;=CZ$19,      ($A$17+$DI$17)&gt;CZ$19    ),   AND($C36&lt;&gt;10000000,  CZ$19&gt;=$DX36,    CZ$19&lt;=($DY36+$DI$17)  ))   ,$DW36,  "")</f>
        <v/>
      </c>
      <c r="DA36" s="106" t="str">
        <f aca="false">IF(    OR(   AND($C36=10000000,    $A$17&lt;=DA$19,      ($A$17+$DI$17)&gt;DA$19    ),   AND($C36&lt;&gt;10000000,  DA$19&gt;=$DX36,    DA$19&lt;=($DY36+$DI$17)  ))   ,$DW36,  "")</f>
        <v/>
      </c>
      <c r="DB36" s="106" t="str">
        <f aca="false">IF(    OR(   AND($C36=10000000,    $A$17&lt;=DB$19,      ($A$17+$DI$17)&gt;DB$19    ),   AND($C36&lt;&gt;10000000,  DB$19&gt;=$DX36,    DB$19&lt;=($DY36+$DI$17)  ))   ,$DW36,  "")</f>
        <v/>
      </c>
      <c r="DC36" s="106" t="str">
        <f aca="false">IF(    OR(   AND($C36=10000000,    $A$17&lt;=DC$19,      ($A$17+$DI$17)&gt;DC$19    ),   AND($C36&lt;&gt;10000000,  DC$19&gt;=$DX36,    DC$19&lt;=($DY36+$DI$17)  ))   ,$DW36,  "")</f>
        <v/>
      </c>
      <c r="DD36" s="106" t="str">
        <f aca="false">IF(    OR(   AND($C36=10000000,    $A$17&lt;=DD$19,      ($A$17+$DI$17)&gt;DD$19    ),   AND($C36&lt;&gt;10000000,  DD$19&gt;=$DX36,    DD$19&lt;=($DY36+$DI$17)  ))   ,$DW36,  "")</f>
        <v/>
      </c>
      <c r="DE36" s="106" t="str">
        <f aca="false">IF(    OR(   AND($C36=10000000,    $A$17&lt;=DE$19,      ($A$17+$DI$17)&gt;DE$19    ),   AND($C36&lt;&gt;10000000,  DE$19&gt;=$DX36,    DE$19&lt;=($DY36+$DI$17)  ))   ,$DW36,  "")</f>
        <v/>
      </c>
      <c r="DF36" s="106" t="str">
        <f aca="false">IF(    OR(   AND($C36=10000000,    $A$17&lt;=DF$19,      ($A$17+$DI$17)&gt;DF$19    ),   AND($C36&lt;&gt;10000000,  DF$19&gt;=$DX36,    DF$19&lt;=($DY36+$DI$17)  ))   ,$DW36,  "")</f>
        <v/>
      </c>
      <c r="DG36" s="106" t="str">
        <f aca="false">IF(    OR(   AND($C36=10000000,    $A$17&lt;=DG$19,      ($A$17+$DI$17)&gt;DG$19    ),   AND($C36&lt;&gt;10000000,  DG$19&gt;=$DX36,    DG$19&lt;=($DY36+$DI$17)  ))   ,$DW36,  "")</f>
        <v/>
      </c>
      <c r="DH36" s="106" t="str">
        <f aca="false">IF(    OR(   AND($C36=10000000,    $A$17&lt;=DH$19,      ($A$17+$DI$17)&gt;DH$19    ),   AND($C36&lt;&gt;10000000,  DH$19&gt;=$DX36,    DH$19&lt;=($DY36+$DI$17)  ))   ,$DW36,  "")</f>
        <v/>
      </c>
      <c r="DI36" s="106" t="str">
        <f aca="false">IF(    OR(   AND($C36=10000000,    $A$17&lt;=DI$19,      ($A$17+$DI$17)&gt;DI$19    ),   AND($C36&lt;&gt;10000000,  DI$19&gt;=$DX36,    DI$19&lt;=($DY36+$DI$17)  ))   ,$DW36,  "")</f>
        <v/>
      </c>
      <c r="DJ36" s="74" t="str">
        <f aca="false">IF(BC36="","",IF(ISERROR(FIND(CHAR(10),BC36,1)),BC36,LEFT(BC36,FIND(CHAR(10),BC36,1))))</f>
        <v/>
      </c>
      <c r="DK36" s="61" t="str">
        <f aca="false">IF(BC36="","",IFERROR(RIGHT(BC36,LEN(BC36)-FIND("@@@",SUBSTITUTE(BC36,CHAR(10),"@@@",LEN(BC36)-LEN(SUBSTITUTE(BC36,CHAR(10),""))),1)),BC36))</f>
        <v/>
      </c>
      <c r="DL36" s="61" t="str">
        <f aca="false">IF(BD36="","",IFERROR(RIGHT(BD36,LEN(BD36)-FIND("@@@",SUBSTITUTE(BD36,CHAR(10),"@@@",LEN(BD36)-LEN(SUBSTITUTE(BD36,CHAR(10),""))),1)),BD36))</f>
        <v/>
      </c>
      <c r="DM36" s="107" t="str">
        <f aca="false">IFERROR(DATE(("20"&amp;MID(DJ36,7,2))*1,MID(DJ36,4,2)*1,MID(DJ36,1,2)*1),"none")</f>
        <v>none</v>
      </c>
      <c r="DN36" s="107" t="str">
        <f aca="false">IFERROR(DATE(("20"&amp;MID(DK36,7,2))*1,MID(DK36,4,2)*1,MID(DK36,1,2)*1),"none")</f>
        <v>none</v>
      </c>
      <c r="DO36" s="107" t="n">
        <f aca="false">IF(DM36&lt;&gt;"none",DM36,DATE(1900,1,1))</f>
        <v>2</v>
      </c>
      <c r="DP36" s="107" t="n">
        <f aca="false">IF(DN36&lt;&gt;"none",DN36,DO36)</f>
        <v>2</v>
      </c>
      <c r="DQ36" s="108" t="n">
        <f aca="false">_xlfn.DAYS($A$17,DO36)</f>
        <v>46319</v>
      </c>
      <c r="DR36" s="108" t="n">
        <f aca="false">_xlfn.DAYS($A$17, DP36)</f>
        <v>46319</v>
      </c>
      <c r="DS36" s="60" t="n">
        <f aca="false">IF(DP36&lt;&gt;"",INT(DR36/7),0)</f>
        <v>6617</v>
      </c>
      <c r="DT36" s="108" t="n">
        <f aca="false">IF(N36="Overdue",_xlfn.DAYS($A$17,AM36),0)</f>
        <v>0</v>
      </c>
      <c r="DU36" s="108" t="n">
        <f aca="false">IF(AI36="Project",_xlfn.DAYS(AM36,$A$17),0)</f>
        <v>0</v>
      </c>
      <c r="DV36" s="60" t="str">
        <f aca="false">IFERROR(INDEX(Static!$D$5:$E$13,MATCH(AI36,Static!$D$5:$D$13,0),2),"")</f>
        <v/>
      </c>
      <c r="DW36" s="60" t="str">
        <f aca="false">IF(C36=10000000,"Red",IF(OR(C36=11000000,C36=12000000),"Black",IF(C36=11100000,"Dark",IF(AND(C36=12100000,N36="Completed"),"Green",IF(AND(C36=12100000,N36="Overdue"),"Red",IF(C36=12100000,"Dark",IF(AND(C36=12110000,N36="Overdue"),"LightRed",IF(AND(C36=12110000,N36="Completed"),"LightGreen",IF(OR(C36=11110000,C36=12110000),"Light",IF(AND(C36=12111000,N36="Overdue"),"SoftRed",IF(AND(C36=12111000,N36="Completed"),"SoftGreen",IF(OR(C36=11111000,C36=12111000),"Grey",""))))))))))))</f>
        <v/>
      </c>
      <c r="DX36" s="58" t="n">
        <f aca="false">IF(AL36&lt;&gt;"",AL36,$BJ$19)</f>
        <v>45658</v>
      </c>
      <c r="DY36" s="58" t="n">
        <f aca="false">IF(AM36&lt;&gt;"",AM36,$DI$19)</f>
        <v>46387</v>
      </c>
      <c r="DZ36" s="62" t="s">
        <v>364</v>
      </c>
    </row>
    <row r="37" customFormat="false" ht="14.15" hidden="false" customHeight="true" outlineLevel="0" collapsed="false">
      <c r="A37" s="54"/>
      <c r="B37" s="61" t="n">
        <f aca="false">AI37</f>
        <v>0</v>
      </c>
      <c r="C37" s="60" t="n">
        <f aca="false">IFERROR(INDEX(Static!$D$5:$F$13,MATCH(AI37,Static!$D$5:$D$13,0),3),90000000)</f>
        <v>90000000</v>
      </c>
      <c r="D37" s="60" t="str">
        <f aca="false">MID(C37,2,1)</f>
        <v>0</v>
      </c>
      <c r="E37" s="61" t="str">
        <f aca="false">AC37</f>
        <v/>
      </c>
      <c r="F37" s="60" t="n">
        <f aca="false">IF(B37="Venture",0,IF(OR(B37="Project",B37="Stream",B37="Action"),AL37,0))</f>
        <v>0</v>
      </c>
      <c r="G37" s="60" t="n">
        <f aca="false">AT37</f>
        <v>0</v>
      </c>
      <c r="H37" s="60" t="n">
        <f aca="false">IF(B37="Venture",0,IFERROR(INDEX($E$20:$F$55,MATCH(G37,$E$20:$E$55,0),2),0))</f>
        <v>0</v>
      </c>
      <c r="I37" s="60" t="str">
        <f aca="false">IF(B37="Venture",0,IFERROR(INDEX($E$20:$G$55,MATCH(G37,$E$20:$E$55,0),3),""))</f>
        <v/>
      </c>
      <c r="J37" s="60" t="n">
        <f aca="false">IF(B37="Venture",0,IFERROR(INDEX($E$20:$H$55,MATCH(G37,$E$20:$E$55,0),4),0))</f>
        <v>0</v>
      </c>
      <c r="K37" s="60" t="n">
        <f aca="false">IF(B37="Venture",0,IFERROR(INDEX($E$20:$G$55,MATCH(I37,$E$20:$E$55,0),3),""))</f>
        <v>0</v>
      </c>
      <c r="L37" s="60" t="n">
        <f aca="false">IF(C37="Venture",0,IFERROR(INDEX($E$20:$G$55,MATCH(J37,$E$20:$E$55,0),4),0))</f>
        <v>0</v>
      </c>
      <c r="M37" s="60" t="str">
        <f aca="false">IF(N37="Completed","Completed","Ongoing")</f>
        <v>Ongoing</v>
      </c>
      <c r="N37" s="60" t="n">
        <f aca="false">IF(OR(AI37="Venture",AI37="Routine",AI37="Run Goal", AI37="Chg Goal", AI37=""),AI37,IF(AO37&lt;&gt;"","Completed",IF(AN37&lt;&gt;"","Pending",IF(AND(AM37&lt;&gt;"",$A$17&gt;AM37),"Overdue",IF($A$17&gt;AL37,"Started","Open")))))</f>
        <v>0</v>
      </c>
      <c r="O37" s="59" t="n">
        <f aca="false">((LEN($BD37)-LEN(SUBSTITUTE($BD37,CHAR(10)&amp;". ","")))/3)+IF(LEFT(TRIM($BD37),2)=". ",1,0)</f>
        <v>0</v>
      </c>
      <c r="P37" s="59" t="n">
        <f aca="false">((LEN($BD37)-LEN(SUBSTITUTE($BD37,CHAR(10)&amp;"/ ","")))/3)+IF(LEFT(TRIM($BD37),2)="/ ",1,0)</f>
        <v>0</v>
      </c>
      <c r="Q37" s="59" t="n">
        <f aca="false">((LEN($BD37)-LEN(SUBSTITUTE($BD37,CHAR(10)&amp;"~ ","")))/3)+IF(LEFT(TRIM($BD37),2)="~ ",1,0)</f>
        <v>0</v>
      </c>
      <c r="R37" s="59" t="n">
        <f aca="false">((LEN($BD37)-LEN(SUBSTITUTE($BD37,CHAR(10)&amp;"! ","")))/3)+IF(LEFT(TRIM($BD37),2)="! ",1,0)</f>
        <v>0</v>
      </c>
      <c r="S37" s="59" t="n">
        <f aca="false">((LEN($BD37)-LEN(SUBSTITUTE($BD37,CHAR(10)&amp;"x ","")))/3)+IF(LEFT(TRIM($BD37),2)="x ",1,0)</f>
        <v>0</v>
      </c>
      <c r="T37" s="59" t="n">
        <f aca="false">SUM(O37:S37)</f>
        <v>0</v>
      </c>
      <c r="U37" s="60" t="n">
        <f aca="false">IF(OR($B37="Drill",$B37="Action"),$AP37,0)</f>
        <v>0</v>
      </c>
      <c r="V37" s="60" t="n">
        <f aca="false">IF(OR($B37="Sub",$B37="Stream"),$AP37+SUMIFS($AP$20:$AP$55,$G$20:$G$55,$E37),0)</f>
        <v>0</v>
      </c>
      <c r="W37" s="60" t="n">
        <f aca="false">IF(OR($B37="Routine",$B37="Project"),$AP37+SUMIFS($V$20:$V$55,$G$20:$G$55,$E37),0)</f>
        <v>0</v>
      </c>
      <c r="X37" s="60" t="n">
        <f aca="false">IF($B37="Venture",$AP37+SUMIFS($W$20:$W$55,$G$20:$G$55,$E37),0)</f>
        <v>0</v>
      </c>
      <c r="Y37" s="60" t="n">
        <f aca="false">IF(OR($B37="Drill",$B37="Action"),$AQ37,0)</f>
        <v>0</v>
      </c>
      <c r="Z37" s="60" t="n">
        <f aca="false">IF(OR($B37="Sub",$B37="Stream"),$AQ37+SUMIFS($AQ$20:$AQ$55,$G$20:$G$55,$E37),0)</f>
        <v>0</v>
      </c>
      <c r="AA37" s="60" t="n">
        <f aca="false">IF(OR($B37="Routine",$B37="Project"),$AQ37+SUMIFS($Z$20:$Z$55,$G$20:$G$55,$E37),0)</f>
        <v>0</v>
      </c>
      <c r="AB37" s="60" t="n">
        <f aca="false">IF($B37="Venture",$AQ37+SUMIFS($AA$20:$AA$55,$G$20:$G$55,$E37),0)</f>
        <v>0</v>
      </c>
      <c r="AC37" s="60" t="str">
        <f aca="false">IF(AI37="Venture",AJ37,AI37&amp;AJ37)</f>
        <v/>
      </c>
      <c r="AD37" s="61" t="str">
        <f aca="false">"  -  "&amp;IF(E37="","ZZZ",D37&amp;AF37&amp;IF(OR(B37="Run Goal",B37="Chg Goal", B37="Venture"),F37&amp;E37,IF(OR(B37="Routine",B37="Project"),H37&amp;G37&amp;F37&amp;E37,  IF(OR(B37="Sub",B37="Stream"),J37&amp;I37&amp;H37&amp;G37&amp;F37&amp;E37,IF(OR(B37="Drill",B37="Action"),L37&amp;K37&amp;J37&amp;I37&amp;H37&amp;G37&amp;F37&amp;E37,     "") )    )))</f>
        <v>  -  ZZZ</v>
      </c>
      <c r="AE37" s="60" t="str">
        <f aca="false">IF(AND(AN37="",AO37=""),"Y","N")</f>
        <v>Y</v>
      </c>
      <c r="AF37" s="99" t="str">
        <f aca="false">IF(OR(AG37="Y",AG37="Y"),AG37,IF(DN37="none","N",IF(DN37&gt;($A$17-WEEKDAY($A$17,2)-(7*$AF$18)),"Y","N")))</f>
        <v>N</v>
      </c>
      <c r="AG37" s="100"/>
      <c r="AH37" s="101"/>
      <c r="AI37" s="62"/>
      <c r="AJ37" s="64"/>
      <c r="AK37" s="64"/>
      <c r="AL37" s="70"/>
      <c r="AM37" s="70"/>
      <c r="AN37" s="70"/>
      <c r="AO37" s="70"/>
      <c r="AP37" s="102"/>
      <c r="AQ37" s="102"/>
      <c r="AR37" s="62"/>
      <c r="AS37" s="62"/>
      <c r="AT37" s="62"/>
      <c r="AU37" s="62"/>
      <c r="AV37" s="62"/>
      <c r="AW37" s="62"/>
      <c r="AX37" s="62"/>
      <c r="AY37" s="62"/>
      <c r="AZ37" s="62"/>
      <c r="BA37" s="62"/>
      <c r="BB37" s="54"/>
      <c r="BC37" s="103"/>
      <c r="BD37" s="54"/>
      <c r="BE37" s="60" t="n">
        <f aca="false">SUM(O37:R37)</f>
        <v>0</v>
      </c>
      <c r="BF37" s="66" t="n">
        <f aca="false">IF(AJ37="",1,IF(T37&lt;&gt;0,(P37*0.5+S37)/T37,1))</f>
        <v>1</v>
      </c>
      <c r="BG37" s="69" t="str">
        <f aca="false">IF(AI37="","",IF(AI37="Venture",X37,IF(OR(AI37="Chg Goal",AI37="RUn Goal"),W37,IF(OR(AI37="ROutine",AI37="Project"),W37,IF(OR(AI37="Sub",AI37="Stream"),V37,IF(OR(AI37="Drill",AI37="Action"),U37,0))))))</f>
        <v/>
      </c>
      <c r="BH37" s="69" t="str">
        <f aca="false">IF(AI37="","",IF(AI37="Venture",AB37,IF(OR(AI37="Chg Goal",AI37="RUn Goal"),AA37,IF(OR(AI37="ROutine",AI37="Project"),AA37,IF(OR(AI37="Sub",AI37="Stream"),Z37,IF(OR(AI37="Drill",AI37="Action"),Y37,0))))))</f>
        <v/>
      </c>
      <c r="BI37" s="104" t="str">
        <f aca="false">IF(AJ37="","",IF(OR(BG37=0, BG37=""),0,BH37/BG37))</f>
        <v/>
      </c>
      <c r="BJ37" s="105" t="str">
        <f aca="false">IF(    OR(   AND($C37=10000000,    BJ$19&gt;=$A$17,      BJ$19 &lt;($A$17+$DI$17)   ),   AND($C37&lt;&gt;10000000,  BJ$19&gt;=$DX37,    BJ$19&lt;=($DY37+$DI$17)  ))   ,$DW37,  "")</f>
        <v/>
      </c>
      <c r="BK37" s="106" t="str">
        <f aca="false">IF(    OR(   AND($C37=10000000,    $A$17&lt;=BK$19,      ($A$17+$DI$17)&gt;BK$19    ),   AND($C37&lt;&gt;10000000,  BK$19&gt;=$DX37,    BK$19&lt;=($DY37+$DI$17)  ))   ,$DW37,  "")</f>
        <v/>
      </c>
      <c r="BL37" s="106" t="str">
        <f aca="false">IF(    OR(   AND($C37=10000000,    $A$17&lt;=BL$19,      ($A$17+$DI$17)&gt;BL$19    ),   AND($C37&lt;&gt;10000000,  BL$19&gt;=$DX37,    BL$19&lt;=($DY37+$DI$17)  ))   ,$DW37,  "")</f>
        <v/>
      </c>
      <c r="BM37" s="106" t="str">
        <f aca="false">IF(    OR(   AND($C37=10000000,    $A$17&lt;=BM$19,      ($A$17+$DI$17)&gt;BM$19    ),   AND($C37&lt;&gt;10000000,  BM$19&gt;=$DX37,    BM$19&lt;=($DY37+$DI$17)  ))   ,$DW37,  "")</f>
        <v/>
      </c>
      <c r="BN37" s="106" t="str">
        <f aca="false">IF(    OR(   AND($C37=10000000,    $A$17&lt;=BN$19,      ($A$17+$DI$17)&gt;BN$19    ),   AND($C37&lt;&gt;10000000,  BN$19&gt;=$DX37,    BN$19&lt;=($DY37+$DI$17)  ))   ,$DW37,  "")</f>
        <v/>
      </c>
      <c r="BO37" s="106" t="str">
        <f aca="false">IF(    OR(   AND($C37=10000000,    $A$17&lt;=BO$19,      ($A$17+$DI$17)&gt;BO$19    ),   AND($C37&lt;&gt;10000000,  BO$19&gt;=$DX37,    BO$19&lt;=($DY37+$DI$17)  ))   ,$DW37,  "")</f>
        <v/>
      </c>
      <c r="BP37" s="106" t="str">
        <f aca="false">IF(    OR(   AND($C37=10000000,    $A$17&lt;=BP$19,      ($A$17+$DI$17)&gt;BP$19    ),   AND($C37&lt;&gt;10000000,  BP$19&gt;=$DX37,    BP$19&lt;=($DY37+$DI$17)  ))   ,$DW37,  "")</f>
        <v/>
      </c>
      <c r="BQ37" s="106" t="str">
        <f aca="false">IF(    OR(   AND($C37=10000000,    $A$17&lt;=BQ$19,      ($A$17+$DI$17)&gt;BQ$19    ),   AND($C37&lt;&gt;10000000,  BQ$19&gt;=$DX37,    BQ$19&lt;=($DY37+$DI$17)  ))   ,$DW37,  "")</f>
        <v/>
      </c>
      <c r="BR37" s="106" t="str">
        <f aca="false">IF(    OR(   AND($C37=10000000,    $A$17&lt;=BR$19,      ($A$17+$DI$17)&gt;BR$19    ),   AND($C37&lt;&gt;10000000,  BR$19&gt;=$DX37,    BR$19&lt;=($DY37+$DI$17)  ))   ,$DW37,  "")</f>
        <v/>
      </c>
      <c r="BS37" s="106" t="str">
        <f aca="false">IF(    OR(   AND($C37=10000000,    $A$17&lt;=BS$19,      ($A$17+$DI$17)&gt;BS$19    ),   AND($C37&lt;&gt;10000000,  BS$19&gt;=$DX37,    BS$19&lt;=($DY37+$DI$17)  ))   ,$DW37,  "")</f>
        <v/>
      </c>
      <c r="BT37" s="106" t="str">
        <f aca="false">IF(    OR(   AND($C37=10000000,    $A$17&lt;=BT$19,      ($A$17+$DI$17)&gt;BT$19    ),   AND($C37&lt;&gt;10000000,  BT$19&gt;=$DX37,    BT$19&lt;=($DY37+$DI$17)  ))   ,$DW37,  "")</f>
        <v/>
      </c>
      <c r="BU37" s="106" t="str">
        <f aca="false">IF(    OR(   AND($C37=10000000,    $A$17&lt;=BU$19,      ($A$17+$DI$17)&gt;BU$19    ),   AND($C37&lt;&gt;10000000,  BU$19&gt;=$DX37,    BU$19&lt;=($DY37+$DI$17)  ))   ,$DW37,  "")</f>
        <v/>
      </c>
      <c r="BV37" s="106" t="str">
        <f aca="false">IF(    OR(   AND($C37=10000000,    $A$17&lt;=BV$19,      ($A$17+$DI$17)&gt;BV$19    ),   AND($C37&lt;&gt;10000000,  BV$19&gt;=$DX37,    BV$19&lt;=($DY37+$DI$17)  ))   ,$DW37,  "")</f>
        <v/>
      </c>
      <c r="BW37" s="106" t="str">
        <f aca="false">IF(    OR(   AND($C37=10000000,    $A$17&lt;=BW$19,      ($A$17+$DI$17)&gt;BW$19    ),   AND($C37&lt;&gt;10000000,  BW$19&gt;=$DX37,    BW$19&lt;=($DY37+$DI$17)  ))   ,$DW37,  "")</f>
        <v/>
      </c>
      <c r="BX37" s="106" t="str">
        <f aca="false">IF(    OR(   AND($C37=10000000,    $A$17&lt;=BX$19,      ($A$17+$DI$17)&gt;BX$19    ),   AND($C37&lt;&gt;10000000,  BX$19&gt;=$DX37,    BX$19&lt;=($DY37+$DI$17)  ))   ,$DW37,  "")</f>
        <v/>
      </c>
      <c r="BY37" s="106" t="str">
        <f aca="false">IF(    OR(   AND($C37=10000000,    $A$17&lt;=BY$19,      ($A$17+$DI$17)&gt;BY$19    ),   AND($C37&lt;&gt;10000000,  BY$19&gt;=$DX37,    BY$19&lt;=($DY37+$DI$17)  ))   ,$DW37,  "")</f>
        <v/>
      </c>
      <c r="BZ37" s="106" t="str">
        <f aca="false">IF(    OR(   AND($C37=10000000,    $A$17&lt;=BZ$19,      ($A$17+$DI$17)&gt;BZ$19    ),   AND($C37&lt;&gt;10000000,  BZ$19&gt;=$DX37,    BZ$19&lt;=($DY37+$DI$17)  ))   ,$DW37,  "")</f>
        <v/>
      </c>
      <c r="CA37" s="106" t="str">
        <f aca="false">IF(    OR(   AND($C37=10000000,    $A$17&lt;=CA$19,      ($A$17+$DI$17)&gt;CA$19    ),   AND($C37&lt;&gt;10000000,  CA$19&gt;=$DX37,    CA$19&lt;=($DY37+$DI$17)  ))   ,$DW37,  "")</f>
        <v/>
      </c>
      <c r="CB37" s="106" t="str">
        <f aca="false">IF(    OR(   AND($C37=10000000,    $A$17&lt;=CB$19,      ($A$17+$DI$17)&gt;CB$19    ),   AND($C37&lt;&gt;10000000,  CB$19&gt;=$DX37,    CB$19&lt;=($DY37+$DI$17)  ))   ,$DW37,  "")</f>
        <v/>
      </c>
      <c r="CC37" s="106" t="str">
        <f aca="false">IF(    OR(   AND($C37=10000000,    $A$17&lt;=CC$19,      ($A$17+$DI$17)&gt;CC$19    ),   AND($C37&lt;&gt;10000000,  CC$19&gt;=$DX37,    CC$19&lt;=($DY37+$DI$17)  ))   ,$DW37,  "")</f>
        <v/>
      </c>
      <c r="CD37" s="106" t="str">
        <f aca="false">IF(    OR(   AND($C37=10000000,    $A$17&lt;=CD$19,      ($A$17+$DI$17)&gt;CD$19    ),   AND($C37&lt;&gt;10000000,  CD$19&gt;=$DX37,    CD$19&lt;=($DY37+$DI$17)  ))   ,$DW37,  "")</f>
        <v/>
      </c>
      <c r="CE37" s="106" t="str">
        <f aca="false">IF(    OR(   AND($C37=10000000,    $A$17&lt;=CE$19,      ($A$17+$DI$17)&gt;CE$19    ),   AND($C37&lt;&gt;10000000,  CE$19&gt;=$DX37,    CE$19&lt;=($DY37+$DI$17)  ))   ,$DW37,  "")</f>
        <v/>
      </c>
      <c r="CF37" s="106" t="str">
        <f aca="false">IF(    OR(   AND($C37=10000000,    $A$17&lt;=CF$19,      ($A$17+$DI$17)&gt;CF$19    ),   AND($C37&lt;&gt;10000000,  CF$19&gt;=$DX37,    CF$19&lt;=($DY37+$DI$17)  ))   ,$DW37,  "")</f>
        <v/>
      </c>
      <c r="CG37" s="106" t="str">
        <f aca="false">IF(    OR(   AND($C37=10000000,    $A$17&lt;=CG$19,      ($A$17+$DI$17)&gt;CG$19    ),   AND($C37&lt;&gt;10000000,  CG$19&gt;=$DX37,    CG$19&lt;=($DY37+$DI$17)  ))   ,$DW37,  "")</f>
        <v/>
      </c>
      <c r="CH37" s="106" t="str">
        <f aca="false">IF(    OR(   AND($C37=10000000,    $A$17&lt;=CH$19,      ($A$17+$DI$17)&gt;CH$19    ),   AND($C37&lt;&gt;10000000,  CH$19&gt;=$DX37,    CH$19&lt;=($DY37+$DI$17)  ))   ,$DW37,  "")</f>
        <v/>
      </c>
      <c r="CI37" s="106" t="str">
        <f aca="false">IF(    OR(   AND($C37=10000000,    $A$17&lt;=CI$19,      ($A$17+$DI$17)&gt;CI$19    ),   AND($C37&lt;&gt;10000000,  CI$19&gt;=$DX37,    CI$19&lt;=($DY37+$DI$17)  ))   ,$DW37,  "")</f>
        <v/>
      </c>
      <c r="CJ37" s="106" t="str">
        <f aca="false">IF(    OR(   AND($C37=10000000,    $A$17&lt;=CJ$19,      ($A$17+$DI$17)&gt;CJ$19    ),   AND($C37&lt;&gt;10000000,  CJ$19&gt;=$DX37,    CJ$19&lt;=($DY37+$DI$17)  ))   ,$DW37,  "")</f>
        <v/>
      </c>
      <c r="CK37" s="106" t="str">
        <f aca="false">IF(    OR(   AND($C37=10000000,    $A$17&lt;=CK$19,      ($A$17+$DI$17)&gt;CK$19    ),   AND($C37&lt;&gt;10000000,  CK$19&gt;=$DX37,    CK$19&lt;=($DY37+$DI$17)  ))   ,$DW37,  "")</f>
        <v/>
      </c>
      <c r="CL37" s="106" t="str">
        <f aca="false">IF(    OR(   AND($C37=10000000,    $A$17&lt;=CL$19,      ($A$17+$DI$17)&gt;CL$19    ),   AND($C37&lt;&gt;10000000,  CL$19&gt;=$DX37,    CL$19&lt;=($DY37+$DI$17)  ))   ,$DW37,  "")</f>
        <v/>
      </c>
      <c r="CM37" s="106" t="str">
        <f aca="false">IF(    OR(   AND($C37=10000000,    $A$17&lt;=CM$19,      ($A$17+$DI$17)&gt;CM$19    ),   AND($C37&lt;&gt;10000000,  CM$19&gt;=$DX37,    CM$19&lt;=($DY37+$DI$17)  ))   ,$DW37,  "")</f>
        <v/>
      </c>
      <c r="CN37" s="106" t="str">
        <f aca="false">IF(    OR(   AND($C37=10000000,    $A$17&lt;=CN$19,      ($A$17+$DI$17)&gt;CN$19    ),   AND($C37&lt;&gt;10000000,  CN$19&gt;=$DX37,    CN$19&lt;=($DY37+$DI$17)  ))   ,$DW37,  "")</f>
        <v/>
      </c>
      <c r="CO37" s="106" t="str">
        <f aca="false">IF(    OR(   AND($C37=10000000,    $A$17&lt;=CO$19,      ($A$17+$DI$17)&gt;CO$19    ),   AND($C37&lt;&gt;10000000,  CO$19&gt;=$DX37,    CO$19&lt;=($DY37+$DI$17)  ))   ,$DW37,  "")</f>
        <v/>
      </c>
      <c r="CP37" s="106" t="str">
        <f aca="false">IF(    OR(   AND($C37=10000000,    $A$17&lt;=CP$19,      ($A$17+$DI$17)&gt;CP$19    ),   AND($C37&lt;&gt;10000000,  CP$19&gt;=$DX37,    CP$19&lt;=($DY37+$DI$17)  ))   ,$DW37,  "")</f>
        <v/>
      </c>
      <c r="CQ37" s="106" t="str">
        <f aca="false">IF(    OR(   AND($C37=10000000,    $A$17&lt;=CQ$19,      ($A$17+$DI$17)&gt;CQ$19    ),   AND($C37&lt;&gt;10000000,  CQ$19&gt;=$DX37,    CQ$19&lt;=($DY37+$DI$17)  ))   ,$DW37,  "")</f>
        <v/>
      </c>
      <c r="CR37" s="106" t="str">
        <f aca="false">IF(    OR(   AND($C37=10000000,    $A$17&lt;=CR$19,      ($A$17+$DI$17)&gt;CR$19    ),   AND($C37&lt;&gt;10000000,  CR$19&gt;=$DX37,    CR$19&lt;=($DY37+$DI$17)  ))   ,$DW37,  "")</f>
        <v/>
      </c>
      <c r="CS37" s="106" t="str">
        <f aca="false">IF(    OR(   AND($C37=10000000,    $A$17&lt;=CS$19,      ($A$17+$DI$17)&gt;CS$19    ),   AND($C37&lt;&gt;10000000,  CS$19&gt;=$DX37,    CS$19&lt;=($DY37+$DI$17)  ))   ,$DW37,  "")</f>
        <v/>
      </c>
      <c r="CT37" s="106" t="str">
        <f aca="false">IF(    OR(   AND($C37=10000000,    $A$17&lt;=CT$19,      ($A$17+$DI$17)&gt;CT$19    ),   AND($C37&lt;&gt;10000000,  CT$19&gt;=$DX37,    CT$19&lt;=($DY37+$DI$17)  ))   ,$DW37,  "")</f>
        <v/>
      </c>
      <c r="CU37" s="106" t="str">
        <f aca="false">IF(    OR(   AND($C37=10000000,    $A$17&lt;=CU$19,      ($A$17+$DI$17)&gt;CU$19    ),   AND($C37&lt;&gt;10000000,  CU$19&gt;=$DX37,    CU$19&lt;=($DY37+$DI$17)  ))   ,$DW37,  "")</f>
        <v/>
      </c>
      <c r="CV37" s="106" t="str">
        <f aca="false">IF(    OR(   AND($C37=10000000,    $A$17&lt;=CV$19,      ($A$17+$DI$17)&gt;CV$19    ),   AND($C37&lt;&gt;10000000,  CV$19&gt;=$DX37,    CV$19&lt;=($DY37+$DI$17)  ))   ,$DW37,  "")</f>
        <v/>
      </c>
      <c r="CW37" s="106" t="str">
        <f aca="false">IF(    OR(   AND($C37=10000000,    $A$17&lt;=CW$19,      ($A$17+$DI$17)&gt;CW$19    ),   AND($C37&lt;&gt;10000000,  CW$19&gt;=$DX37,    CW$19&lt;=($DY37+$DI$17)  ))   ,$DW37,  "")</f>
        <v/>
      </c>
      <c r="CX37" s="106" t="str">
        <f aca="false">IF(    OR(   AND($C37=10000000,    $A$17&lt;=CX$19,      ($A$17+$DI$17)&gt;CX$19    ),   AND($C37&lt;&gt;10000000,  CX$19&gt;=$DX37,    CX$19&lt;=($DY37+$DI$17)  ))   ,$DW37,  "")</f>
        <v/>
      </c>
      <c r="CY37" s="106" t="str">
        <f aca="false">IF(    OR(   AND($C37=10000000,    $A$17&lt;=CY$19,      ($A$17+$DI$17)&gt;CY$19    ),   AND($C37&lt;&gt;10000000,  CY$19&gt;=$DX37,    CY$19&lt;=($DY37+$DI$17)  ))   ,$DW37,  "")</f>
        <v/>
      </c>
      <c r="CZ37" s="106" t="str">
        <f aca="false">IF(    OR(   AND($C37=10000000,    $A$17&lt;=CZ$19,      ($A$17+$DI$17)&gt;CZ$19    ),   AND($C37&lt;&gt;10000000,  CZ$19&gt;=$DX37,    CZ$19&lt;=($DY37+$DI$17)  ))   ,$DW37,  "")</f>
        <v/>
      </c>
      <c r="DA37" s="106" t="str">
        <f aca="false">IF(    OR(   AND($C37=10000000,    $A$17&lt;=DA$19,      ($A$17+$DI$17)&gt;DA$19    ),   AND($C37&lt;&gt;10000000,  DA$19&gt;=$DX37,    DA$19&lt;=($DY37+$DI$17)  ))   ,$DW37,  "")</f>
        <v/>
      </c>
      <c r="DB37" s="106" t="str">
        <f aca="false">IF(    OR(   AND($C37=10000000,    $A$17&lt;=DB$19,      ($A$17+$DI$17)&gt;DB$19    ),   AND($C37&lt;&gt;10000000,  DB$19&gt;=$DX37,    DB$19&lt;=($DY37+$DI$17)  ))   ,$DW37,  "")</f>
        <v/>
      </c>
      <c r="DC37" s="106" t="str">
        <f aca="false">IF(    OR(   AND($C37=10000000,    $A$17&lt;=DC$19,      ($A$17+$DI$17)&gt;DC$19    ),   AND($C37&lt;&gt;10000000,  DC$19&gt;=$DX37,    DC$19&lt;=($DY37+$DI$17)  ))   ,$DW37,  "")</f>
        <v/>
      </c>
      <c r="DD37" s="106" t="str">
        <f aca="false">IF(    OR(   AND($C37=10000000,    $A$17&lt;=DD$19,      ($A$17+$DI$17)&gt;DD$19    ),   AND($C37&lt;&gt;10000000,  DD$19&gt;=$DX37,    DD$19&lt;=($DY37+$DI$17)  ))   ,$DW37,  "")</f>
        <v/>
      </c>
      <c r="DE37" s="106" t="str">
        <f aca="false">IF(    OR(   AND($C37=10000000,    $A$17&lt;=DE$19,      ($A$17+$DI$17)&gt;DE$19    ),   AND($C37&lt;&gt;10000000,  DE$19&gt;=$DX37,    DE$19&lt;=($DY37+$DI$17)  ))   ,$DW37,  "")</f>
        <v/>
      </c>
      <c r="DF37" s="106" t="str">
        <f aca="false">IF(    OR(   AND($C37=10000000,    $A$17&lt;=DF$19,      ($A$17+$DI$17)&gt;DF$19    ),   AND($C37&lt;&gt;10000000,  DF$19&gt;=$DX37,    DF$19&lt;=($DY37+$DI$17)  ))   ,$DW37,  "")</f>
        <v/>
      </c>
      <c r="DG37" s="106" t="str">
        <f aca="false">IF(    OR(   AND($C37=10000000,    $A$17&lt;=DG$19,      ($A$17+$DI$17)&gt;DG$19    ),   AND($C37&lt;&gt;10000000,  DG$19&gt;=$DX37,    DG$19&lt;=($DY37+$DI$17)  ))   ,$DW37,  "")</f>
        <v/>
      </c>
      <c r="DH37" s="106" t="str">
        <f aca="false">IF(    OR(   AND($C37=10000000,    $A$17&lt;=DH$19,      ($A$17+$DI$17)&gt;DH$19    ),   AND($C37&lt;&gt;10000000,  DH$19&gt;=$DX37,    DH$19&lt;=($DY37+$DI$17)  ))   ,$DW37,  "")</f>
        <v/>
      </c>
      <c r="DI37" s="106" t="str">
        <f aca="false">IF(    OR(   AND($C37=10000000,    $A$17&lt;=DI$19,      ($A$17+$DI$17)&gt;DI$19    ),   AND($C37&lt;&gt;10000000,  DI$19&gt;=$DX37,    DI$19&lt;=($DY37+$DI$17)  ))   ,$DW37,  "")</f>
        <v/>
      </c>
      <c r="DJ37" s="74" t="str">
        <f aca="false">IF(BC37="","",IF(ISERROR(FIND(CHAR(10),BC37,1)),BC37,LEFT(BC37,FIND(CHAR(10),BC37,1))))</f>
        <v/>
      </c>
      <c r="DK37" s="61" t="str">
        <f aca="false">IF(BC37="","",IFERROR(RIGHT(BC37,LEN(BC37)-FIND("@@@",SUBSTITUTE(BC37,CHAR(10),"@@@",LEN(BC37)-LEN(SUBSTITUTE(BC37,CHAR(10),""))),1)),BC37))</f>
        <v/>
      </c>
      <c r="DL37" s="61" t="str">
        <f aca="false">IF(BD37="","",IFERROR(RIGHT(BD37,LEN(BD37)-FIND("@@@",SUBSTITUTE(BD37,CHAR(10),"@@@",LEN(BD37)-LEN(SUBSTITUTE(BD37,CHAR(10),""))),1)),BD37))</f>
        <v/>
      </c>
      <c r="DM37" s="107" t="str">
        <f aca="false">IFERROR(DATE(("20"&amp;MID(DJ37,7,2))*1,MID(DJ37,4,2)*1,MID(DJ37,1,2)*1),"none")</f>
        <v>none</v>
      </c>
      <c r="DN37" s="107" t="str">
        <f aca="false">IFERROR(DATE(("20"&amp;MID(DK37,7,2))*1,MID(DK37,4,2)*1,MID(DK37,1,2)*1),"none")</f>
        <v>none</v>
      </c>
      <c r="DO37" s="107" t="n">
        <f aca="false">IF(DM37&lt;&gt;"none",DM37,DATE(1900,1,1))</f>
        <v>2</v>
      </c>
      <c r="DP37" s="107" t="n">
        <f aca="false">IF(DN37&lt;&gt;"none",DN37,DO37)</f>
        <v>2</v>
      </c>
      <c r="DQ37" s="108" t="n">
        <f aca="false">_xlfn.DAYS($A$17,DO37)</f>
        <v>46319</v>
      </c>
      <c r="DR37" s="108" t="n">
        <f aca="false">_xlfn.DAYS($A$17, DP37)</f>
        <v>46319</v>
      </c>
      <c r="DS37" s="60" t="n">
        <f aca="false">IF(DP37&lt;&gt;"",INT(DR37/7),0)</f>
        <v>6617</v>
      </c>
      <c r="DT37" s="108" t="n">
        <f aca="false">IF(N37="Overdue",_xlfn.DAYS($A$17,AM37),0)</f>
        <v>0</v>
      </c>
      <c r="DU37" s="108" t="n">
        <f aca="false">IF(AI37="Project",_xlfn.DAYS(AM37,$A$17),0)</f>
        <v>0</v>
      </c>
      <c r="DV37" s="60" t="str">
        <f aca="false">IFERROR(INDEX(Static!$D$5:$E$13,MATCH(AI37,Static!$D$5:$D$13,0),2),"")</f>
        <v/>
      </c>
      <c r="DW37" s="60" t="str">
        <f aca="false">IF(C37=10000000,"Red",IF(OR(C37=11000000,C37=12000000),"Black",IF(C37=11100000,"Dark",IF(AND(C37=12100000,N37="Completed"),"Green",IF(AND(C37=12100000,N37="Overdue"),"Red",IF(C37=12100000,"Dark",IF(AND(C37=12110000,N37="Overdue"),"LightRed",IF(AND(C37=12110000,N37="Completed"),"LightGreen",IF(OR(C37=11110000,C37=12110000),"Light",IF(AND(C37=12111000,N37="Overdue"),"SoftRed",IF(AND(C37=12111000,N37="Completed"),"SoftGreen",IF(OR(C37=11111000,C37=12111000),"Grey",""))))))))))))</f>
        <v/>
      </c>
      <c r="DX37" s="58" t="n">
        <f aca="false">IF(AL37&lt;&gt;"",AL37,$BJ$19)</f>
        <v>45658</v>
      </c>
      <c r="DY37" s="58" t="n">
        <f aca="false">IF(AM37&lt;&gt;"",AM37,$DI$19)</f>
        <v>46387</v>
      </c>
      <c r="DZ37" s="62" t="s">
        <v>364</v>
      </c>
    </row>
    <row r="38" customFormat="false" ht="14.15" hidden="false" customHeight="true" outlineLevel="0" collapsed="false">
      <c r="A38" s="54"/>
      <c r="B38" s="61" t="n">
        <f aca="false">AI38</f>
        <v>0</v>
      </c>
      <c r="C38" s="60" t="n">
        <f aca="false">IFERROR(INDEX(Static!$D$5:$F$13,MATCH(AI38,Static!$D$5:$D$13,0),3),90000000)</f>
        <v>90000000</v>
      </c>
      <c r="D38" s="60" t="str">
        <f aca="false">MID(C38,2,1)</f>
        <v>0</v>
      </c>
      <c r="E38" s="61" t="str">
        <f aca="false">AC38</f>
        <v/>
      </c>
      <c r="F38" s="60" t="n">
        <f aca="false">IF(B38="Venture",0,IF(OR(B38="Project",B38="Stream",B38="Action"),AL38,0))</f>
        <v>0</v>
      </c>
      <c r="G38" s="60" t="n">
        <f aca="false">AT38</f>
        <v>0</v>
      </c>
      <c r="H38" s="60" t="n">
        <f aca="false">IF(B38="Venture",0,IFERROR(INDEX($E$20:$F$55,MATCH(G38,$E$20:$E$55,0),2),0))</f>
        <v>0</v>
      </c>
      <c r="I38" s="60" t="str">
        <f aca="false">IF(B38="Venture",0,IFERROR(INDEX($E$20:$G$55,MATCH(G38,$E$20:$E$55,0),3),""))</f>
        <v/>
      </c>
      <c r="J38" s="60" t="n">
        <f aca="false">IF(B38="Venture",0,IFERROR(INDEX($E$20:$H$55,MATCH(G38,$E$20:$E$55,0),4),0))</f>
        <v>0</v>
      </c>
      <c r="K38" s="60" t="n">
        <f aca="false">IF(B38="Venture",0,IFERROR(INDEX($E$20:$G$55,MATCH(I38,$E$20:$E$55,0),3),""))</f>
        <v>0</v>
      </c>
      <c r="L38" s="60" t="n">
        <f aca="false">IF(C38="Venture",0,IFERROR(INDEX($E$20:$G$55,MATCH(J38,$E$20:$E$55,0),4),0))</f>
        <v>0</v>
      </c>
      <c r="M38" s="60" t="str">
        <f aca="false">IF(N38="Completed","Completed","Ongoing")</f>
        <v>Ongoing</v>
      </c>
      <c r="N38" s="60" t="n">
        <f aca="false">IF(OR(AI38="Venture",AI38="Routine",AI38="Run Goal", AI38="Chg Goal", AI38=""),AI38,IF(AO38&lt;&gt;"","Completed",IF(AN38&lt;&gt;"","Pending",IF(AND(AM38&lt;&gt;"",$A$17&gt;AM38),"Overdue",IF($A$17&gt;AL38,"Started","Open")))))</f>
        <v>0</v>
      </c>
      <c r="O38" s="59" t="n">
        <f aca="false">((LEN($BD38)-LEN(SUBSTITUTE($BD38,CHAR(10)&amp;". ","")))/3)+IF(LEFT(TRIM($BD38),2)=". ",1,0)</f>
        <v>0</v>
      </c>
      <c r="P38" s="59" t="n">
        <f aca="false">((LEN($BD38)-LEN(SUBSTITUTE($BD38,CHAR(10)&amp;"/ ","")))/3)+IF(LEFT(TRIM($BD38),2)="/ ",1,0)</f>
        <v>0</v>
      </c>
      <c r="Q38" s="59" t="n">
        <f aca="false">((LEN($BD38)-LEN(SUBSTITUTE($BD38,CHAR(10)&amp;"~ ","")))/3)+IF(LEFT(TRIM($BD38),2)="~ ",1,0)</f>
        <v>0</v>
      </c>
      <c r="R38" s="59" t="n">
        <f aca="false">((LEN($BD38)-LEN(SUBSTITUTE($BD38,CHAR(10)&amp;"! ","")))/3)+IF(LEFT(TRIM($BD38),2)="! ",1,0)</f>
        <v>0</v>
      </c>
      <c r="S38" s="59" t="n">
        <f aca="false">((LEN($BD38)-LEN(SUBSTITUTE($BD38,CHAR(10)&amp;"x ","")))/3)+IF(LEFT(TRIM($BD38),2)="x ",1,0)</f>
        <v>0</v>
      </c>
      <c r="T38" s="59" t="n">
        <f aca="false">SUM(O38:S38)</f>
        <v>0</v>
      </c>
      <c r="U38" s="60" t="n">
        <f aca="false">IF(OR($B38="Drill",$B38="Action"),$AP38,0)</f>
        <v>0</v>
      </c>
      <c r="V38" s="60" t="n">
        <f aca="false">IF(OR($B38="Sub",$B38="Stream"),$AP38+SUMIFS($AP$20:$AP$55,$G$20:$G$55,$E38),0)</f>
        <v>0</v>
      </c>
      <c r="W38" s="60" t="n">
        <f aca="false">IF(OR($B38="Routine",$B38="Project"),$AP38+SUMIFS($V$20:$V$55,$G$20:$G$55,$E38),0)</f>
        <v>0</v>
      </c>
      <c r="X38" s="60" t="n">
        <f aca="false">IF($B38="Venture",$AP38+SUMIFS($W$20:$W$55,$G$20:$G$55,$E38),0)</f>
        <v>0</v>
      </c>
      <c r="Y38" s="60" t="n">
        <f aca="false">IF(OR($B38="Drill",$B38="Action"),$AQ38,0)</f>
        <v>0</v>
      </c>
      <c r="Z38" s="60" t="n">
        <f aca="false">IF(OR($B38="Sub",$B38="Stream"),$AQ38+SUMIFS($AQ$20:$AQ$55,$G$20:$G$55,$E38),0)</f>
        <v>0</v>
      </c>
      <c r="AA38" s="60" t="n">
        <f aca="false">IF(OR($B38="Routine",$B38="Project"),$AQ38+SUMIFS($Z$20:$Z$55,$G$20:$G$55,$E38),0)</f>
        <v>0</v>
      </c>
      <c r="AB38" s="60" t="n">
        <f aca="false">IF($B38="Venture",$AQ38+SUMIFS($AA$20:$AA$55,$G$20:$G$55,$E38),0)</f>
        <v>0</v>
      </c>
      <c r="AC38" s="60" t="str">
        <f aca="false">IF(AI38="Venture",AJ38,AI38&amp;AJ38)</f>
        <v/>
      </c>
      <c r="AD38" s="61" t="str">
        <f aca="false">"  -  "&amp;IF(E38="","ZZZ",D38&amp;AF38&amp;IF(OR(B38="Run Goal",B38="Chg Goal", B38="Venture"),F38&amp;E38,IF(OR(B38="Routine",B38="Project"),H38&amp;G38&amp;F38&amp;E38,  IF(OR(B38="Sub",B38="Stream"),J38&amp;I38&amp;H38&amp;G38&amp;F38&amp;E38,IF(OR(B38="Drill",B38="Action"),L38&amp;K38&amp;J38&amp;I38&amp;H38&amp;G38&amp;F38&amp;E38,     "") )    )))</f>
        <v>  -  ZZZ</v>
      </c>
      <c r="AE38" s="60" t="str">
        <f aca="false">IF(AND(AN38="",AO38=""),"Y","N")</f>
        <v>Y</v>
      </c>
      <c r="AF38" s="99" t="str">
        <f aca="false">IF(OR(AG38="Y",AG38="Y"),AG38,IF(DN38="none","N",IF(DN38&gt;($A$17-WEEKDAY($A$17,2)-(7*$AF$18)),"Y","N")))</f>
        <v>N</v>
      </c>
      <c r="AG38" s="100"/>
      <c r="AH38" s="101"/>
      <c r="AI38" s="62"/>
      <c r="AJ38" s="64"/>
      <c r="AK38" s="64"/>
      <c r="AL38" s="70"/>
      <c r="AM38" s="70"/>
      <c r="AN38" s="70"/>
      <c r="AO38" s="70"/>
      <c r="AP38" s="102"/>
      <c r="AQ38" s="102"/>
      <c r="AR38" s="62"/>
      <c r="AS38" s="62"/>
      <c r="AT38" s="62"/>
      <c r="AU38" s="62"/>
      <c r="AV38" s="62"/>
      <c r="AW38" s="62"/>
      <c r="AX38" s="62"/>
      <c r="AY38" s="62"/>
      <c r="AZ38" s="62"/>
      <c r="BA38" s="62"/>
      <c r="BB38" s="54"/>
      <c r="BC38" s="103"/>
      <c r="BD38" s="54"/>
      <c r="BE38" s="60" t="n">
        <f aca="false">SUM(O38:R38)</f>
        <v>0</v>
      </c>
      <c r="BF38" s="66" t="n">
        <f aca="false">IF(AJ38="",1,IF(T38&lt;&gt;0,(P38*0.5+S38)/T38,1))</f>
        <v>1</v>
      </c>
      <c r="BG38" s="69" t="str">
        <f aca="false">IF(AI38="","",IF(AI38="Venture",X38,IF(OR(AI38="Chg Goal",AI38="RUn Goal"),W38,IF(OR(AI38="ROutine",AI38="Project"),W38,IF(OR(AI38="Sub",AI38="Stream"),V38,IF(OR(AI38="Drill",AI38="Action"),U38,0))))))</f>
        <v/>
      </c>
      <c r="BH38" s="69" t="str">
        <f aca="false">IF(AI38="","",IF(AI38="Venture",AB38,IF(OR(AI38="Chg Goal",AI38="RUn Goal"),AA38,IF(OR(AI38="ROutine",AI38="Project"),AA38,IF(OR(AI38="Sub",AI38="Stream"),Z38,IF(OR(AI38="Drill",AI38="Action"),Y38,0))))))</f>
        <v/>
      </c>
      <c r="BI38" s="104" t="str">
        <f aca="false">IF(AJ38="","",IF(OR(BG38=0, BG38=""),0,BH38/BG38))</f>
        <v/>
      </c>
      <c r="BJ38" s="105" t="str">
        <f aca="false">IF(    OR(   AND($C38=10000000,    BJ$19&gt;=$A$17,      BJ$19 &lt;($A$17+$DI$17)   ),   AND($C38&lt;&gt;10000000,  BJ$19&gt;=$DX38,    BJ$19&lt;=($DY38+$DI$17)  ))   ,$DW38,  "")</f>
        <v/>
      </c>
      <c r="BK38" s="106" t="str">
        <f aca="false">IF(    OR(   AND($C38=10000000,    $A$17&lt;=BK$19,      ($A$17+$DI$17)&gt;BK$19    ),   AND($C38&lt;&gt;10000000,  BK$19&gt;=$DX38,    BK$19&lt;=($DY38+$DI$17)  ))   ,$DW38,  "")</f>
        <v/>
      </c>
      <c r="BL38" s="106" t="str">
        <f aca="false">IF(    OR(   AND($C38=10000000,    $A$17&lt;=BL$19,      ($A$17+$DI$17)&gt;BL$19    ),   AND($C38&lt;&gt;10000000,  BL$19&gt;=$DX38,    BL$19&lt;=($DY38+$DI$17)  ))   ,$DW38,  "")</f>
        <v/>
      </c>
      <c r="BM38" s="106" t="str">
        <f aca="false">IF(    OR(   AND($C38=10000000,    $A$17&lt;=BM$19,      ($A$17+$DI$17)&gt;BM$19    ),   AND($C38&lt;&gt;10000000,  BM$19&gt;=$DX38,    BM$19&lt;=($DY38+$DI$17)  ))   ,$DW38,  "")</f>
        <v/>
      </c>
      <c r="BN38" s="106" t="str">
        <f aca="false">IF(    OR(   AND($C38=10000000,    $A$17&lt;=BN$19,      ($A$17+$DI$17)&gt;BN$19    ),   AND($C38&lt;&gt;10000000,  BN$19&gt;=$DX38,    BN$19&lt;=($DY38+$DI$17)  ))   ,$DW38,  "")</f>
        <v/>
      </c>
      <c r="BO38" s="106" t="str">
        <f aca="false">IF(    OR(   AND($C38=10000000,    $A$17&lt;=BO$19,      ($A$17+$DI$17)&gt;BO$19    ),   AND($C38&lt;&gt;10000000,  BO$19&gt;=$DX38,    BO$19&lt;=($DY38+$DI$17)  ))   ,$DW38,  "")</f>
        <v/>
      </c>
      <c r="BP38" s="106" t="str">
        <f aca="false">IF(    OR(   AND($C38=10000000,    $A$17&lt;=BP$19,      ($A$17+$DI$17)&gt;BP$19    ),   AND($C38&lt;&gt;10000000,  BP$19&gt;=$DX38,    BP$19&lt;=($DY38+$DI$17)  ))   ,$DW38,  "")</f>
        <v/>
      </c>
      <c r="BQ38" s="106" t="str">
        <f aca="false">IF(    OR(   AND($C38=10000000,    $A$17&lt;=BQ$19,      ($A$17+$DI$17)&gt;BQ$19    ),   AND($C38&lt;&gt;10000000,  BQ$19&gt;=$DX38,    BQ$19&lt;=($DY38+$DI$17)  ))   ,$DW38,  "")</f>
        <v/>
      </c>
      <c r="BR38" s="106" t="str">
        <f aca="false">IF(    OR(   AND($C38=10000000,    $A$17&lt;=BR$19,      ($A$17+$DI$17)&gt;BR$19    ),   AND($C38&lt;&gt;10000000,  BR$19&gt;=$DX38,    BR$19&lt;=($DY38+$DI$17)  ))   ,$DW38,  "")</f>
        <v/>
      </c>
      <c r="BS38" s="106" t="str">
        <f aca="false">IF(    OR(   AND($C38=10000000,    $A$17&lt;=BS$19,      ($A$17+$DI$17)&gt;BS$19    ),   AND($C38&lt;&gt;10000000,  BS$19&gt;=$DX38,    BS$19&lt;=($DY38+$DI$17)  ))   ,$DW38,  "")</f>
        <v/>
      </c>
      <c r="BT38" s="106" t="str">
        <f aca="false">IF(    OR(   AND($C38=10000000,    $A$17&lt;=BT$19,      ($A$17+$DI$17)&gt;BT$19    ),   AND($C38&lt;&gt;10000000,  BT$19&gt;=$DX38,    BT$19&lt;=($DY38+$DI$17)  ))   ,$DW38,  "")</f>
        <v/>
      </c>
      <c r="BU38" s="106" t="str">
        <f aca="false">IF(    OR(   AND($C38=10000000,    $A$17&lt;=BU$19,      ($A$17+$DI$17)&gt;BU$19    ),   AND($C38&lt;&gt;10000000,  BU$19&gt;=$DX38,    BU$19&lt;=($DY38+$DI$17)  ))   ,$DW38,  "")</f>
        <v/>
      </c>
      <c r="BV38" s="106" t="str">
        <f aca="false">IF(    OR(   AND($C38=10000000,    $A$17&lt;=BV$19,      ($A$17+$DI$17)&gt;BV$19    ),   AND($C38&lt;&gt;10000000,  BV$19&gt;=$DX38,    BV$19&lt;=($DY38+$DI$17)  ))   ,$DW38,  "")</f>
        <v/>
      </c>
      <c r="BW38" s="106" t="str">
        <f aca="false">IF(    OR(   AND($C38=10000000,    $A$17&lt;=BW$19,      ($A$17+$DI$17)&gt;BW$19    ),   AND($C38&lt;&gt;10000000,  BW$19&gt;=$DX38,    BW$19&lt;=($DY38+$DI$17)  ))   ,$DW38,  "")</f>
        <v/>
      </c>
      <c r="BX38" s="106" t="str">
        <f aca="false">IF(    OR(   AND($C38=10000000,    $A$17&lt;=BX$19,      ($A$17+$DI$17)&gt;BX$19    ),   AND($C38&lt;&gt;10000000,  BX$19&gt;=$DX38,    BX$19&lt;=($DY38+$DI$17)  ))   ,$DW38,  "")</f>
        <v/>
      </c>
      <c r="BY38" s="106" t="str">
        <f aca="false">IF(    OR(   AND($C38=10000000,    $A$17&lt;=BY$19,      ($A$17+$DI$17)&gt;BY$19    ),   AND($C38&lt;&gt;10000000,  BY$19&gt;=$DX38,    BY$19&lt;=($DY38+$DI$17)  ))   ,$DW38,  "")</f>
        <v/>
      </c>
      <c r="BZ38" s="106" t="str">
        <f aca="false">IF(    OR(   AND($C38=10000000,    $A$17&lt;=BZ$19,      ($A$17+$DI$17)&gt;BZ$19    ),   AND($C38&lt;&gt;10000000,  BZ$19&gt;=$DX38,    BZ$19&lt;=($DY38+$DI$17)  ))   ,$DW38,  "")</f>
        <v/>
      </c>
      <c r="CA38" s="106" t="str">
        <f aca="false">IF(    OR(   AND($C38=10000000,    $A$17&lt;=CA$19,      ($A$17+$DI$17)&gt;CA$19    ),   AND($C38&lt;&gt;10000000,  CA$19&gt;=$DX38,    CA$19&lt;=($DY38+$DI$17)  ))   ,$DW38,  "")</f>
        <v/>
      </c>
      <c r="CB38" s="106" t="str">
        <f aca="false">IF(    OR(   AND($C38=10000000,    $A$17&lt;=CB$19,      ($A$17+$DI$17)&gt;CB$19    ),   AND($C38&lt;&gt;10000000,  CB$19&gt;=$DX38,    CB$19&lt;=($DY38+$DI$17)  ))   ,$DW38,  "")</f>
        <v/>
      </c>
      <c r="CC38" s="106" t="str">
        <f aca="false">IF(    OR(   AND($C38=10000000,    $A$17&lt;=CC$19,      ($A$17+$DI$17)&gt;CC$19    ),   AND($C38&lt;&gt;10000000,  CC$19&gt;=$DX38,    CC$19&lt;=($DY38+$DI$17)  ))   ,$DW38,  "")</f>
        <v/>
      </c>
      <c r="CD38" s="106" t="str">
        <f aca="false">IF(    OR(   AND($C38=10000000,    $A$17&lt;=CD$19,      ($A$17+$DI$17)&gt;CD$19    ),   AND($C38&lt;&gt;10000000,  CD$19&gt;=$DX38,    CD$19&lt;=($DY38+$DI$17)  ))   ,$DW38,  "")</f>
        <v/>
      </c>
      <c r="CE38" s="106" t="str">
        <f aca="false">IF(    OR(   AND($C38=10000000,    $A$17&lt;=CE$19,      ($A$17+$DI$17)&gt;CE$19    ),   AND($C38&lt;&gt;10000000,  CE$19&gt;=$DX38,    CE$19&lt;=($DY38+$DI$17)  ))   ,$DW38,  "")</f>
        <v/>
      </c>
      <c r="CF38" s="106" t="str">
        <f aca="false">IF(    OR(   AND($C38=10000000,    $A$17&lt;=CF$19,      ($A$17+$DI$17)&gt;CF$19    ),   AND($C38&lt;&gt;10000000,  CF$19&gt;=$DX38,    CF$19&lt;=($DY38+$DI$17)  ))   ,$DW38,  "")</f>
        <v/>
      </c>
      <c r="CG38" s="106" t="str">
        <f aca="false">IF(    OR(   AND($C38=10000000,    $A$17&lt;=CG$19,      ($A$17+$DI$17)&gt;CG$19    ),   AND($C38&lt;&gt;10000000,  CG$19&gt;=$DX38,    CG$19&lt;=($DY38+$DI$17)  ))   ,$DW38,  "")</f>
        <v/>
      </c>
      <c r="CH38" s="106" t="str">
        <f aca="false">IF(    OR(   AND($C38=10000000,    $A$17&lt;=CH$19,      ($A$17+$DI$17)&gt;CH$19    ),   AND($C38&lt;&gt;10000000,  CH$19&gt;=$DX38,    CH$19&lt;=($DY38+$DI$17)  ))   ,$DW38,  "")</f>
        <v/>
      </c>
      <c r="CI38" s="106" t="str">
        <f aca="false">IF(    OR(   AND($C38=10000000,    $A$17&lt;=CI$19,      ($A$17+$DI$17)&gt;CI$19    ),   AND($C38&lt;&gt;10000000,  CI$19&gt;=$DX38,    CI$19&lt;=($DY38+$DI$17)  ))   ,$DW38,  "")</f>
        <v/>
      </c>
      <c r="CJ38" s="106" t="str">
        <f aca="false">IF(    OR(   AND($C38=10000000,    $A$17&lt;=CJ$19,      ($A$17+$DI$17)&gt;CJ$19    ),   AND($C38&lt;&gt;10000000,  CJ$19&gt;=$DX38,    CJ$19&lt;=($DY38+$DI$17)  ))   ,$DW38,  "")</f>
        <v/>
      </c>
      <c r="CK38" s="106" t="str">
        <f aca="false">IF(    OR(   AND($C38=10000000,    $A$17&lt;=CK$19,      ($A$17+$DI$17)&gt;CK$19    ),   AND($C38&lt;&gt;10000000,  CK$19&gt;=$DX38,    CK$19&lt;=($DY38+$DI$17)  ))   ,$DW38,  "")</f>
        <v/>
      </c>
      <c r="CL38" s="106" t="str">
        <f aca="false">IF(    OR(   AND($C38=10000000,    $A$17&lt;=CL$19,      ($A$17+$DI$17)&gt;CL$19    ),   AND($C38&lt;&gt;10000000,  CL$19&gt;=$DX38,    CL$19&lt;=($DY38+$DI$17)  ))   ,$DW38,  "")</f>
        <v/>
      </c>
      <c r="CM38" s="106" t="str">
        <f aca="false">IF(    OR(   AND($C38=10000000,    $A$17&lt;=CM$19,      ($A$17+$DI$17)&gt;CM$19    ),   AND($C38&lt;&gt;10000000,  CM$19&gt;=$DX38,    CM$19&lt;=($DY38+$DI$17)  ))   ,$DW38,  "")</f>
        <v/>
      </c>
      <c r="CN38" s="106" t="str">
        <f aca="false">IF(    OR(   AND($C38=10000000,    $A$17&lt;=CN$19,      ($A$17+$DI$17)&gt;CN$19    ),   AND($C38&lt;&gt;10000000,  CN$19&gt;=$DX38,    CN$19&lt;=($DY38+$DI$17)  ))   ,$DW38,  "")</f>
        <v/>
      </c>
      <c r="CO38" s="106" t="str">
        <f aca="false">IF(    OR(   AND($C38=10000000,    $A$17&lt;=CO$19,      ($A$17+$DI$17)&gt;CO$19    ),   AND($C38&lt;&gt;10000000,  CO$19&gt;=$DX38,    CO$19&lt;=($DY38+$DI$17)  ))   ,$DW38,  "")</f>
        <v/>
      </c>
      <c r="CP38" s="106" t="str">
        <f aca="false">IF(    OR(   AND($C38=10000000,    $A$17&lt;=CP$19,      ($A$17+$DI$17)&gt;CP$19    ),   AND($C38&lt;&gt;10000000,  CP$19&gt;=$DX38,    CP$19&lt;=($DY38+$DI$17)  ))   ,$DW38,  "")</f>
        <v/>
      </c>
      <c r="CQ38" s="106" t="str">
        <f aca="false">IF(    OR(   AND($C38=10000000,    $A$17&lt;=CQ$19,      ($A$17+$DI$17)&gt;CQ$19    ),   AND($C38&lt;&gt;10000000,  CQ$19&gt;=$DX38,    CQ$19&lt;=($DY38+$DI$17)  ))   ,$DW38,  "")</f>
        <v/>
      </c>
      <c r="CR38" s="106" t="str">
        <f aca="false">IF(    OR(   AND($C38=10000000,    $A$17&lt;=CR$19,      ($A$17+$DI$17)&gt;CR$19    ),   AND($C38&lt;&gt;10000000,  CR$19&gt;=$DX38,    CR$19&lt;=($DY38+$DI$17)  ))   ,$DW38,  "")</f>
        <v/>
      </c>
      <c r="CS38" s="106" t="str">
        <f aca="false">IF(    OR(   AND($C38=10000000,    $A$17&lt;=CS$19,      ($A$17+$DI$17)&gt;CS$19    ),   AND($C38&lt;&gt;10000000,  CS$19&gt;=$DX38,    CS$19&lt;=($DY38+$DI$17)  ))   ,$DW38,  "")</f>
        <v/>
      </c>
      <c r="CT38" s="106" t="str">
        <f aca="false">IF(    OR(   AND($C38=10000000,    $A$17&lt;=CT$19,      ($A$17+$DI$17)&gt;CT$19    ),   AND($C38&lt;&gt;10000000,  CT$19&gt;=$DX38,    CT$19&lt;=($DY38+$DI$17)  ))   ,$DW38,  "")</f>
        <v/>
      </c>
      <c r="CU38" s="106" t="str">
        <f aca="false">IF(    OR(   AND($C38=10000000,    $A$17&lt;=CU$19,      ($A$17+$DI$17)&gt;CU$19    ),   AND($C38&lt;&gt;10000000,  CU$19&gt;=$DX38,    CU$19&lt;=($DY38+$DI$17)  ))   ,$DW38,  "")</f>
        <v/>
      </c>
      <c r="CV38" s="106" t="str">
        <f aca="false">IF(    OR(   AND($C38=10000000,    $A$17&lt;=CV$19,      ($A$17+$DI$17)&gt;CV$19    ),   AND($C38&lt;&gt;10000000,  CV$19&gt;=$DX38,    CV$19&lt;=($DY38+$DI$17)  ))   ,$DW38,  "")</f>
        <v/>
      </c>
      <c r="CW38" s="106" t="str">
        <f aca="false">IF(    OR(   AND($C38=10000000,    $A$17&lt;=CW$19,      ($A$17+$DI$17)&gt;CW$19    ),   AND($C38&lt;&gt;10000000,  CW$19&gt;=$DX38,    CW$19&lt;=($DY38+$DI$17)  ))   ,$DW38,  "")</f>
        <v/>
      </c>
      <c r="CX38" s="106" t="str">
        <f aca="false">IF(    OR(   AND($C38=10000000,    $A$17&lt;=CX$19,      ($A$17+$DI$17)&gt;CX$19    ),   AND($C38&lt;&gt;10000000,  CX$19&gt;=$DX38,    CX$19&lt;=($DY38+$DI$17)  ))   ,$DW38,  "")</f>
        <v/>
      </c>
      <c r="CY38" s="106" t="str">
        <f aca="false">IF(    OR(   AND($C38=10000000,    $A$17&lt;=CY$19,      ($A$17+$DI$17)&gt;CY$19    ),   AND($C38&lt;&gt;10000000,  CY$19&gt;=$DX38,    CY$19&lt;=($DY38+$DI$17)  ))   ,$DW38,  "")</f>
        <v/>
      </c>
      <c r="CZ38" s="106" t="str">
        <f aca="false">IF(    OR(   AND($C38=10000000,    $A$17&lt;=CZ$19,      ($A$17+$DI$17)&gt;CZ$19    ),   AND($C38&lt;&gt;10000000,  CZ$19&gt;=$DX38,    CZ$19&lt;=($DY38+$DI$17)  ))   ,$DW38,  "")</f>
        <v/>
      </c>
      <c r="DA38" s="106" t="str">
        <f aca="false">IF(    OR(   AND($C38=10000000,    $A$17&lt;=DA$19,      ($A$17+$DI$17)&gt;DA$19    ),   AND($C38&lt;&gt;10000000,  DA$19&gt;=$DX38,    DA$19&lt;=($DY38+$DI$17)  ))   ,$DW38,  "")</f>
        <v/>
      </c>
      <c r="DB38" s="106" t="str">
        <f aca="false">IF(    OR(   AND($C38=10000000,    $A$17&lt;=DB$19,      ($A$17+$DI$17)&gt;DB$19    ),   AND($C38&lt;&gt;10000000,  DB$19&gt;=$DX38,    DB$19&lt;=($DY38+$DI$17)  ))   ,$DW38,  "")</f>
        <v/>
      </c>
      <c r="DC38" s="106" t="str">
        <f aca="false">IF(    OR(   AND($C38=10000000,    $A$17&lt;=DC$19,      ($A$17+$DI$17)&gt;DC$19    ),   AND($C38&lt;&gt;10000000,  DC$19&gt;=$DX38,    DC$19&lt;=($DY38+$DI$17)  ))   ,$DW38,  "")</f>
        <v/>
      </c>
      <c r="DD38" s="106" t="str">
        <f aca="false">IF(    OR(   AND($C38=10000000,    $A$17&lt;=DD$19,      ($A$17+$DI$17)&gt;DD$19    ),   AND($C38&lt;&gt;10000000,  DD$19&gt;=$DX38,    DD$19&lt;=($DY38+$DI$17)  ))   ,$DW38,  "")</f>
        <v/>
      </c>
      <c r="DE38" s="106" t="str">
        <f aca="false">IF(    OR(   AND($C38=10000000,    $A$17&lt;=DE$19,      ($A$17+$DI$17)&gt;DE$19    ),   AND($C38&lt;&gt;10000000,  DE$19&gt;=$DX38,    DE$19&lt;=($DY38+$DI$17)  ))   ,$DW38,  "")</f>
        <v/>
      </c>
      <c r="DF38" s="106" t="str">
        <f aca="false">IF(    OR(   AND($C38=10000000,    $A$17&lt;=DF$19,      ($A$17+$DI$17)&gt;DF$19    ),   AND($C38&lt;&gt;10000000,  DF$19&gt;=$DX38,    DF$19&lt;=($DY38+$DI$17)  ))   ,$DW38,  "")</f>
        <v/>
      </c>
      <c r="DG38" s="106" t="str">
        <f aca="false">IF(    OR(   AND($C38=10000000,    $A$17&lt;=DG$19,      ($A$17+$DI$17)&gt;DG$19    ),   AND($C38&lt;&gt;10000000,  DG$19&gt;=$DX38,    DG$19&lt;=($DY38+$DI$17)  ))   ,$DW38,  "")</f>
        <v/>
      </c>
      <c r="DH38" s="106" t="str">
        <f aca="false">IF(    OR(   AND($C38=10000000,    $A$17&lt;=DH$19,      ($A$17+$DI$17)&gt;DH$19    ),   AND($C38&lt;&gt;10000000,  DH$19&gt;=$DX38,    DH$19&lt;=($DY38+$DI$17)  ))   ,$DW38,  "")</f>
        <v/>
      </c>
      <c r="DI38" s="106" t="str">
        <f aca="false">IF(    OR(   AND($C38=10000000,    $A$17&lt;=DI$19,      ($A$17+$DI$17)&gt;DI$19    ),   AND($C38&lt;&gt;10000000,  DI$19&gt;=$DX38,    DI$19&lt;=($DY38+$DI$17)  ))   ,$DW38,  "")</f>
        <v/>
      </c>
      <c r="DJ38" s="74" t="str">
        <f aca="false">IF(BC38="","",IF(ISERROR(FIND(CHAR(10),BC38,1)),BC38,LEFT(BC38,FIND(CHAR(10),BC38,1))))</f>
        <v/>
      </c>
      <c r="DK38" s="61" t="str">
        <f aca="false">IF(BC38="","",IFERROR(RIGHT(BC38,LEN(BC38)-FIND("@@@",SUBSTITUTE(BC38,CHAR(10),"@@@",LEN(BC38)-LEN(SUBSTITUTE(BC38,CHAR(10),""))),1)),BC38))</f>
        <v/>
      </c>
      <c r="DL38" s="61" t="str">
        <f aca="false">IF(BD38="","",IFERROR(RIGHT(BD38,LEN(BD38)-FIND("@@@",SUBSTITUTE(BD38,CHAR(10),"@@@",LEN(BD38)-LEN(SUBSTITUTE(BD38,CHAR(10),""))),1)),BD38))</f>
        <v/>
      </c>
      <c r="DM38" s="107" t="str">
        <f aca="false">IFERROR(DATE(("20"&amp;MID(DJ38,7,2))*1,MID(DJ38,4,2)*1,MID(DJ38,1,2)*1),"none")</f>
        <v>none</v>
      </c>
      <c r="DN38" s="107" t="str">
        <f aca="false">IFERROR(DATE(("20"&amp;MID(DK38,7,2))*1,MID(DK38,4,2)*1,MID(DK38,1,2)*1),"none")</f>
        <v>none</v>
      </c>
      <c r="DO38" s="107" t="n">
        <f aca="false">IF(DM38&lt;&gt;"none",DM38,DATE(1900,1,1))</f>
        <v>2</v>
      </c>
      <c r="DP38" s="107" t="n">
        <f aca="false">IF(DN38&lt;&gt;"none",DN38,DO38)</f>
        <v>2</v>
      </c>
      <c r="DQ38" s="108" t="n">
        <f aca="false">_xlfn.DAYS($A$17,DO38)</f>
        <v>46319</v>
      </c>
      <c r="DR38" s="108" t="n">
        <f aca="false">_xlfn.DAYS($A$17, DP38)</f>
        <v>46319</v>
      </c>
      <c r="DS38" s="60" t="n">
        <f aca="false">IF(DP38&lt;&gt;"",INT(DR38/7),0)</f>
        <v>6617</v>
      </c>
      <c r="DT38" s="108" t="n">
        <f aca="false">IF(N38="Overdue",_xlfn.DAYS($A$17,AM38),0)</f>
        <v>0</v>
      </c>
      <c r="DU38" s="108" t="n">
        <f aca="false">IF(AI38="Project",_xlfn.DAYS(AM38,$A$17),0)</f>
        <v>0</v>
      </c>
      <c r="DV38" s="60" t="str">
        <f aca="false">IFERROR(INDEX(Static!$D$5:$E$13,MATCH(AI38,Static!$D$5:$D$13,0),2),"")</f>
        <v/>
      </c>
      <c r="DW38" s="60" t="str">
        <f aca="false">IF(C38=10000000,"Red",IF(OR(C38=11000000,C38=12000000),"Black",IF(C38=11100000,"Dark",IF(AND(C38=12100000,N38="Completed"),"Green",IF(AND(C38=12100000,N38="Overdue"),"Red",IF(C38=12100000,"Dark",IF(AND(C38=12110000,N38="Overdue"),"LightRed",IF(AND(C38=12110000,N38="Completed"),"LightGreen",IF(OR(C38=11110000,C38=12110000),"Light",IF(AND(C38=12111000,N38="Overdue"),"SoftRed",IF(AND(C38=12111000,N38="Completed"),"SoftGreen",IF(OR(C38=11111000,C38=12111000),"Grey",""))))))))))))</f>
        <v/>
      </c>
      <c r="DX38" s="58" t="n">
        <f aca="false">IF(AL38&lt;&gt;"",AL38,$BJ$19)</f>
        <v>45658</v>
      </c>
      <c r="DY38" s="58" t="n">
        <f aca="false">IF(AM38&lt;&gt;"",AM38,$DI$19)</f>
        <v>46387</v>
      </c>
      <c r="DZ38" s="62" t="s">
        <v>364</v>
      </c>
    </row>
    <row r="39" customFormat="false" ht="14.15" hidden="false" customHeight="true" outlineLevel="0" collapsed="false">
      <c r="A39" s="54"/>
      <c r="B39" s="61" t="n">
        <f aca="false">AI39</f>
        <v>0</v>
      </c>
      <c r="C39" s="60" t="n">
        <f aca="false">IFERROR(INDEX(Static!$D$5:$F$13,MATCH(AI39,Static!$D$5:$D$13,0),3),90000000)</f>
        <v>90000000</v>
      </c>
      <c r="D39" s="60" t="str">
        <f aca="false">MID(C39,2,1)</f>
        <v>0</v>
      </c>
      <c r="E39" s="61" t="str">
        <f aca="false">AC39</f>
        <v/>
      </c>
      <c r="F39" s="60" t="n">
        <f aca="false">IF(B39="Venture",0,IF(OR(B39="Project",B39="Stream",B39="Action"),AL39,0))</f>
        <v>0</v>
      </c>
      <c r="G39" s="60" t="n">
        <f aca="false">AT39</f>
        <v>0</v>
      </c>
      <c r="H39" s="60" t="n">
        <f aca="false">IF(B39="Venture",0,IFERROR(INDEX($E$20:$F$55,MATCH(G39,$E$20:$E$55,0),2),0))</f>
        <v>0</v>
      </c>
      <c r="I39" s="60" t="str">
        <f aca="false">IF(B39="Venture",0,IFERROR(INDEX($E$20:$G$55,MATCH(G39,$E$20:$E$55,0),3),""))</f>
        <v/>
      </c>
      <c r="J39" s="60" t="n">
        <f aca="false">IF(B39="Venture",0,IFERROR(INDEX($E$20:$H$55,MATCH(G39,$E$20:$E$55,0),4),0))</f>
        <v>0</v>
      </c>
      <c r="K39" s="60" t="n">
        <f aca="false">IF(B39="Venture",0,IFERROR(INDEX($E$20:$G$55,MATCH(I39,$E$20:$E$55,0),3),""))</f>
        <v>0</v>
      </c>
      <c r="L39" s="60" t="n">
        <f aca="false">IF(C39="Venture",0,IFERROR(INDEX($E$20:$G$55,MATCH(J39,$E$20:$E$55,0),4),0))</f>
        <v>0</v>
      </c>
      <c r="M39" s="60" t="str">
        <f aca="false">IF(N39="Completed","Completed","Ongoing")</f>
        <v>Ongoing</v>
      </c>
      <c r="N39" s="60" t="n">
        <f aca="false">IF(OR(AI39="Venture",AI39="Routine",AI39="Run Goal", AI39="Chg Goal", AI39=""),AI39,IF(AO39&lt;&gt;"","Completed",IF(AN39&lt;&gt;"","Pending",IF(AND(AM39&lt;&gt;"",$A$17&gt;AM39),"Overdue",IF($A$17&gt;AL39,"Started","Open")))))</f>
        <v>0</v>
      </c>
      <c r="O39" s="59" t="n">
        <f aca="false">((LEN($BD39)-LEN(SUBSTITUTE($BD39,CHAR(10)&amp;". ","")))/3)+IF(LEFT(TRIM($BD39),2)=". ",1,0)</f>
        <v>0</v>
      </c>
      <c r="P39" s="59" t="n">
        <f aca="false">((LEN($BD39)-LEN(SUBSTITUTE($BD39,CHAR(10)&amp;"/ ","")))/3)+IF(LEFT(TRIM($BD39),2)="/ ",1,0)</f>
        <v>0</v>
      </c>
      <c r="Q39" s="59" t="n">
        <f aca="false">((LEN($BD39)-LEN(SUBSTITUTE($BD39,CHAR(10)&amp;"~ ","")))/3)+IF(LEFT(TRIM($BD39),2)="~ ",1,0)</f>
        <v>0</v>
      </c>
      <c r="R39" s="59" t="n">
        <f aca="false">((LEN($BD39)-LEN(SUBSTITUTE($BD39,CHAR(10)&amp;"! ","")))/3)+IF(LEFT(TRIM($BD39),2)="! ",1,0)</f>
        <v>0</v>
      </c>
      <c r="S39" s="59" t="n">
        <f aca="false">((LEN($BD39)-LEN(SUBSTITUTE($BD39,CHAR(10)&amp;"x ","")))/3)+IF(LEFT(TRIM($BD39),2)="x ",1,0)</f>
        <v>0</v>
      </c>
      <c r="T39" s="59" t="n">
        <f aca="false">SUM(O39:S39)</f>
        <v>0</v>
      </c>
      <c r="U39" s="60" t="n">
        <f aca="false">IF(OR($B39="Drill",$B39="Action"),$AP39,0)</f>
        <v>0</v>
      </c>
      <c r="V39" s="60" t="n">
        <f aca="false">IF(OR($B39="Sub",$B39="Stream"),$AP39+SUMIFS($AP$20:$AP$55,$G$20:$G$55,$E39),0)</f>
        <v>0</v>
      </c>
      <c r="W39" s="60" t="n">
        <f aca="false">IF(OR($B39="Routine",$B39="Project"),$AP39+SUMIFS($V$20:$V$55,$G$20:$G$55,$E39),0)</f>
        <v>0</v>
      </c>
      <c r="X39" s="60" t="n">
        <f aca="false">IF($B39="Venture",$AP39+SUMIFS($W$20:$W$55,$G$20:$G$55,$E39),0)</f>
        <v>0</v>
      </c>
      <c r="Y39" s="60" t="n">
        <f aca="false">IF(OR($B39="Drill",$B39="Action"),$AQ39,0)</f>
        <v>0</v>
      </c>
      <c r="Z39" s="60" t="n">
        <f aca="false">IF(OR($B39="Sub",$B39="Stream"),$AQ39+SUMIFS($AQ$20:$AQ$55,$G$20:$G$55,$E39),0)</f>
        <v>0</v>
      </c>
      <c r="AA39" s="60" t="n">
        <f aca="false">IF(OR($B39="Routine",$B39="Project"),$AQ39+SUMIFS($Z$20:$Z$55,$G$20:$G$55,$E39),0)</f>
        <v>0</v>
      </c>
      <c r="AB39" s="60" t="n">
        <f aca="false">IF($B39="Venture",$AQ39+SUMIFS($AA$20:$AA$55,$G$20:$G$55,$E39),0)</f>
        <v>0</v>
      </c>
      <c r="AC39" s="60" t="str">
        <f aca="false">IF(AI39="Venture",AJ39,AI39&amp;AJ39)</f>
        <v/>
      </c>
      <c r="AD39" s="61" t="str">
        <f aca="false">"  -  "&amp;IF(E39="","ZZZ",D39&amp;AF39&amp;IF(OR(B39="Run Goal",B39="Chg Goal", B39="Venture"),F39&amp;E39,IF(OR(B39="Routine",B39="Project"),H39&amp;G39&amp;F39&amp;E39,  IF(OR(B39="Sub",B39="Stream"),J39&amp;I39&amp;H39&amp;G39&amp;F39&amp;E39,IF(OR(B39="Drill",B39="Action"),L39&amp;K39&amp;J39&amp;I39&amp;H39&amp;G39&amp;F39&amp;E39,     "") )    )))</f>
        <v>  -  ZZZ</v>
      </c>
      <c r="AE39" s="60" t="str">
        <f aca="false">IF(AND(AN39="",AO39=""),"Y","N")</f>
        <v>Y</v>
      </c>
      <c r="AF39" s="99" t="str">
        <f aca="false">IF(OR(AG39="Y",AG39="Y"),AG39,IF(DN39="none","N",IF(DN39&gt;($A$17-WEEKDAY($A$17,2)-(7*$AF$18)),"Y","N")))</f>
        <v>N</v>
      </c>
      <c r="AG39" s="100"/>
      <c r="AH39" s="101"/>
      <c r="AI39" s="62"/>
      <c r="AJ39" s="64"/>
      <c r="AK39" s="64"/>
      <c r="AL39" s="70"/>
      <c r="AM39" s="70"/>
      <c r="AN39" s="70"/>
      <c r="AO39" s="70"/>
      <c r="AP39" s="102"/>
      <c r="AQ39" s="102"/>
      <c r="AR39" s="62"/>
      <c r="AS39" s="62"/>
      <c r="AT39" s="62"/>
      <c r="AU39" s="62"/>
      <c r="AV39" s="62"/>
      <c r="AW39" s="62"/>
      <c r="AX39" s="62"/>
      <c r="AY39" s="62"/>
      <c r="AZ39" s="62"/>
      <c r="BA39" s="62"/>
      <c r="BB39" s="54"/>
      <c r="BC39" s="103"/>
      <c r="BD39" s="54"/>
      <c r="BE39" s="60" t="n">
        <f aca="false">SUM(O39:R39)</f>
        <v>0</v>
      </c>
      <c r="BF39" s="66" t="n">
        <f aca="false">IF(AJ39="",1,IF(T39&lt;&gt;0,(P39*0.5+S39)/T39,1))</f>
        <v>1</v>
      </c>
      <c r="BG39" s="69" t="str">
        <f aca="false">IF(AI39="","",IF(AI39="Venture",X39,IF(OR(AI39="Chg Goal",AI39="RUn Goal"),W39,IF(OR(AI39="ROutine",AI39="Project"),W39,IF(OR(AI39="Sub",AI39="Stream"),V39,IF(OR(AI39="Drill",AI39="Action"),U39,0))))))</f>
        <v/>
      </c>
      <c r="BH39" s="69" t="str">
        <f aca="false">IF(AI39="","",IF(AI39="Venture",AB39,IF(OR(AI39="Chg Goal",AI39="RUn Goal"),AA39,IF(OR(AI39="ROutine",AI39="Project"),AA39,IF(OR(AI39="Sub",AI39="Stream"),Z39,IF(OR(AI39="Drill",AI39="Action"),Y39,0))))))</f>
        <v/>
      </c>
      <c r="BI39" s="104" t="str">
        <f aca="false">IF(AJ39="","",IF(OR(BG39=0, BG39=""),0,BH39/BG39))</f>
        <v/>
      </c>
      <c r="BJ39" s="105" t="str">
        <f aca="false">IF(    OR(   AND($C39=10000000,    BJ$19&gt;=$A$17,      BJ$19 &lt;($A$17+$DI$17)   ),   AND($C39&lt;&gt;10000000,  BJ$19&gt;=$DX39,    BJ$19&lt;=($DY39+$DI$17)  ))   ,$DW39,  "")</f>
        <v/>
      </c>
      <c r="BK39" s="106" t="str">
        <f aca="false">IF(    OR(   AND($C39=10000000,    $A$17&lt;=BK$19,      ($A$17+$DI$17)&gt;BK$19    ),   AND($C39&lt;&gt;10000000,  BK$19&gt;=$DX39,    BK$19&lt;=($DY39+$DI$17)  ))   ,$DW39,  "")</f>
        <v/>
      </c>
      <c r="BL39" s="106" t="str">
        <f aca="false">IF(    OR(   AND($C39=10000000,    $A$17&lt;=BL$19,      ($A$17+$DI$17)&gt;BL$19    ),   AND($C39&lt;&gt;10000000,  BL$19&gt;=$DX39,    BL$19&lt;=($DY39+$DI$17)  ))   ,$DW39,  "")</f>
        <v/>
      </c>
      <c r="BM39" s="106" t="str">
        <f aca="false">IF(    OR(   AND($C39=10000000,    $A$17&lt;=BM$19,      ($A$17+$DI$17)&gt;BM$19    ),   AND($C39&lt;&gt;10000000,  BM$19&gt;=$DX39,    BM$19&lt;=($DY39+$DI$17)  ))   ,$DW39,  "")</f>
        <v/>
      </c>
      <c r="BN39" s="106" t="str">
        <f aca="false">IF(    OR(   AND($C39=10000000,    $A$17&lt;=BN$19,      ($A$17+$DI$17)&gt;BN$19    ),   AND($C39&lt;&gt;10000000,  BN$19&gt;=$DX39,    BN$19&lt;=($DY39+$DI$17)  ))   ,$DW39,  "")</f>
        <v/>
      </c>
      <c r="BO39" s="106" t="str">
        <f aca="false">IF(    OR(   AND($C39=10000000,    $A$17&lt;=BO$19,      ($A$17+$DI$17)&gt;BO$19    ),   AND($C39&lt;&gt;10000000,  BO$19&gt;=$DX39,    BO$19&lt;=($DY39+$DI$17)  ))   ,$DW39,  "")</f>
        <v/>
      </c>
      <c r="BP39" s="106" t="str">
        <f aca="false">IF(    OR(   AND($C39=10000000,    $A$17&lt;=BP$19,      ($A$17+$DI$17)&gt;BP$19    ),   AND($C39&lt;&gt;10000000,  BP$19&gt;=$DX39,    BP$19&lt;=($DY39+$DI$17)  ))   ,$DW39,  "")</f>
        <v/>
      </c>
      <c r="BQ39" s="106" t="str">
        <f aca="false">IF(    OR(   AND($C39=10000000,    $A$17&lt;=BQ$19,      ($A$17+$DI$17)&gt;BQ$19    ),   AND($C39&lt;&gt;10000000,  BQ$19&gt;=$DX39,    BQ$19&lt;=($DY39+$DI$17)  ))   ,$DW39,  "")</f>
        <v/>
      </c>
      <c r="BR39" s="106" t="str">
        <f aca="false">IF(    OR(   AND($C39=10000000,    $A$17&lt;=BR$19,      ($A$17+$DI$17)&gt;BR$19    ),   AND($C39&lt;&gt;10000000,  BR$19&gt;=$DX39,    BR$19&lt;=($DY39+$DI$17)  ))   ,$DW39,  "")</f>
        <v/>
      </c>
      <c r="BS39" s="106" t="str">
        <f aca="false">IF(    OR(   AND($C39=10000000,    $A$17&lt;=BS$19,      ($A$17+$DI$17)&gt;BS$19    ),   AND($C39&lt;&gt;10000000,  BS$19&gt;=$DX39,    BS$19&lt;=($DY39+$DI$17)  ))   ,$DW39,  "")</f>
        <v/>
      </c>
      <c r="BT39" s="106" t="str">
        <f aca="false">IF(    OR(   AND($C39=10000000,    $A$17&lt;=BT$19,      ($A$17+$DI$17)&gt;BT$19    ),   AND($C39&lt;&gt;10000000,  BT$19&gt;=$DX39,    BT$19&lt;=($DY39+$DI$17)  ))   ,$DW39,  "")</f>
        <v/>
      </c>
      <c r="BU39" s="106" t="str">
        <f aca="false">IF(    OR(   AND($C39=10000000,    $A$17&lt;=BU$19,      ($A$17+$DI$17)&gt;BU$19    ),   AND($C39&lt;&gt;10000000,  BU$19&gt;=$DX39,    BU$19&lt;=($DY39+$DI$17)  ))   ,$DW39,  "")</f>
        <v/>
      </c>
      <c r="BV39" s="106" t="str">
        <f aca="false">IF(    OR(   AND($C39=10000000,    $A$17&lt;=BV$19,      ($A$17+$DI$17)&gt;BV$19    ),   AND($C39&lt;&gt;10000000,  BV$19&gt;=$DX39,    BV$19&lt;=($DY39+$DI$17)  ))   ,$DW39,  "")</f>
        <v/>
      </c>
      <c r="BW39" s="106" t="str">
        <f aca="false">IF(    OR(   AND($C39=10000000,    $A$17&lt;=BW$19,      ($A$17+$DI$17)&gt;BW$19    ),   AND($C39&lt;&gt;10000000,  BW$19&gt;=$DX39,    BW$19&lt;=($DY39+$DI$17)  ))   ,$DW39,  "")</f>
        <v/>
      </c>
      <c r="BX39" s="106" t="str">
        <f aca="false">IF(    OR(   AND($C39=10000000,    $A$17&lt;=BX$19,      ($A$17+$DI$17)&gt;BX$19    ),   AND($C39&lt;&gt;10000000,  BX$19&gt;=$DX39,    BX$19&lt;=($DY39+$DI$17)  ))   ,$DW39,  "")</f>
        <v/>
      </c>
      <c r="BY39" s="106" t="str">
        <f aca="false">IF(    OR(   AND($C39=10000000,    $A$17&lt;=BY$19,      ($A$17+$DI$17)&gt;BY$19    ),   AND($C39&lt;&gt;10000000,  BY$19&gt;=$DX39,    BY$19&lt;=($DY39+$DI$17)  ))   ,$DW39,  "")</f>
        <v/>
      </c>
      <c r="BZ39" s="106" t="str">
        <f aca="false">IF(    OR(   AND($C39=10000000,    $A$17&lt;=BZ$19,      ($A$17+$DI$17)&gt;BZ$19    ),   AND($C39&lt;&gt;10000000,  BZ$19&gt;=$DX39,    BZ$19&lt;=($DY39+$DI$17)  ))   ,$DW39,  "")</f>
        <v/>
      </c>
      <c r="CA39" s="106" t="str">
        <f aca="false">IF(    OR(   AND($C39=10000000,    $A$17&lt;=CA$19,      ($A$17+$DI$17)&gt;CA$19    ),   AND($C39&lt;&gt;10000000,  CA$19&gt;=$DX39,    CA$19&lt;=($DY39+$DI$17)  ))   ,$DW39,  "")</f>
        <v/>
      </c>
      <c r="CB39" s="106" t="str">
        <f aca="false">IF(    OR(   AND($C39=10000000,    $A$17&lt;=CB$19,      ($A$17+$DI$17)&gt;CB$19    ),   AND($C39&lt;&gt;10000000,  CB$19&gt;=$DX39,    CB$19&lt;=($DY39+$DI$17)  ))   ,$DW39,  "")</f>
        <v/>
      </c>
      <c r="CC39" s="106" t="str">
        <f aca="false">IF(    OR(   AND($C39=10000000,    $A$17&lt;=CC$19,      ($A$17+$DI$17)&gt;CC$19    ),   AND($C39&lt;&gt;10000000,  CC$19&gt;=$DX39,    CC$19&lt;=($DY39+$DI$17)  ))   ,$DW39,  "")</f>
        <v/>
      </c>
      <c r="CD39" s="106" t="str">
        <f aca="false">IF(    OR(   AND($C39=10000000,    $A$17&lt;=CD$19,      ($A$17+$DI$17)&gt;CD$19    ),   AND($C39&lt;&gt;10000000,  CD$19&gt;=$DX39,    CD$19&lt;=($DY39+$DI$17)  ))   ,$DW39,  "")</f>
        <v/>
      </c>
      <c r="CE39" s="106" t="str">
        <f aca="false">IF(    OR(   AND($C39=10000000,    $A$17&lt;=CE$19,      ($A$17+$DI$17)&gt;CE$19    ),   AND($C39&lt;&gt;10000000,  CE$19&gt;=$DX39,    CE$19&lt;=($DY39+$DI$17)  ))   ,$DW39,  "")</f>
        <v/>
      </c>
      <c r="CF39" s="106" t="str">
        <f aca="false">IF(    OR(   AND($C39=10000000,    $A$17&lt;=CF$19,      ($A$17+$DI$17)&gt;CF$19    ),   AND($C39&lt;&gt;10000000,  CF$19&gt;=$DX39,    CF$19&lt;=($DY39+$DI$17)  ))   ,$DW39,  "")</f>
        <v/>
      </c>
      <c r="CG39" s="106" t="str">
        <f aca="false">IF(    OR(   AND($C39=10000000,    $A$17&lt;=CG$19,      ($A$17+$DI$17)&gt;CG$19    ),   AND($C39&lt;&gt;10000000,  CG$19&gt;=$DX39,    CG$19&lt;=($DY39+$DI$17)  ))   ,$DW39,  "")</f>
        <v/>
      </c>
      <c r="CH39" s="106" t="str">
        <f aca="false">IF(    OR(   AND($C39=10000000,    $A$17&lt;=CH$19,      ($A$17+$DI$17)&gt;CH$19    ),   AND($C39&lt;&gt;10000000,  CH$19&gt;=$DX39,    CH$19&lt;=($DY39+$DI$17)  ))   ,$DW39,  "")</f>
        <v/>
      </c>
      <c r="CI39" s="106" t="str">
        <f aca="false">IF(    OR(   AND($C39=10000000,    $A$17&lt;=CI$19,      ($A$17+$DI$17)&gt;CI$19    ),   AND($C39&lt;&gt;10000000,  CI$19&gt;=$DX39,    CI$19&lt;=($DY39+$DI$17)  ))   ,$DW39,  "")</f>
        <v/>
      </c>
      <c r="CJ39" s="106" t="str">
        <f aca="false">IF(    OR(   AND($C39=10000000,    $A$17&lt;=CJ$19,      ($A$17+$DI$17)&gt;CJ$19    ),   AND($C39&lt;&gt;10000000,  CJ$19&gt;=$DX39,    CJ$19&lt;=($DY39+$DI$17)  ))   ,$DW39,  "")</f>
        <v/>
      </c>
      <c r="CK39" s="106" t="str">
        <f aca="false">IF(    OR(   AND($C39=10000000,    $A$17&lt;=CK$19,      ($A$17+$DI$17)&gt;CK$19    ),   AND($C39&lt;&gt;10000000,  CK$19&gt;=$DX39,    CK$19&lt;=($DY39+$DI$17)  ))   ,$DW39,  "")</f>
        <v/>
      </c>
      <c r="CL39" s="106" t="str">
        <f aca="false">IF(    OR(   AND($C39=10000000,    $A$17&lt;=CL$19,      ($A$17+$DI$17)&gt;CL$19    ),   AND($C39&lt;&gt;10000000,  CL$19&gt;=$DX39,    CL$19&lt;=($DY39+$DI$17)  ))   ,$DW39,  "")</f>
        <v/>
      </c>
      <c r="CM39" s="106" t="str">
        <f aca="false">IF(    OR(   AND($C39=10000000,    $A$17&lt;=CM$19,      ($A$17+$DI$17)&gt;CM$19    ),   AND($C39&lt;&gt;10000000,  CM$19&gt;=$DX39,    CM$19&lt;=($DY39+$DI$17)  ))   ,$DW39,  "")</f>
        <v/>
      </c>
      <c r="CN39" s="106" t="str">
        <f aca="false">IF(    OR(   AND($C39=10000000,    $A$17&lt;=CN$19,      ($A$17+$DI$17)&gt;CN$19    ),   AND($C39&lt;&gt;10000000,  CN$19&gt;=$DX39,    CN$19&lt;=($DY39+$DI$17)  ))   ,$DW39,  "")</f>
        <v/>
      </c>
      <c r="CO39" s="106" t="str">
        <f aca="false">IF(    OR(   AND($C39=10000000,    $A$17&lt;=CO$19,      ($A$17+$DI$17)&gt;CO$19    ),   AND($C39&lt;&gt;10000000,  CO$19&gt;=$DX39,    CO$19&lt;=($DY39+$DI$17)  ))   ,$DW39,  "")</f>
        <v/>
      </c>
      <c r="CP39" s="106" t="str">
        <f aca="false">IF(    OR(   AND($C39=10000000,    $A$17&lt;=CP$19,      ($A$17+$DI$17)&gt;CP$19    ),   AND($C39&lt;&gt;10000000,  CP$19&gt;=$DX39,    CP$19&lt;=($DY39+$DI$17)  ))   ,$DW39,  "")</f>
        <v/>
      </c>
      <c r="CQ39" s="106" t="str">
        <f aca="false">IF(    OR(   AND($C39=10000000,    $A$17&lt;=CQ$19,      ($A$17+$DI$17)&gt;CQ$19    ),   AND($C39&lt;&gt;10000000,  CQ$19&gt;=$DX39,    CQ$19&lt;=($DY39+$DI$17)  ))   ,$DW39,  "")</f>
        <v/>
      </c>
      <c r="CR39" s="106" t="str">
        <f aca="false">IF(    OR(   AND($C39=10000000,    $A$17&lt;=CR$19,      ($A$17+$DI$17)&gt;CR$19    ),   AND($C39&lt;&gt;10000000,  CR$19&gt;=$DX39,    CR$19&lt;=($DY39+$DI$17)  ))   ,$DW39,  "")</f>
        <v/>
      </c>
      <c r="CS39" s="106" t="str">
        <f aca="false">IF(    OR(   AND($C39=10000000,    $A$17&lt;=CS$19,      ($A$17+$DI$17)&gt;CS$19    ),   AND($C39&lt;&gt;10000000,  CS$19&gt;=$DX39,    CS$19&lt;=($DY39+$DI$17)  ))   ,$DW39,  "")</f>
        <v/>
      </c>
      <c r="CT39" s="106" t="str">
        <f aca="false">IF(    OR(   AND($C39=10000000,    $A$17&lt;=CT$19,      ($A$17+$DI$17)&gt;CT$19    ),   AND($C39&lt;&gt;10000000,  CT$19&gt;=$DX39,    CT$19&lt;=($DY39+$DI$17)  ))   ,$DW39,  "")</f>
        <v/>
      </c>
      <c r="CU39" s="106" t="str">
        <f aca="false">IF(    OR(   AND($C39=10000000,    $A$17&lt;=CU$19,      ($A$17+$DI$17)&gt;CU$19    ),   AND($C39&lt;&gt;10000000,  CU$19&gt;=$DX39,    CU$19&lt;=($DY39+$DI$17)  ))   ,$DW39,  "")</f>
        <v/>
      </c>
      <c r="CV39" s="106" t="str">
        <f aca="false">IF(    OR(   AND($C39=10000000,    $A$17&lt;=CV$19,      ($A$17+$DI$17)&gt;CV$19    ),   AND($C39&lt;&gt;10000000,  CV$19&gt;=$DX39,    CV$19&lt;=($DY39+$DI$17)  ))   ,$DW39,  "")</f>
        <v/>
      </c>
      <c r="CW39" s="106" t="str">
        <f aca="false">IF(    OR(   AND($C39=10000000,    $A$17&lt;=CW$19,      ($A$17+$DI$17)&gt;CW$19    ),   AND($C39&lt;&gt;10000000,  CW$19&gt;=$DX39,    CW$19&lt;=($DY39+$DI$17)  ))   ,$DW39,  "")</f>
        <v/>
      </c>
      <c r="CX39" s="106" t="str">
        <f aca="false">IF(    OR(   AND($C39=10000000,    $A$17&lt;=CX$19,      ($A$17+$DI$17)&gt;CX$19    ),   AND($C39&lt;&gt;10000000,  CX$19&gt;=$DX39,    CX$19&lt;=($DY39+$DI$17)  ))   ,$DW39,  "")</f>
        <v/>
      </c>
      <c r="CY39" s="106" t="str">
        <f aca="false">IF(    OR(   AND($C39=10000000,    $A$17&lt;=CY$19,      ($A$17+$DI$17)&gt;CY$19    ),   AND($C39&lt;&gt;10000000,  CY$19&gt;=$DX39,    CY$19&lt;=($DY39+$DI$17)  ))   ,$DW39,  "")</f>
        <v/>
      </c>
      <c r="CZ39" s="106" t="str">
        <f aca="false">IF(    OR(   AND($C39=10000000,    $A$17&lt;=CZ$19,      ($A$17+$DI$17)&gt;CZ$19    ),   AND($C39&lt;&gt;10000000,  CZ$19&gt;=$DX39,    CZ$19&lt;=($DY39+$DI$17)  ))   ,$DW39,  "")</f>
        <v/>
      </c>
      <c r="DA39" s="106" t="str">
        <f aca="false">IF(    OR(   AND($C39=10000000,    $A$17&lt;=DA$19,      ($A$17+$DI$17)&gt;DA$19    ),   AND($C39&lt;&gt;10000000,  DA$19&gt;=$DX39,    DA$19&lt;=($DY39+$DI$17)  ))   ,$DW39,  "")</f>
        <v/>
      </c>
      <c r="DB39" s="106" t="str">
        <f aca="false">IF(    OR(   AND($C39=10000000,    $A$17&lt;=DB$19,      ($A$17+$DI$17)&gt;DB$19    ),   AND($C39&lt;&gt;10000000,  DB$19&gt;=$DX39,    DB$19&lt;=($DY39+$DI$17)  ))   ,$DW39,  "")</f>
        <v/>
      </c>
      <c r="DC39" s="106" t="str">
        <f aca="false">IF(    OR(   AND($C39=10000000,    $A$17&lt;=DC$19,      ($A$17+$DI$17)&gt;DC$19    ),   AND($C39&lt;&gt;10000000,  DC$19&gt;=$DX39,    DC$19&lt;=($DY39+$DI$17)  ))   ,$DW39,  "")</f>
        <v/>
      </c>
      <c r="DD39" s="106" t="str">
        <f aca="false">IF(    OR(   AND($C39=10000000,    $A$17&lt;=DD$19,      ($A$17+$DI$17)&gt;DD$19    ),   AND($C39&lt;&gt;10000000,  DD$19&gt;=$DX39,    DD$19&lt;=($DY39+$DI$17)  ))   ,$DW39,  "")</f>
        <v/>
      </c>
      <c r="DE39" s="106" t="str">
        <f aca="false">IF(    OR(   AND($C39=10000000,    $A$17&lt;=DE$19,      ($A$17+$DI$17)&gt;DE$19    ),   AND($C39&lt;&gt;10000000,  DE$19&gt;=$DX39,    DE$19&lt;=($DY39+$DI$17)  ))   ,$DW39,  "")</f>
        <v/>
      </c>
      <c r="DF39" s="106" t="str">
        <f aca="false">IF(    OR(   AND($C39=10000000,    $A$17&lt;=DF$19,      ($A$17+$DI$17)&gt;DF$19    ),   AND($C39&lt;&gt;10000000,  DF$19&gt;=$DX39,    DF$19&lt;=($DY39+$DI$17)  ))   ,$DW39,  "")</f>
        <v/>
      </c>
      <c r="DG39" s="106" t="str">
        <f aca="false">IF(    OR(   AND($C39=10000000,    $A$17&lt;=DG$19,      ($A$17+$DI$17)&gt;DG$19    ),   AND($C39&lt;&gt;10000000,  DG$19&gt;=$DX39,    DG$19&lt;=($DY39+$DI$17)  ))   ,$DW39,  "")</f>
        <v/>
      </c>
      <c r="DH39" s="106" t="str">
        <f aca="false">IF(    OR(   AND($C39=10000000,    $A$17&lt;=DH$19,      ($A$17+$DI$17)&gt;DH$19    ),   AND($C39&lt;&gt;10000000,  DH$19&gt;=$DX39,    DH$19&lt;=($DY39+$DI$17)  ))   ,$DW39,  "")</f>
        <v/>
      </c>
      <c r="DI39" s="106" t="str">
        <f aca="false">IF(    OR(   AND($C39=10000000,    $A$17&lt;=DI$19,      ($A$17+$DI$17)&gt;DI$19    ),   AND($C39&lt;&gt;10000000,  DI$19&gt;=$DX39,    DI$19&lt;=($DY39+$DI$17)  ))   ,$DW39,  "")</f>
        <v/>
      </c>
      <c r="DJ39" s="74" t="str">
        <f aca="false">IF(BC39="","",IF(ISERROR(FIND(CHAR(10),BC39,1)),BC39,LEFT(BC39,FIND(CHAR(10),BC39,1))))</f>
        <v/>
      </c>
      <c r="DK39" s="61" t="str">
        <f aca="false">IF(BC39="","",IFERROR(RIGHT(BC39,LEN(BC39)-FIND("@@@",SUBSTITUTE(BC39,CHAR(10),"@@@",LEN(BC39)-LEN(SUBSTITUTE(BC39,CHAR(10),""))),1)),BC39))</f>
        <v/>
      </c>
      <c r="DL39" s="61" t="str">
        <f aca="false">IF(BD39="","",IFERROR(RIGHT(BD39,LEN(BD39)-FIND("@@@",SUBSTITUTE(BD39,CHAR(10),"@@@",LEN(BD39)-LEN(SUBSTITUTE(BD39,CHAR(10),""))),1)),BD39))</f>
        <v/>
      </c>
      <c r="DM39" s="107" t="str">
        <f aca="false">IFERROR(DATE(("20"&amp;MID(DJ39,7,2))*1,MID(DJ39,4,2)*1,MID(DJ39,1,2)*1),"none")</f>
        <v>none</v>
      </c>
      <c r="DN39" s="107" t="str">
        <f aca="false">IFERROR(DATE(("20"&amp;MID(DK39,7,2))*1,MID(DK39,4,2)*1,MID(DK39,1,2)*1),"none")</f>
        <v>none</v>
      </c>
      <c r="DO39" s="107" t="n">
        <f aca="false">IF(DM39&lt;&gt;"none",DM39,DATE(1900,1,1))</f>
        <v>2</v>
      </c>
      <c r="DP39" s="107" t="n">
        <f aca="false">IF(DN39&lt;&gt;"none",DN39,DO39)</f>
        <v>2</v>
      </c>
      <c r="DQ39" s="108" t="n">
        <f aca="false">_xlfn.DAYS($A$17,DO39)</f>
        <v>46319</v>
      </c>
      <c r="DR39" s="108" t="n">
        <f aca="false">_xlfn.DAYS($A$17, DP39)</f>
        <v>46319</v>
      </c>
      <c r="DS39" s="60" t="n">
        <f aca="false">IF(DP39&lt;&gt;"",INT(DR39/7),0)</f>
        <v>6617</v>
      </c>
      <c r="DT39" s="108" t="n">
        <f aca="false">IF(N39="Overdue",_xlfn.DAYS($A$17,AM39),0)</f>
        <v>0</v>
      </c>
      <c r="DU39" s="108" t="n">
        <f aca="false">IF(AI39="Project",_xlfn.DAYS(AM39,$A$17),0)</f>
        <v>0</v>
      </c>
      <c r="DV39" s="60" t="str">
        <f aca="false">IFERROR(INDEX(Static!$D$5:$E$13,MATCH(AI39,Static!$D$5:$D$13,0),2),"")</f>
        <v/>
      </c>
      <c r="DW39" s="60" t="str">
        <f aca="false">IF(C39=10000000,"Red",IF(OR(C39=11000000,C39=12000000),"Black",IF(C39=11100000,"Dark",IF(AND(C39=12100000,N39="Completed"),"Green",IF(AND(C39=12100000,N39="Overdue"),"Red",IF(C39=12100000,"Dark",IF(AND(C39=12110000,N39="Overdue"),"LightRed",IF(AND(C39=12110000,N39="Completed"),"LightGreen",IF(OR(C39=11110000,C39=12110000),"Light",IF(AND(C39=12111000,N39="Overdue"),"SoftRed",IF(AND(C39=12111000,N39="Completed"),"SoftGreen",IF(OR(C39=11111000,C39=12111000),"Grey",""))))))))))))</f>
        <v/>
      </c>
      <c r="DX39" s="58" t="n">
        <f aca="false">IF(AL39&lt;&gt;"",AL39,$BJ$19)</f>
        <v>45658</v>
      </c>
      <c r="DY39" s="58" t="n">
        <f aca="false">IF(AM39&lt;&gt;"",AM39,$DI$19)</f>
        <v>46387</v>
      </c>
      <c r="DZ39" s="62" t="s">
        <v>364</v>
      </c>
    </row>
    <row r="40" customFormat="false" ht="14.15" hidden="false" customHeight="true" outlineLevel="0" collapsed="false">
      <c r="A40" s="54"/>
      <c r="B40" s="61" t="n">
        <f aca="false">AI40</f>
        <v>0</v>
      </c>
      <c r="C40" s="60" t="n">
        <f aca="false">IFERROR(INDEX(Static!$D$5:$F$13,MATCH(AI40,Static!$D$5:$D$13,0),3),90000000)</f>
        <v>90000000</v>
      </c>
      <c r="D40" s="60" t="str">
        <f aca="false">MID(C40,2,1)</f>
        <v>0</v>
      </c>
      <c r="E40" s="61" t="str">
        <f aca="false">AC40</f>
        <v/>
      </c>
      <c r="F40" s="60" t="n">
        <f aca="false">IF(B40="Venture",0,IF(OR(B40="Project",B40="Stream",B40="Action"),AL40,0))</f>
        <v>0</v>
      </c>
      <c r="G40" s="60" t="n">
        <f aca="false">AT40</f>
        <v>0</v>
      </c>
      <c r="H40" s="60" t="n">
        <f aca="false">IF(B40="Venture",0,IFERROR(INDEX($E$20:$F$55,MATCH(G40,$E$20:$E$55,0),2),0))</f>
        <v>0</v>
      </c>
      <c r="I40" s="60" t="str">
        <f aca="false">IF(B40="Venture",0,IFERROR(INDEX($E$20:$G$55,MATCH(G40,$E$20:$E$55,0),3),""))</f>
        <v/>
      </c>
      <c r="J40" s="60" t="n">
        <f aca="false">IF(B40="Venture",0,IFERROR(INDEX($E$20:$H$55,MATCH(G40,$E$20:$E$55,0),4),0))</f>
        <v>0</v>
      </c>
      <c r="K40" s="60" t="n">
        <f aca="false">IF(B40="Venture",0,IFERROR(INDEX($E$20:$G$55,MATCH(I40,$E$20:$E$55,0),3),""))</f>
        <v>0</v>
      </c>
      <c r="L40" s="60" t="n">
        <f aca="false">IF(C40="Venture",0,IFERROR(INDEX($E$20:$G$55,MATCH(J40,$E$20:$E$55,0),4),0))</f>
        <v>0</v>
      </c>
      <c r="M40" s="60" t="str">
        <f aca="false">IF(N40="Completed","Completed","Ongoing")</f>
        <v>Ongoing</v>
      </c>
      <c r="N40" s="60" t="n">
        <f aca="false">IF(OR(AI40="Venture",AI40="Routine",AI40="Run Goal", AI40="Chg Goal", AI40=""),AI40,IF(AO40&lt;&gt;"","Completed",IF(AN40&lt;&gt;"","Pending",IF(AND(AM40&lt;&gt;"",$A$17&gt;AM40),"Overdue",IF($A$17&gt;AL40,"Started","Open")))))</f>
        <v>0</v>
      </c>
      <c r="O40" s="59" t="n">
        <f aca="false">((LEN($BD40)-LEN(SUBSTITUTE($BD40,CHAR(10)&amp;". ","")))/3)+IF(LEFT(TRIM($BD40),2)=". ",1,0)</f>
        <v>0</v>
      </c>
      <c r="P40" s="59" t="n">
        <f aca="false">((LEN($BD40)-LEN(SUBSTITUTE($BD40,CHAR(10)&amp;"/ ","")))/3)+IF(LEFT(TRIM($BD40),2)="/ ",1,0)</f>
        <v>0</v>
      </c>
      <c r="Q40" s="59" t="n">
        <f aca="false">((LEN($BD40)-LEN(SUBSTITUTE($BD40,CHAR(10)&amp;"~ ","")))/3)+IF(LEFT(TRIM($BD40),2)="~ ",1,0)</f>
        <v>0</v>
      </c>
      <c r="R40" s="59" t="n">
        <f aca="false">((LEN($BD40)-LEN(SUBSTITUTE($BD40,CHAR(10)&amp;"! ","")))/3)+IF(LEFT(TRIM($BD40),2)="! ",1,0)</f>
        <v>0</v>
      </c>
      <c r="S40" s="59" t="n">
        <f aca="false">((LEN($BD40)-LEN(SUBSTITUTE($BD40,CHAR(10)&amp;"x ","")))/3)+IF(LEFT(TRIM($BD40),2)="x ",1,0)</f>
        <v>0</v>
      </c>
      <c r="T40" s="59" t="n">
        <f aca="false">SUM(O40:S40)</f>
        <v>0</v>
      </c>
      <c r="U40" s="60" t="n">
        <f aca="false">IF(OR($B40="Drill",$B40="Action"),$AP40,0)</f>
        <v>0</v>
      </c>
      <c r="V40" s="60" t="n">
        <f aca="false">IF(OR($B40="Sub",$B40="Stream"),$AP40+SUMIFS($AP$20:$AP$55,$G$20:$G$55,$E40),0)</f>
        <v>0</v>
      </c>
      <c r="W40" s="60" t="n">
        <f aca="false">IF(OR($B40="Routine",$B40="Project"),$AP40+SUMIFS($V$20:$V$55,$G$20:$G$55,$E40),0)</f>
        <v>0</v>
      </c>
      <c r="X40" s="60" t="n">
        <f aca="false">IF($B40="Venture",$AP40+SUMIFS($W$20:$W$55,$G$20:$G$55,$E40),0)</f>
        <v>0</v>
      </c>
      <c r="Y40" s="60" t="n">
        <f aca="false">IF(OR($B40="Drill",$B40="Action"),$AQ40,0)</f>
        <v>0</v>
      </c>
      <c r="Z40" s="60" t="n">
        <f aca="false">IF(OR($B40="Sub",$B40="Stream"),$AQ40+SUMIFS($AQ$20:$AQ$55,$G$20:$G$55,$E40),0)</f>
        <v>0</v>
      </c>
      <c r="AA40" s="60" t="n">
        <f aca="false">IF(OR($B40="Routine",$B40="Project"),$AQ40+SUMIFS($Z$20:$Z$55,$G$20:$G$55,$E40),0)</f>
        <v>0</v>
      </c>
      <c r="AB40" s="60" t="n">
        <f aca="false">IF($B40="Venture",$AQ40+SUMIFS($AA$20:$AA$55,$G$20:$G$55,$E40),0)</f>
        <v>0</v>
      </c>
      <c r="AC40" s="60" t="str">
        <f aca="false">IF(AI40="Venture",AJ40,AI40&amp;AJ40)</f>
        <v/>
      </c>
      <c r="AD40" s="61" t="str">
        <f aca="false">"  -  "&amp;IF(E40="","ZZZ",D40&amp;AF40&amp;IF(OR(B40="Run Goal",B40="Chg Goal", B40="Venture"),F40&amp;E40,IF(OR(B40="Routine",B40="Project"),H40&amp;G40&amp;F40&amp;E40,  IF(OR(B40="Sub",B40="Stream"),J40&amp;I40&amp;H40&amp;G40&amp;F40&amp;E40,IF(OR(B40="Drill",B40="Action"),L40&amp;K40&amp;J40&amp;I40&amp;H40&amp;G40&amp;F40&amp;E40,     "") )    )))</f>
        <v>  -  ZZZ</v>
      </c>
      <c r="AE40" s="60" t="str">
        <f aca="false">IF(AND(AN40="",AO40=""),"Y","N")</f>
        <v>Y</v>
      </c>
      <c r="AF40" s="99" t="str">
        <f aca="false">IF(OR(AG40="Y",AG40="Y"),AG40,IF(DN40="none","N",IF(DN40&gt;($A$17-WEEKDAY($A$17,2)-(7*$AF$18)),"Y","N")))</f>
        <v>N</v>
      </c>
      <c r="AG40" s="100"/>
      <c r="AH40" s="101"/>
      <c r="AI40" s="62"/>
      <c r="AJ40" s="64"/>
      <c r="AK40" s="64"/>
      <c r="AL40" s="70"/>
      <c r="AM40" s="70"/>
      <c r="AN40" s="70"/>
      <c r="AO40" s="70"/>
      <c r="AP40" s="102"/>
      <c r="AQ40" s="102"/>
      <c r="AR40" s="62"/>
      <c r="AS40" s="62"/>
      <c r="AT40" s="62"/>
      <c r="AU40" s="62"/>
      <c r="AV40" s="62"/>
      <c r="AW40" s="62"/>
      <c r="AX40" s="62"/>
      <c r="AY40" s="62"/>
      <c r="AZ40" s="62"/>
      <c r="BA40" s="62"/>
      <c r="BB40" s="54"/>
      <c r="BC40" s="103"/>
      <c r="BD40" s="54"/>
      <c r="BE40" s="60" t="n">
        <f aca="false">SUM(O40:R40)</f>
        <v>0</v>
      </c>
      <c r="BF40" s="66" t="n">
        <f aca="false">IF(AJ40="",1,IF(T40&lt;&gt;0,(P40*0.5+S40)/T40,1))</f>
        <v>1</v>
      </c>
      <c r="BG40" s="69" t="str">
        <f aca="false">IF(AI40="","",IF(AI40="Venture",X40,IF(OR(AI40="Chg Goal",AI40="RUn Goal"),W40,IF(OR(AI40="ROutine",AI40="Project"),W40,IF(OR(AI40="Sub",AI40="Stream"),V40,IF(OR(AI40="Drill",AI40="Action"),U40,0))))))</f>
        <v/>
      </c>
      <c r="BH40" s="69" t="str">
        <f aca="false">IF(AI40="","",IF(AI40="Venture",AB40,IF(OR(AI40="Chg Goal",AI40="RUn Goal"),AA40,IF(OR(AI40="ROutine",AI40="Project"),AA40,IF(OR(AI40="Sub",AI40="Stream"),Z40,IF(OR(AI40="Drill",AI40="Action"),Y40,0))))))</f>
        <v/>
      </c>
      <c r="BI40" s="104" t="str">
        <f aca="false">IF(AJ40="","",IF(OR(BG40=0, BG40=""),0,BH40/BG40))</f>
        <v/>
      </c>
      <c r="BJ40" s="105" t="str">
        <f aca="false">IF(    OR(   AND($C40=10000000,    BJ$19&gt;=$A$17,      BJ$19 &lt;($A$17+$DI$17)   ),   AND($C40&lt;&gt;10000000,  BJ$19&gt;=$DX40,    BJ$19&lt;=($DY40+$DI$17)  ))   ,$DW40,  "")</f>
        <v/>
      </c>
      <c r="BK40" s="106" t="str">
        <f aca="false">IF(    OR(   AND($C40=10000000,    $A$17&lt;=BK$19,      ($A$17+$DI$17)&gt;BK$19    ),   AND($C40&lt;&gt;10000000,  BK$19&gt;=$DX40,    BK$19&lt;=($DY40+$DI$17)  ))   ,$DW40,  "")</f>
        <v/>
      </c>
      <c r="BL40" s="106" t="str">
        <f aca="false">IF(    OR(   AND($C40=10000000,    $A$17&lt;=BL$19,      ($A$17+$DI$17)&gt;BL$19    ),   AND($C40&lt;&gt;10000000,  BL$19&gt;=$DX40,    BL$19&lt;=($DY40+$DI$17)  ))   ,$DW40,  "")</f>
        <v/>
      </c>
      <c r="BM40" s="106" t="str">
        <f aca="false">IF(    OR(   AND($C40=10000000,    $A$17&lt;=BM$19,      ($A$17+$DI$17)&gt;BM$19    ),   AND($C40&lt;&gt;10000000,  BM$19&gt;=$DX40,    BM$19&lt;=($DY40+$DI$17)  ))   ,$DW40,  "")</f>
        <v/>
      </c>
      <c r="BN40" s="106" t="str">
        <f aca="false">IF(    OR(   AND($C40=10000000,    $A$17&lt;=BN$19,      ($A$17+$DI$17)&gt;BN$19    ),   AND($C40&lt;&gt;10000000,  BN$19&gt;=$DX40,    BN$19&lt;=($DY40+$DI$17)  ))   ,$DW40,  "")</f>
        <v/>
      </c>
      <c r="BO40" s="106" t="str">
        <f aca="false">IF(    OR(   AND($C40=10000000,    $A$17&lt;=BO$19,      ($A$17+$DI$17)&gt;BO$19    ),   AND($C40&lt;&gt;10000000,  BO$19&gt;=$DX40,    BO$19&lt;=($DY40+$DI$17)  ))   ,$DW40,  "")</f>
        <v/>
      </c>
      <c r="BP40" s="106" t="str">
        <f aca="false">IF(    OR(   AND($C40=10000000,    $A$17&lt;=BP$19,      ($A$17+$DI$17)&gt;BP$19    ),   AND($C40&lt;&gt;10000000,  BP$19&gt;=$DX40,    BP$19&lt;=($DY40+$DI$17)  ))   ,$DW40,  "")</f>
        <v/>
      </c>
      <c r="BQ40" s="106" t="str">
        <f aca="false">IF(    OR(   AND($C40=10000000,    $A$17&lt;=BQ$19,      ($A$17+$DI$17)&gt;BQ$19    ),   AND($C40&lt;&gt;10000000,  BQ$19&gt;=$DX40,    BQ$19&lt;=($DY40+$DI$17)  ))   ,$DW40,  "")</f>
        <v/>
      </c>
      <c r="BR40" s="106" t="str">
        <f aca="false">IF(    OR(   AND($C40=10000000,    $A$17&lt;=BR$19,      ($A$17+$DI$17)&gt;BR$19    ),   AND($C40&lt;&gt;10000000,  BR$19&gt;=$DX40,    BR$19&lt;=($DY40+$DI$17)  ))   ,$DW40,  "")</f>
        <v/>
      </c>
      <c r="BS40" s="106" t="str">
        <f aca="false">IF(    OR(   AND($C40=10000000,    $A$17&lt;=BS$19,      ($A$17+$DI$17)&gt;BS$19    ),   AND($C40&lt;&gt;10000000,  BS$19&gt;=$DX40,    BS$19&lt;=($DY40+$DI$17)  ))   ,$DW40,  "")</f>
        <v/>
      </c>
      <c r="BT40" s="106" t="str">
        <f aca="false">IF(    OR(   AND($C40=10000000,    $A$17&lt;=BT$19,      ($A$17+$DI$17)&gt;BT$19    ),   AND($C40&lt;&gt;10000000,  BT$19&gt;=$DX40,    BT$19&lt;=($DY40+$DI$17)  ))   ,$DW40,  "")</f>
        <v/>
      </c>
      <c r="BU40" s="106" t="str">
        <f aca="false">IF(    OR(   AND($C40=10000000,    $A$17&lt;=BU$19,      ($A$17+$DI$17)&gt;BU$19    ),   AND($C40&lt;&gt;10000000,  BU$19&gt;=$DX40,    BU$19&lt;=($DY40+$DI$17)  ))   ,$DW40,  "")</f>
        <v/>
      </c>
      <c r="BV40" s="106" t="str">
        <f aca="false">IF(    OR(   AND($C40=10000000,    $A$17&lt;=BV$19,      ($A$17+$DI$17)&gt;BV$19    ),   AND($C40&lt;&gt;10000000,  BV$19&gt;=$DX40,    BV$19&lt;=($DY40+$DI$17)  ))   ,$DW40,  "")</f>
        <v/>
      </c>
      <c r="BW40" s="106" t="str">
        <f aca="false">IF(    OR(   AND($C40=10000000,    $A$17&lt;=BW$19,      ($A$17+$DI$17)&gt;BW$19    ),   AND($C40&lt;&gt;10000000,  BW$19&gt;=$DX40,    BW$19&lt;=($DY40+$DI$17)  ))   ,$DW40,  "")</f>
        <v/>
      </c>
      <c r="BX40" s="106" t="str">
        <f aca="false">IF(    OR(   AND($C40=10000000,    $A$17&lt;=BX$19,      ($A$17+$DI$17)&gt;BX$19    ),   AND($C40&lt;&gt;10000000,  BX$19&gt;=$DX40,    BX$19&lt;=($DY40+$DI$17)  ))   ,$DW40,  "")</f>
        <v/>
      </c>
      <c r="BY40" s="106" t="str">
        <f aca="false">IF(    OR(   AND($C40=10000000,    $A$17&lt;=BY$19,      ($A$17+$DI$17)&gt;BY$19    ),   AND($C40&lt;&gt;10000000,  BY$19&gt;=$DX40,    BY$19&lt;=($DY40+$DI$17)  ))   ,$DW40,  "")</f>
        <v/>
      </c>
      <c r="BZ40" s="106" t="str">
        <f aca="false">IF(    OR(   AND($C40=10000000,    $A$17&lt;=BZ$19,      ($A$17+$DI$17)&gt;BZ$19    ),   AND($C40&lt;&gt;10000000,  BZ$19&gt;=$DX40,    BZ$19&lt;=($DY40+$DI$17)  ))   ,$DW40,  "")</f>
        <v/>
      </c>
      <c r="CA40" s="106" t="str">
        <f aca="false">IF(    OR(   AND($C40=10000000,    $A$17&lt;=CA$19,      ($A$17+$DI$17)&gt;CA$19    ),   AND($C40&lt;&gt;10000000,  CA$19&gt;=$DX40,    CA$19&lt;=($DY40+$DI$17)  ))   ,$DW40,  "")</f>
        <v/>
      </c>
      <c r="CB40" s="106" t="str">
        <f aca="false">IF(    OR(   AND($C40=10000000,    $A$17&lt;=CB$19,      ($A$17+$DI$17)&gt;CB$19    ),   AND($C40&lt;&gt;10000000,  CB$19&gt;=$DX40,    CB$19&lt;=($DY40+$DI$17)  ))   ,$DW40,  "")</f>
        <v/>
      </c>
      <c r="CC40" s="106" t="str">
        <f aca="false">IF(    OR(   AND($C40=10000000,    $A$17&lt;=CC$19,      ($A$17+$DI$17)&gt;CC$19    ),   AND($C40&lt;&gt;10000000,  CC$19&gt;=$DX40,    CC$19&lt;=($DY40+$DI$17)  ))   ,$DW40,  "")</f>
        <v/>
      </c>
      <c r="CD40" s="106" t="str">
        <f aca="false">IF(    OR(   AND($C40=10000000,    $A$17&lt;=CD$19,      ($A$17+$DI$17)&gt;CD$19    ),   AND($C40&lt;&gt;10000000,  CD$19&gt;=$DX40,    CD$19&lt;=($DY40+$DI$17)  ))   ,$DW40,  "")</f>
        <v/>
      </c>
      <c r="CE40" s="106" t="str">
        <f aca="false">IF(    OR(   AND($C40=10000000,    $A$17&lt;=CE$19,      ($A$17+$DI$17)&gt;CE$19    ),   AND($C40&lt;&gt;10000000,  CE$19&gt;=$DX40,    CE$19&lt;=($DY40+$DI$17)  ))   ,$DW40,  "")</f>
        <v/>
      </c>
      <c r="CF40" s="106" t="str">
        <f aca="false">IF(    OR(   AND($C40=10000000,    $A$17&lt;=CF$19,      ($A$17+$DI$17)&gt;CF$19    ),   AND($C40&lt;&gt;10000000,  CF$19&gt;=$DX40,    CF$19&lt;=($DY40+$DI$17)  ))   ,$DW40,  "")</f>
        <v/>
      </c>
      <c r="CG40" s="106" t="str">
        <f aca="false">IF(    OR(   AND($C40=10000000,    $A$17&lt;=CG$19,      ($A$17+$DI$17)&gt;CG$19    ),   AND($C40&lt;&gt;10000000,  CG$19&gt;=$DX40,    CG$19&lt;=($DY40+$DI$17)  ))   ,$DW40,  "")</f>
        <v/>
      </c>
      <c r="CH40" s="106" t="str">
        <f aca="false">IF(    OR(   AND($C40=10000000,    $A$17&lt;=CH$19,      ($A$17+$DI$17)&gt;CH$19    ),   AND($C40&lt;&gt;10000000,  CH$19&gt;=$DX40,    CH$19&lt;=($DY40+$DI$17)  ))   ,$DW40,  "")</f>
        <v/>
      </c>
      <c r="CI40" s="106" t="str">
        <f aca="false">IF(    OR(   AND($C40=10000000,    $A$17&lt;=CI$19,      ($A$17+$DI$17)&gt;CI$19    ),   AND($C40&lt;&gt;10000000,  CI$19&gt;=$DX40,    CI$19&lt;=($DY40+$DI$17)  ))   ,$DW40,  "")</f>
        <v/>
      </c>
      <c r="CJ40" s="106" t="str">
        <f aca="false">IF(    OR(   AND($C40=10000000,    $A$17&lt;=CJ$19,      ($A$17+$DI$17)&gt;CJ$19    ),   AND($C40&lt;&gt;10000000,  CJ$19&gt;=$DX40,    CJ$19&lt;=($DY40+$DI$17)  ))   ,$DW40,  "")</f>
        <v/>
      </c>
      <c r="CK40" s="106" t="str">
        <f aca="false">IF(    OR(   AND($C40=10000000,    $A$17&lt;=CK$19,      ($A$17+$DI$17)&gt;CK$19    ),   AND($C40&lt;&gt;10000000,  CK$19&gt;=$DX40,    CK$19&lt;=($DY40+$DI$17)  ))   ,$DW40,  "")</f>
        <v/>
      </c>
      <c r="CL40" s="106" t="str">
        <f aca="false">IF(    OR(   AND($C40=10000000,    $A$17&lt;=CL$19,      ($A$17+$DI$17)&gt;CL$19    ),   AND($C40&lt;&gt;10000000,  CL$19&gt;=$DX40,    CL$19&lt;=($DY40+$DI$17)  ))   ,$DW40,  "")</f>
        <v/>
      </c>
      <c r="CM40" s="106" t="str">
        <f aca="false">IF(    OR(   AND($C40=10000000,    $A$17&lt;=CM$19,      ($A$17+$DI$17)&gt;CM$19    ),   AND($C40&lt;&gt;10000000,  CM$19&gt;=$DX40,    CM$19&lt;=($DY40+$DI$17)  ))   ,$DW40,  "")</f>
        <v/>
      </c>
      <c r="CN40" s="106" t="str">
        <f aca="false">IF(    OR(   AND($C40=10000000,    $A$17&lt;=CN$19,      ($A$17+$DI$17)&gt;CN$19    ),   AND($C40&lt;&gt;10000000,  CN$19&gt;=$DX40,    CN$19&lt;=($DY40+$DI$17)  ))   ,$DW40,  "")</f>
        <v/>
      </c>
      <c r="CO40" s="106" t="str">
        <f aca="false">IF(    OR(   AND($C40=10000000,    $A$17&lt;=CO$19,      ($A$17+$DI$17)&gt;CO$19    ),   AND($C40&lt;&gt;10000000,  CO$19&gt;=$DX40,    CO$19&lt;=($DY40+$DI$17)  ))   ,$DW40,  "")</f>
        <v/>
      </c>
      <c r="CP40" s="106" t="str">
        <f aca="false">IF(    OR(   AND($C40=10000000,    $A$17&lt;=CP$19,      ($A$17+$DI$17)&gt;CP$19    ),   AND($C40&lt;&gt;10000000,  CP$19&gt;=$DX40,    CP$19&lt;=($DY40+$DI$17)  ))   ,$DW40,  "")</f>
        <v/>
      </c>
      <c r="CQ40" s="106" t="str">
        <f aca="false">IF(    OR(   AND($C40=10000000,    $A$17&lt;=CQ$19,      ($A$17+$DI$17)&gt;CQ$19    ),   AND($C40&lt;&gt;10000000,  CQ$19&gt;=$DX40,    CQ$19&lt;=($DY40+$DI$17)  ))   ,$DW40,  "")</f>
        <v/>
      </c>
      <c r="CR40" s="106" t="str">
        <f aca="false">IF(    OR(   AND($C40=10000000,    $A$17&lt;=CR$19,      ($A$17+$DI$17)&gt;CR$19    ),   AND($C40&lt;&gt;10000000,  CR$19&gt;=$DX40,    CR$19&lt;=($DY40+$DI$17)  ))   ,$DW40,  "")</f>
        <v/>
      </c>
      <c r="CS40" s="106" t="str">
        <f aca="false">IF(    OR(   AND($C40=10000000,    $A$17&lt;=CS$19,      ($A$17+$DI$17)&gt;CS$19    ),   AND($C40&lt;&gt;10000000,  CS$19&gt;=$DX40,    CS$19&lt;=($DY40+$DI$17)  ))   ,$DW40,  "")</f>
        <v/>
      </c>
      <c r="CT40" s="106" t="str">
        <f aca="false">IF(    OR(   AND($C40=10000000,    $A$17&lt;=CT$19,      ($A$17+$DI$17)&gt;CT$19    ),   AND($C40&lt;&gt;10000000,  CT$19&gt;=$DX40,    CT$19&lt;=($DY40+$DI$17)  ))   ,$DW40,  "")</f>
        <v/>
      </c>
      <c r="CU40" s="106" t="str">
        <f aca="false">IF(    OR(   AND($C40=10000000,    $A$17&lt;=CU$19,      ($A$17+$DI$17)&gt;CU$19    ),   AND($C40&lt;&gt;10000000,  CU$19&gt;=$DX40,    CU$19&lt;=($DY40+$DI$17)  ))   ,$DW40,  "")</f>
        <v/>
      </c>
      <c r="CV40" s="106" t="str">
        <f aca="false">IF(    OR(   AND($C40=10000000,    $A$17&lt;=CV$19,      ($A$17+$DI$17)&gt;CV$19    ),   AND($C40&lt;&gt;10000000,  CV$19&gt;=$DX40,    CV$19&lt;=($DY40+$DI$17)  ))   ,$DW40,  "")</f>
        <v/>
      </c>
      <c r="CW40" s="106" t="str">
        <f aca="false">IF(    OR(   AND($C40=10000000,    $A$17&lt;=CW$19,      ($A$17+$DI$17)&gt;CW$19    ),   AND($C40&lt;&gt;10000000,  CW$19&gt;=$DX40,    CW$19&lt;=($DY40+$DI$17)  ))   ,$DW40,  "")</f>
        <v/>
      </c>
      <c r="CX40" s="106" t="str">
        <f aca="false">IF(    OR(   AND($C40=10000000,    $A$17&lt;=CX$19,      ($A$17+$DI$17)&gt;CX$19    ),   AND($C40&lt;&gt;10000000,  CX$19&gt;=$DX40,    CX$19&lt;=($DY40+$DI$17)  ))   ,$DW40,  "")</f>
        <v/>
      </c>
      <c r="CY40" s="106" t="str">
        <f aca="false">IF(    OR(   AND($C40=10000000,    $A$17&lt;=CY$19,      ($A$17+$DI$17)&gt;CY$19    ),   AND($C40&lt;&gt;10000000,  CY$19&gt;=$DX40,    CY$19&lt;=($DY40+$DI$17)  ))   ,$DW40,  "")</f>
        <v/>
      </c>
      <c r="CZ40" s="106" t="str">
        <f aca="false">IF(    OR(   AND($C40=10000000,    $A$17&lt;=CZ$19,      ($A$17+$DI$17)&gt;CZ$19    ),   AND($C40&lt;&gt;10000000,  CZ$19&gt;=$DX40,    CZ$19&lt;=($DY40+$DI$17)  ))   ,$DW40,  "")</f>
        <v/>
      </c>
      <c r="DA40" s="106" t="str">
        <f aca="false">IF(    OR(   AND($C40=10000000,    $A$17&lt;=DA$19,      ($A$17+$DI$17)&gt;DA$19    ),   AND($C40&lt;&gt;10000000,  DA$19&gt;=$DX40,    DA$19&lt;=($DY40+$DI$17)  ))   ,$DW40,  "")</f>
        <v/>
      </c>
      <c r="DB40" s="106" t="str">
        <f aca="false">IF(    OR(   AND($C40=10000000,    $A$17&lt;=DB$19,      ($A$17+$DI$17)&gt;DB$19    ),   AND($C40&lt;&gt;10000000,  DB$19&gt;=$DX40,    DB$19&lt;=($DY40+$DI$17)  ))   ,$DW40,  "")</f>
        <v/>
      </c>
      <c r="DC40" s="106" t="str">
        <f aca="false">IF(    OR(   AND($C40=10000000,    $A$17&lt;=DC$19,      ($A$17+$DI$17)&gt;DC$19    ),   AND($C40&lt;&gt;10000000,  DC$19&gt;=$DX40,    DC$19&lt;=($DY40+$DI$17)  ))   ,$DW40,  "")</f>
        <v/>
      </c>
      <c r="DD40" s="106" t="str">
        <f aca="false">IF(    OR(   AND($C40=10000000,    $A$17&lt;=DD$19,      ($A$17+$DI$17)&gt;DD$19    ),   AND($C40&lt;&gt;10000000,  DD$19&gt;=$DX40,    DD$19&lt;=($DY40+$DI$17)  ))   ,$DW40,  "")</f>
        <v/>
      </c>
      <c r="DE40" s="106" t="str">
        <f aca="false">IF(    OR(   AND($C40=10000000,    $A$17&lt;=DE$19,      ($A$17+$DI$17)&gt;DE$19    ),   AND($C40&lt;&gt;10000000,  DE$19&gt;=$DX40,    DE$19&lt;=($DY40+$DI$17)  ))   ,$DW40,  "")</f>
        <v/>
      </c>
      <c r="DF40" s="106" t="str">
        <f aca="false">IF(    OR(   AND($C40=10000000,    $A$17&lt;=DF$19,      ($A$17+$DI$17)&gt;DF$19    ),   AND($C40&lt;&gt;10000000,  DF$19&gt;=$DX40,    DF$19&lt;=($DY40+$DI$17)  ))   ,$DW40,  "")</f>
        <v/>
      </c>
      <c r="DG40" s="106" t="str">
        <f aca="false">IF(    OR(   AND($C40=10000000,    $A$17&lt;=DG$19,      ($A$17+$DI$17)&gt;DG$19    ),   AND($C40&lt;&gt;10000000,  DG$19&gt;=$DX40,    DG$19&lt;=($DY40+$DI$17)  ))   ,$DW40,  "")</f>
        <v/>
      </c>
      <c r="DH40" s="106" t="str">
        <f aca="false">IF(    OR(   AND($C40=10000000,    $A$17&lt;=DH$19,      ($A$17+$DI$17)&gt;DH$19    ),   AND($C40&lt;&gt;10000000,  DH$19&gt;=$DX40,    DH$19&lt;=($DY40+$DI$17)  ))   ,$DW40,  "")</f>
        <v/>
      </c>
      <c r="DI40" s="106" t="str">
        <f aca="false">IF(    OR(   AND($C40=10000000,    $A$17&lt;=DI$19,      ($A$17+$DI$17)&gt;DI$19    ),   AND($C40&lt;&gt;10000000,  DI$19&gt;=$DX40,    DI$19&lt;=($DY40+$DI$17)  ))   ,$DW40,  "")</f>
        <v/>
      </c>
      <c r="DJ40" s="74" t="str">
        <f aca="false">IF(BC40="","",IF(ISERROR(FIND(CHAR(10),BC40,1)),BC40,LEFT(BC40,FIND(CHAR(10),BC40,1))))</f>
        <v/>
      </c>
      <c r="DK40" s="61" t="str">
        <f aca="false">IF(BC40="","",IFERROR(RIGHT(BC40,LEN(BC40)-FIND("@@@",SUBSTITUTE(BC40,CHAR(10),"@@@",LEN(BC40)-LEN(SUBSTITUTE(BC40,CHAR(10),""))),1)),BC40))</f>
        <v/>
      </c>
      <c r="DL40" s="61" t="str">
        <f aca="false">IF(BD40="","",IFERROR(RIGHT(BD40,LEN(BD40)-FIND("@@@",SUBSTITUTE(BD40,CHAR(10),"@@@",LEN(BD40)-LEN(SUBSTITUTE(BD40,CHAR(10),""))),1)),BD40))</f>
        <v/>
      </c>
      <c r="DM40" s="107" t="str">
        <f aca="false">IFERROR(DATE(("20"&amp;MID(DJ40,7,2))*1,MID(DJ40,4,2)*1,MID(DJ40,1,2)*1),"none")</f>
        <v>none</v>
      </c>
      <c r="DN40" s="107" t="str">
        <f aca="false">IFERROR(DATE(("20"&amp;MID(DK40,7,2))*1,MID(DK40,4,2)*1,MID(DK40,1,2)*1),"none")</f>
        <v>none</v>
      </c>
      <c r="DO40" s="107" t="n">
        <f aca="false">IF(DM40&lt;&gt;"none",DM40,DATE(1900,1,1))</f>
        <v>2</v>
      </c>
      <c r="DP40" s="107" t="n">
        <f aca="false">IF(DN40&lt;&gt;"none",DN40,DO40)</f>
        <v>2</v>
      </c>
      <c r="DQ40" s="108" t="n">
        <f aca="false">_xlfn.DAYS($A$17,DO40)</f>
        <v>46319</v>
      </c>
      <c r="DR40" s="108" t="n">
        <f aca="false">_xlfn.DAYS($A$17, DP40)</f>
        <v>46319</v>
      </c>
      <c r="DS40" s="60" t="n">
        <f aca="false">IF(DP40&lt;&gt;"",INT(DR40/7),0)</f>
        <v>6617</v>
      </c>
      <c r="DT40" s="108" t="n">
        <f aca="false">IF(N40="Overdue",_xlfn.DAYS($A$17,AM40),0)</f>
        <v>0</v>
      </c>
      <c r="DU40" s="108" t="n">
        <f aca="false">IF(AI40="Project",_xlfn.DAYS(AM40,$A$17),0)</f>
        <v>0</v>
      </c>
      <c r="DV40" s="60" t="str">
        <f aca="false">IFERROR(INDEX(Static!$D$5:$E$13,MATCH(AI40,Static!$D$5:$D$13,0),2),"")</f>
        <v/>
      </c>
      <c r="DW40" s="60" t="str">
        <f aca="false">IF(C40=10000000,"Red",IF(OR(C40=11000000,C40=12000000),"Black",IF(C40=11100000,"Dark",IF(AND(C40=12100000,N40="Completed"),"Green",IF(AND(C40=12100000,N40="Overdue"),"Red",IF(C40=12100000,"Dark",IF(AND(C40=12110000,N40="Overdue"),"LightRed",IF(AND(C40=12110000,N40="Completed"),"LightGreen",IF(OR(C40=11110000,C40=12110000),"Light",IF(AND(C40=12111000,N40="Overdue"),"SoftRed",IF(AND(C40=12111000,N40="Completed"),"SoftGreen",IF(OR(C40=11111000,C40=12111000),"Grey",""))))))))))))</f>
        <v/>
      </c>
      <c r="DX40" s="58" t="n">
        <f aca="false">IF(AL40&lt;&gt;"",AL40,$BJ$19)</f>
        <v>45658</v>
      </c>
      <c r="DY40" s="58" t="n">
        <f aca="false">IF(AM40&lt;&gt;"",AM40,$DI$19)</f>
        <v>46387</v>
      </c>
      <c r="DZ40" s="62" t="s">
        <v>364</v>
      </c>
    </row>
    <row r="41" customFormat="false" ht="14.15" hidden="false" customHeight="true" outlineLevel="0" collapsed="false">
      <c r="A41" s="54"/>
      <c r="B41" s="61" t="n">
        <f aca="false">AI41</f>
        <v>0</v>
      </c>
      <c r="C41" s="60" t="n">
        <f aca="false">IFERROR(INDEX(Static!$D$5:$F$13,MATCH(AI41,Static!$D$5:$D$13,0),3),90000000)</f>
        <v>90000000</v>
      </c>
      <c r="D41" s="60" t="str">
        <f aca="false">MID(C41,2,1)</f>
        <v>0</v>
      </c>
      <c r="E41" s="61" t="str">
        <f aca="false">AC41</f>
        <v/>
      </c>
      <c r="F41" s="60" t="n">
        <f aca="false">IF(B41="Venture",0,IF(OR(B41="Project",B41="Stream",B41="Action"),AL41,0))</f>
        <v>0</v>
      </c>
      <c r="G41" s="60" t="n">
        <f aca="false">AT41</f>
        <v>0</v>
      </c>
      <c r="H41" s="60" t="n">
        <f aca="false">IF(B41="Venture",0,IFERROR(INDEX($E$20:$F$55,MATCH(G41,$E$20:$E$55,0),2),0))</f>
        <v>0</v>
      </c>
      <c r="I41" s="60" t="str">
        <f aca="false">IF(B41="Venture",0,IFERROR(INDEX($E$20:$G$55,MATCH(G41,$E$20:$E$55,0),3),""))</f>
        <v/>
      </c>
      <c r="J41" s="60" t="n">
        <f aca="false">IF(B41="Venture",0,IFERROR(INDEX($E$20:$H$55,MATCH(G41,$E$20:$E$55,0),4),0))</f>
        <v>0</v>
      </c>
      <c r="K41" s="60" t="n">
        <f aca="false">IF(B41="Venture",0,IFERROR(INDEX($E$20:$G$55,MATCH(I41,$E$20:$E$55,0),3),""))</f>
        <v>0</v>
      </c>
      <c r="L41" s="60" t="n">
        <f aca="false">IF(C41="Venture",0,IFERROR(INDEX($E$20:$G$55,MATCH(J41,$E$20:$E$55,0),4),0))</f>
        <v>0</v>
      </c>
      <c r="M41" s="60" t="str">
        <f aca="false">IF(N41="Completed","Completed","Ongoing")</f>
        <v>Ongoing</v>
      </c>
      <c r="N41" s="60" t="n">
        <f aca="false">IF(OR(AI41="Venture",AI41="Routine",AI41="Run Goal", AI41="Chg Goal", AI41=""),AI41,IF(AO41&lt;&gt;"","Completed",IF(AN41&lt;&gt;"","Pending",IF(AND(AM41&lt;&gt;"",$A$17&gt;AM41),"Overdue",IF($A$17&gt;AL41,"Started","Open")))))</f>
        <v>0</v>
      </c>
      <c r="O41" s="59" t="n">
        <f aca="false">((LEN($BD41)-LEN(SUBSTITUTE($BD41,CHAR(10)&amp;". ","")))/3)+IF(LEFT(TRIM($BD41),2)=". ",1,0)</f>
        <v>0</v>
      </c>
      <c r="P41" s="59" t="n">
        <f aca="false">((LEN($BD41)-LEN(SUBSTITUTE($BD41,CHAR(10)&amp;"/ ","")))/3)+IF(LEFT(TRIM($BD41),2)="/ ",1,0)</f>
        <v>0</v>
      </c>
      <c r="Q41" s="59" t="n">
        <f aca="false">((LEN($BD41)-LEN(SUBSTITUTE($BD41,CHAR(10)&amp;"~ ","")))/3)+IF(LEFT(TRIM($BD41),2)="~ ",1,0)</f>
        <v>0</v>
      </c>
      <c r="R41" s="59" t="n">
        <f aca="false">((LEN($BD41)-LEN(SUBSTITUTE($BD41,CHAR(10)&amp;"! ","")))/3)+IF(LEFT(TRIM($BD41),2)="! ",1,0)</f>
        <v>0</v>
      </c>
      <c r="S41" s="59" t="n">
        <f aca="false">((LEN($BD41)-LEN(SUBSTITUTE($BD41,CHAR(10)&amp;"x ","")))/3)+IF(LEFT(TRIM($BD41),2)="x ",1,0)</f>
        <v>0</v>
      </c>
      <c r="T41" s="59" t="n">
        <f aca="false">SUM(O41:S41)</f>
        <v>0</v>
      </c>
      <c r="U41" s="60" t="n">
        <f aca="false">IF(OR($B41="Drill",$B41="Action"),$AP41,0)</f>
        <v>0</v>
      </c>
      <c r="V41" s="60" t="n">
        <f aca="false">IF(OR($B41="Sub",$B41="Stream"),$AP41+SUMIFS($AP$20:$AP$55,$G$20:$G$55,$E41),0)</f>
        <v>0</v>
      </c>
      <c r="W41" s="60" t="n">
        <f aca="false">IF(OR($B41="Routine",$B41="Project"),$AP41+SUMIFS($V$20:$V$55,$G$20:$G$55,$E41),0)</f>
        <v>0</v>
      </c>
      <c r="X41" s="60" t="n">
        <f aca="false">IF($B41="Venture",$AP41+SUMIFS($W$20:$W$55,$G$20:$G$55,$E41),0)</f>
        <v>0</v>
      </c>
      <c r="Y41" s="60" t="n">
        <f aca="false">IF(OR($B41="Drill",$B41="Action"),$AQ41,0)</f>
        <v>0</v>
      </c>
      <c r="Z41" s="60" t="n">
        <f aca="false">IF(OR($B41="Sub",$B41="Stream"),$AQ41+SUMIFS($AQ$20:$AQ$55,$G$20:$G$55,$E41),0)</f>
        <v>0</v>
      </c>
      <c r="AA41" s="60" t="n">
        <f aca="false">IF(OR($B41="Routine",$B41="Project"),$AQ41+SUMIFS($Z$20:$Z$55,$G$20:$G$55,$E41),0)</f>
        <v>0</v>
      </c>
      <c r="AB41" s="60" t="n">
        <f aca="false">IF($B41="Venture",$AQ41+SUMIFS($AA$20:$AA$55,$G$20:$G$55,$E41),0)</f>
        <v>0</v>
      </c>
      <c r="AC41" s="60" t="str">
        <f aca="false">IF(AI41="Venture",AJ41,AI41&amp;AJ41)</f>
        <v/>
      </c>
      <c r="AD41" s="61" t="str">
        <f aca="false">"  -  "&amp;IF(E41="","ZZZ",D41&amp;AF41&amp;IF(OR(B41="Run Goal",B41="Chg Goal", B41="Venture"),F41&amp;E41,IF(OR(B41="Routine",B41="Project"),H41&amp;G41&amp;F41&amp;E41,  IF(OR(B41="Sub",B41="Stream"),J41&amp;I41&amp;H41&amp;G41&amp;F41&amp;E41,IF(OR(B41="Drill",B41="Action"),L41&amp;K41&amp;J41&amp;I41&amp;H41&amp;G41&amp;F41&amp;E41,     "") )    )))</f>
        <v>  -  ZZZ</v>
      </c>
      <c r="AE41" s="60" t="str">
        <f aca="false">IF(AND(AN41="",AO41=""),"Y","N")</f>
        <v>Y</v>
      </c>
      <c r="AF41" s="99" t="str">
        <f aca="false">IF(OR(AG41="Y",AG41="Y"),AG41,IF(DN41="none","N",IF(DN41&gt;($A$17-WEEKDAY($A$17,2)-(7*$AF$18)),"Y","N")))</f>
        <v>N</v>
      </c>
      <c r="AG41" s="100"/>
      <c r="AH41" s="101"/>
      <c r="AI41" s="62"/>
      <c r="AJ41" s="64"/>
      <c r="AK41" s="64"/>
      <c r="AL41" s="70"/>
      <c r="AM41" s="70"/>
      <c r="AN41" s="70"/>
      <c r="AO41" s="70"/>
      <c r="AP41" s="102"/>
      <c r="AQ41" s="102"/>
      <c r="AR41" s="62"/>
      <c r="AS41" s="62"/>
      <c r="AT41" s="62"/>
      <c r="AU41" s="62"/>
      <c r="AV41" s="62"/>
      <c r="AW41" s="62"/>
      <c r="AX41" s="62"/>
      <c r="AY41" s="62"/>
      <c r="AZ41" s="62"/>
      <c r="BA41" s="62"/>
      <c r="BB41" s="54"/>
      <c r="BC41" s="103"/>
      <c r="BD41" s="54"/>
      <c r="BE41" s="60" t="n">
        <f aca="false">SUM(O41:R41)</f>
        <v>0</v>
      </c>
      <c r="BF41" s="66" t="n">
        <f aca="false">IF(AJ41="",1,IF(T41&lt;&gt;0,(P41*0.5+S41)/T41,1))</f>
        <v>1</v>
      </c>
      <c r="BG41" s="69" t="str">
        <f aca="false">IF(AI41="","",IF(AI41="Venture",X41,IF(OR(AI41="Chg Goal",AI41="RUn Goal"),W41,IF(OR(AI41="ROutine",AI41="Project"),W41,IF(OR(AI41="Sub",AI41="Stream"),V41,IF(OR(AI41="Drill",AI41="Action"),U41,0))))))</f>
        <v/>
      </c>
      <c r="BH41" s="69" t="str">
        <f aca="false">IF(AI41="","",IF(AI41="Venture",AB41,IF(OR(AI41="Chg Goal",AI41="RUn Goal"),AA41,IF(OR(AI41="ROutine",AI41="Project"),AA41,IF(OR(AI41="Sub",AI41="Stream"),Z41,IF(OR(AI41="Drill",AI41="Action"),Y41,0))))))</f>
        <v/>
      </c>
      <c r="BI41" s="104" t="str">
        <f aca="false">IF(AJ41="","",IF(OR(BG41=0, BG41=""),0,BH41/BG41))</f>
        <v/>
      </c>
      <c r="BJ41" s="105" t="str">
        <f aca="false">IF(    OR(   AND($C41=10000000,    BJ$19&gt;=$A$17,      BJ$19 &lt;($A$17+$DI$17)   ),   AND($C41&lt;&gt;10000000,  BJ$19&gt;=$DX41,    BJ$19&lt;=($DY41+$DI$17)  ))   ,$DW41,  "")</f>
        <v/>
      </c>
      <c r="BK41" s="106" t="str">
        <f aca="false">IF(    OR(   AND($C41=10000000,    $A$17&lt;=BK$19,      ($A$17+$DI$17)&gt;BK$19    ),   AND($C41&lt;&gt;10000000,  BK$19&gt;=$DX41,    BK$19&lt;=($DY41+$DI$17)  ))   ,$DW41,  "")</f>
        <v/>
      </c>
      <c r="BL41" s="106" t="str">
        <f aca="false">IF(    OR(   AND($C41=10000000,    $A$17&lt;=BL$19,      ($A$17+$DI$17)&gt;BL$19    ),   AND($C41&lt;&gt;10000000,  BL$19&gt;=$DX41,    BL$19&lt;=($DY41+$DI$17)  ))   ,$DW41,  "")</f>
        <v/>
      </c>
      <c r="BM41" s="106" t="str">
        <f aca="false">IF(    OR(   AND($C41=10000000,    $A$17&lt;=BM$19,      ($A$17+$DI$17)&gt;BM$19    ),   AND($C41&lt;&gt;10000000,  BM$19&gt;=$DX41,    BM$19&lt;=($DY41+$DI$17)  ))   ,$DW41,  "")</f>
        <v/>
      </c>
      <c r="BN41" s="106" t="str">
        <f aca="false">IF(    OR(   AND($C41=10000000,    $A$17&lt;=BN$19,      ($A$17+$DI$17)&gt;BN$19    ),   AND($C41&lt;&gt;10000000,  BN$19&gt;=$DX41,    BN$19&lt;=($DY41+$DI$17)  ))   ,$DW41,  "")</f>
        <v/>
      </c>
      <c r="BO41" s="106" t="str">
        <f aca="false">IF(    OR(   AND($C41=10000000,    $A$17&lt;=BO$19,      ($A$17+$DI$17)&gt;BO$19    ),   AND($C41&lt;&gt;10000000,  BO$19&gt;=$DX41,    BO$19&lt;=($DY41+$DI$17)  ))   ,$DW41,  "")</f>
        <v/>
      </c>
      <c r="BP41" s="106" t="str">
        <f aca="false">IF(    OR(   AND($C41=10000000,    $A$17&lt;=BP$19,      ($A$17+$DI$17)&gt;BP$19    ),   AND($C41&lt;&gt;10000000,  BP$19&gt;=$DX41,    BP$19&lt;=($DY41+$DI$17)  ))   ,$DW41,  "")</f>
        <v/>
      </c>
      <c r="BQ41" s="106" t="str">
        <f aca="false">IF(    OR(   AND($C41=10000000,    $A$17&lt;=BQ$19,      ($A$17+$DI$17)&gt;BQ$19    ),   AND($C41&lt;&gt;10000000,  BQ$19&gt;=$DX41,    BQ$19&lt;=($DY41+$DI$17)  ))   ,$DW41,  "")</f>
        <v/>
      </c>
      <c r="BR41" s="106" t="str">
        <f aca="false">IF(    OR(   AND($C41=10000000,    $A$17&lt;=BR$19,      ($A$17+$DI$17)&gt;BR$19    ),   AND($C41&lt;&gt;10000000,  BR$19&gt;=$DX41,    BR$19&lt;=($DY41+$DI$17)  ))   ,$DW41,  "")</f>
        <v/>
      </c>
      <c r="BS41" s="106" t="str">
        <f aca="false">IF(    OR(   AND($C41=10000000,    $A$17&lt;=BS$19,      ($A$17+$DI$17)&gt;BS$19    ),   AND($C41&lt;&gt;10000000,  BS$19&gt;=$DX41,    BS$19&lt;=($DY41+$DI$17)  ))   ,$DW41,  "")</f>
        <v/>
      </c>
      <c r="BT41" s="106" t="str">
        <f aca="false">IF(    OR(   AND($C41=10000000,    $A$17&lt;=BT$19,      ($A$17+$DI$17)&gt;BT$19    ),   AND($C41&lt;&gt;10000000,  BT$19&gt;=$DX41,    BT$19&lt;=($DY41+$DI$17)  ))   ,$DW41,  "")</f>
        <v/>
      </c>
      <c r="BU41" s="106" t="str">
        <f aca="false">IF(    OR(   AND($C41=10000000,    $A$17&lt;=BU$19,      ($A$17+$DI$17)&gt;BU$19    ),   AND($C41&lt;&gt;10000000,  BU$19&gt;=$DX41,    BU$19&lt;=($DY41+$DI$17)  ))   ,$DW41,  "")</f>
        <v/>
      </c>
      <c r="BV41" s="106" t="str">
        <f aca="false">IF(    OR(   AND($C41=10000000,    $A$17&lt;=BV$19,      ($A$17+$DI$17)&gt;BV$19    ),   AND($C41&lt;&gt;10000000,  BV$19&gt;=$DX41,    BV$19&lt;=($DY41+$DI$17)  ))   ,$DW41,  "")</f>
        <v/>
      </c>
      <c r="BW41" s="106" t="str">
        <f aca="false">IF(    OR(   AND($C41=10000000,    $A$17&lt;=BW$19,      ($A$17+$DI$17)&gt;BW$19    ),   AND($C41&lt;&gt;10000000,  BW$19&gt;=$DX41,    BW$19&lt;=($DY41+$DI$17)  ))   ,$DW41,  "")</f>
        <v/>
      </c>
      <c r="BX41" s="106" t="str">
        <f aca="false">IF(    OR(   AND($C41=10000000,    $A$17&lt;=BX$19,      ($A$17+$DI$17)&gt;BX$19    ),   AND($C41&lt;&gt;10000000,  BX$19&gt;=$DX41,    BX$19&lt;=($DY41+$DI$17)  ))   ,$DW41,  "")</f>
        <v/>
      </c>
      <c r="BY41" s="106" t="str">
        <f aca="false">IF(    OR(   AND($C41=10000000,    $A$17&lt;=BY$19,      ($A$17+$DI$17)&gt;BY$19    ),   AND($C41&lt;&gt;10000000,  BY$19&gt;=$DX41,    BY$19&lt;=($DY41+$DI$17)  ))   ,$DW41,  "")</f>
        <v/>
      </c>
      <c r="BZ41" s="106" t="str">
        <f aca="false">IF(    OR(   AND($C41=10000000,    $A$17&lt;=BZ$19,      ($A$17+$DI$17)&gt;BZ$19    ),   AND($C41&lt;&gt;10000000,  BZ$19&gt;=$DX41,    BZ$19&lt;=($DY41+$DI$17)  ))   ,$DW41,  "")</f>
        <v/>
      </c>
      <c r="CA41" s="106" t="str">
        <f aca="false">IF(    OR(   AND($C41=10000000,    $A$17&lt;=CA$19,      ($A$17+$DI$17)&gt;CA$19    ),   AND($C41&lt;&gt;10000000,  CA$19&gt;=$DX41,    CA$19&lt;=($DY41+$DI$17)  ))   ,$DW41,  "")</f>
        <v/>
      </c>
      <c r="CB41" s="106" t="str">
        <f aca="false">IF(    OR(   AND($C41=10000000,    $A$17&lt;=CB$19,      ($A$17+$DI$17)&gt;CB$19    ),   AND($C41&lt;&gt;10000000,  CB$19&gt;=$DX41,    CB$19&lt;=($DY41+$DI$17)  ))   ,$DW41,  "")</f>
        <v/>
      </c>
      <c r="CC41" s="106" t="str">
        <f aca="false">IF(    OR(   AND($C41=10000000,    $A$17&lt;=CC$19,      ($A$17+$DI$17)&gt;CC$19    ),   AND($C41&lt;&gt;10000000,  CC$19&gt;=$DX41,    CC$19&lt;=($DY41+$DI$17)  ))   ,$DW41,  "")</f>
        <v/>
      </c>
      <c r="CD41" s="106" t="str">
        <f aca="false">IF(    OR(   AND($C41=10000000,    $A$17&lt;=CD$19,      ($A$17+$DI$17)&gt;CD$19    ),   AND($C41&lt;&gt;10000000,  CD$19&gt;=$DX41,    CD$19&lt;=($DY41+$DI$17)  ))   ,$DW41,  "")</f>
        <v/>
      </c>
      <c r="CE41" s="106" t="str">
        <f aca="false">IF(    OR(   AND($C41=10000000,    $A$17&lt;=CE$19,      ($A$17+$DI$17)&gt;CE$19    ),   AND($C41&lt;&gt;10000000,  CE$19&gt;=$DX41,    CE$19&lt;=($DY41+$DI$17)  ))   ,$DW41,  "")</f>
        <v/>
      </c>
      <c r="CF41" s="106" t="str">
        <f aca="false">IF(    OR(   AND($C41=10000000,    $A$17&lt;=CF$19,      ($A$17+$DI$17)&gt;CF$19    ),   AND($C41&lt;&gt;10000000,  CF$19&gt;=$DX41,    CF$19&lt;=($DY41+$DI$17)  ))   ,$DW41,  "")</f>
        <v/>
      </c>
      <c r="CG41" s="106" t="str">
        <f aca="false">IF(    OR(   AND($C41=10000000,    $A$17&lt;=CG$19,      ($A$17+$DI$17)&gt;CG$19    ),   AND($C41&lt;&gt;10000000,  CG$19&gt;=$DX41,    CG$19&lt;=($DY41+$DI$17)  ))   ,$DW41,  "")</f>
        <v/>
      </c>
      <c r="CH41" s="106" t="str">
        <f aca="false">IF(    OR(   AND($C41=10000000,    $A$17&lt;=CH$19,      ($A$17+$DI$17)&gt;CH$19    ),   AND($C41&lt;&gt;10000000,  CH$19&gt;=$DX41,    CH$19&lt;=($DY41+$DI$17)  ))   ,$DW41,  "")</f>
        <v/>
      </c>
      <c r="CI41" s="106" t="str">
        <f aca="false">IF(    OR(   AND($C41=10000000,    $A$17&lt;=CI$19,      ($A$17+$DI$17)&gt;CI$19    ),   AND($C41&lt;&gt;10000000,  CI$19&gt;=$DX41,    CI$19&lt;=($DY41+$DI$17)  ))   ,$DW41,  "")</f>
        <v/>
      </c>
      <c r="CJ41" s="106" t="str">
        <f aca="false">IF(    OR(   AND($C41=10000000,    $A$17&lt;=CJ$19,      ($A$17+$DI$17)&gt;CJ$19    ),   AND($C41&lt;&gt;10000000,  CJ$19&gt;=$DX41,    CJ$19&lt;=($DY41+$DI$17)  ))   ,$DW41,  "")</f>
        <v/>
      </c>
      <c r="CK41" s="106" t="str">
        <f aca="false">IF(    OR(   AND($C41=10000000,    $A$17&lt;=CK$19,      ($A$17+$DI$17)&gt;CK$19    ),   AND($C41&lt;&gt;10000000,  CK$19&gt;=$DX41,    CK$19&lt;=($DY41+$DI$17)  ))   ,$DW41,  "")</f>
        <v/>
      </c>
      <c r="CL41" s="106" t="str">
        <f aca="false">IF(    OR(   AND($C41=10000000,    $A$17&lt;=CL$19,      ($A$17+$DI$17)&gt;CL$19    ),   AND($C41&lt;&gt;10000000,  CL$19&gt;=$DX41,    CL$19&lt;=($DY41+$DI$17)  ))   ,$DW41,  "")</f>
        <v/>
      </c>
      <c r="CM41" s="106" t="str">
        <f aca="false">IF(    OR(   AND($C41=10000000,    $A$17&lt;=CM$19,      ($A$17+$DI$17)&gt;CM$19    ),   AND($C41&lt;&gt;10000000,  CM$19&gt;=$DX41,    CM$19&lt;=($DY41+$DI$17)  ))   ,$DW41,  "")</f>
        <v/>
      </c>
      <c r="CN41" s="106" t="str">
        <f aca="false">IF(    OR(   AND($C41=10000000,    $A$17&lt;=CN$19,      ($A$17+$DI$17)&gt;CN$19    ),   AND($C41&lt;&gt;10000000,  CN$19&gt;=$DX41,    CN$19&lt;=($DY41+$DI$17)  ))   ,$DW41,  "")</f>
        <v/>
      </c>
      <c r="CO41" s="106" t="str">
        <f aca="false">IF(    OR(   AND($C41=10000000,    $A$17&lt;=CO$19,      ($A$17+$DI$17)&gt;CO$19    ),   AND($C41&lt;&gt;10000000,  CO$19&gt;=$DX41,    CO$19&lt;=($DY41+$DI$17)  ))   ,$DW41,  "")</f>
        <v/>
      </c>
      <c r="CP41" s="106" t="str">
        <f aca="false">IF(    OR(   AND($C41=10000000,    $A$17&lt;=CP$19,      ($A$17+$DI$17)&gt;CP$19    ),   AND($C41&lt;&gt;10000000,  CP$19&gt;=$DX41,    CP$19&lt;=($DY41+$DI$17)  ))   ,$DW41,  "")</f>
        <v/>
      </c>
      <c r="CQ41" s="106" t="str">
        <f aca="false">IF(    OR(   AND($C41=10000000,    $A$17&lt;=CQ$19,      ($A$17+$DI$17)&gt;CQ$19    ),   AND($C41&lt;&gt;10000000,  CQ$19&gt;=$DX41,    CQ$19&lt;=($DY41+$DI$17)  ))   ,$DW41,  "")</f>
        <v/>
      </c>
      <c r="CR41" s="106" t="str">
        <f aca="false">IF(    OR(   AND($C41=10000000,    $A$17&lt;=CR$19,      ($A$17+$DI$17)&gt;CR$19    ),   AND($C41&lt;&gt;10000000,  CR$19&gt;=$DX41,    CR$19&lt;=($DY41+$DI$17)  ))   ,$DW41,  "")</f>
        <v/>
      </c>
      <c r="CS41" s="106" t="str">
        <f aca="false">IF(    OR(   AND($C41=10000000,    $A$17&lt;=CS$19,      ($A$17+$DI$17)&gt;CS$19    ),   AND($C41&lt;&gt;10000000,  CS$19&gt;=$DX41,    CS$19&lt;=($DY41+$DI$17)  ))   ,$DW41,  "")</f>
        <v/>
      </c>
      <c r="CT41" s="106" t="str">
        <f aca="false">IF(    OR(   AND($C41=10000000,    $A$17&lt;=CT$19,      ($A$17+$DI$17)&gt;CT$19    ),   AND($C41&lt;&gt;10000000,  CT$19&gt;=$DX41,    CT$19&lt;=($DY41+$DI$17)  ))   ,$DW41,  "")</f>
        <v/>
      </c>
      <c r="CU41" s="106" t="str">
        <f aca="false">IF(    OR(   AND($C41=10000000,    $A$17&lt;=CU$19,      ($A$17+$DI$17)&gt;CU$19    ),   AND($C41&lt;&gt;10000000,  CU$19&gt;=$DX41,    CU$19&lt;=($DY41+$DI$17)  ))   ,$DW41,  "")</f>
        <v/>
      </c>
      <c r="CV41" s="106" t="str">
        <f aca="false">IF(    OR(   AND($C41=10000000,    $A$17&lt;=CV$19,      ($A$17+$DI$17)&gt;CV$19    ),   AND($C41&lt;&gt;10000000,  CV$19&gt;=$DX41,    CV$19&lt;=($DY41+$DI$17)  ))   ,$DW41,  "")</f>
        <v/>
      </c>
      <c r="CW41" s="106" t="str">
        <f aca="false">IF(    OR(   AND($C41=10000000,    $A$17&lt;=CW$19,      ($A$17+$DI$17)&gt;CW$19    ),   AND($C41&lt;&gt;10000000,  CW$19&gt;=$DX41,    CW$19&lt;=($DY41+$DI$17)  ))   ,$DW41,  "")</f>
        <v/>
      </c>
      <c r="CX41" s="106" t="str">
        <f aca="false">IF(    OR(   AND($C41=10000000,    $A$17&lt;=CX$19,      ($A$17+$DI$17)&gt;CX$19    ),   AND($C41&lt;&gt;10000000,  CX$19&gt;=$DX41,    CX$19&lt;=($DY41+$DI$17)  ))   ,$DW41,  "")</f>
        <v/>
      </c>
      <c r="CY41" s="106" t="str">
        <f aca="false">IF(    OR(   AND($C41=10000000,    $A$17&lt;=CY$19,      ($A$17+$DI$17)&gt;CY$19    ),   AND($C41&lt;&gt;10000000,  CY$19&gt;=$DX41,    CY$19&lt;=($DY41+$DI$17)  ))   ,$DW41,  "")</f>
        <v/>
      </c>
      <c r="CZ41" s="106" t="str">
        <f aca="false">IF(    OR(   AND($C41=10000000,    $A$17&lt;=CZ$19,      ($A$17+$DI$17)&gt;CZ$19    ),   AND($C41&lt;&gt;10000000,  CZ$19&gt;=$DX41,    CZ$19&lt;=($DY41+$DI$17)  ))   ,$DW41,  "")</f>
        <v/>
      </c>
      <c r="DA41" s="106" t="str">
        <f aca="false">IF(    OR(   AND($C41=10000000,    $A$17&lt;=DA$19,      ($A$17+$DI$17)&gt;DA$19    ),   AND($C41&lt;&gt;10000000,  DA$19&gt;=$DX41,    DA$19&lt;=($DY41+$DI$17)  ))   ,$DW41,  "")</f>
        <v/>
      </c>
      <c r="DB41" s="106" t="str">
        <f aca="false">IF(    OR(   AND($C41=10000000,    $A$17&lt;=DB$19,      ($A$17+$DI$17)&gt;DB$19    ),   AND($C41&lt;&gt;10000000,  DB$19&gt;=$DX41,    DB$19&lt;=($DY41+$DI$17)  ))   ,$DW41,  "")</f>
        <v/>
      </c>
      <c r="DC41" s="106" t="str">
        <f aca="false">IF(    OR(   AND($C41=10000000,    $A$17&lt;=DC$19,      ($A$17+$DI$17)&gt;DC$19    ),   AND($C41&lt;&gt;10000000,  DC$19&gt;=$DX41,    DC$19&lt;=($DY41+$DI$17)  ))   ,$DW41,  "")</f>
        <v/>
      </c>
      <c r="DD41" s="106" t="str">
        <f aca="false">IF(    OR(   AND($C41=10000000,    $A$17&lt;=DD$19,      ($A$17+$DI$17)&gt;DD$19    ),   AND($C41&lt;&gt;10000000,  DD$19&gt;=$DX41,    DD$19&lt;=($DY41+$DI$17)  ))   ,$DW41,  "")</f>
        <v/>
      </c>
      <c r="DE41" s="106" t="str">
        <f aca="false">IF(    OR(   AND($C41=10000000,    $A$17&lt;=DE$19,      ($A$17+$DI$17)&gt;DE$19    ),   AND($C41&lt;&gt;10000000,  DE$19&gt;=$DX41,    DE$19&lt;=($DY41+$DI$17)  ))   ,$DW41,  "")</f>
        <v/>
      </c>
      <c r="DF41" s="106" t="str">
        <f aca="false">IF(    OR(   AND($C41=10000000,    $A$17&lt;=DF$19,      ($A$17+$DI$17)&gt;DF$19    ),   AND($C41&lt;&gt;10000000,  DF$19&gt;=$DX41,    DF$19&lt;=($DY41+$DI$17)  ))   ,$DW41,  "")</f>
        <v/>
      </c>
      <c r="DG41" s="106" t="str">
        <f aca="false">IF(    OR(   AND($C41=10000000,    $A$17&lt;=DG$19,      ($A$17+$DI$17)&gt;DG$19    ),   AND($C41&lt;&gt;10000000,  DG$19&gt;=$DX41,    DG$19&lt;=($DY41+$DI$17)  ))   ,$DW41,  "")</f>
        <v/>
      </c>
      <c r="DH41" s="106" t="str">
        <f aca="false">IF(    OR(   AND($C41=10000000,    $A$17&lt;=DH$19,      ($A$17+$DI$17)&gt;DH$19    ),   AND($C41&lt;&gt;10000000,  DH$19&gt;=$DX41,    DH$19&lt;=($DY41+$DI$17)  ))   ,$DW41,  "")</f>
        <v/>
      </c>
      <c r="DI41" s="106" t="str">
        <f aca="false">IF(    OR(   AND($C41=10000000,    $A$17&lt;=DI$19,      ($A$17+$DI$17)&gt;DI$19    ),   AND($C41&lt;&gt;10000000,  DI$19&gt;=$DX41,    DI$19&lt;=($DY41+$DI$17)  ))   ,$DW41,  "")</f>
        <v/>
      </c>
      <c r="DJ41" s="74" t="str">
        <f aca="false">IF(BC41="","",IF(ISERROR(FIND(CHAR(10),BC41,1)),BC41,LEFT(BC41,FIND(CHAR(10),BC41,1))))</f>
        <v/>
      </c>
      <c r="DK41" s="61" t="str">
        <f aca="false">IF(BC41="","",IFERROR(RIGHT(BC41,LEN(BC41)-FIND("@@@",SUBSTITUTE(BC41,CHAR(10),"@@@",LEN(BC41)-LEN(SUBSTITUTE(BC41,CHAR(10),""))),1)),BC41))</f>
        <v/>
      </c>
      <c r="DL41" s="61" t="str">
        <f aca="false">IF(BD41="","",IFERROR(RIGHT(BD41,LEN(BD41)-FIND("@@@",SUBSTITUTE(BD41,CHAR(10),"@@@",LEN(BD41)-LEN(SUBSTITUTE(BD41,CHAR(10),""))),1)),BD41))</f>
        <v/>
      </c>
      <c r="DM41" s="107" t="str">
        <f aca="false">IFERROR(DATE(("20"&amp;MID(DJ41,7,2))*1,MID(DJ41,4,2)*1,MID(DJ41,1,2)*1),"none")</f>
        <v>none</v>
      </c>
      <c r="DN41" s="107" t="str">
        <f aca="false">IFERROR(DATE(("20"&amp;MID(DK41,7,2))*1,MID(DK41,4,2)*1,MID(DK41,1,2)*1),"none")</f>
        <v>none</v>
      </c>
      <c r="DO41" s="107" t="n">
        <f aca="false">IF(DM41&lt;&gt;"none",DM41,DATE(1900,1,1))</f>
        <v>2</v>
      </c>
      <c r="DP41" s="107" t="n">
        <f aca="false">IF(DN41&lt;&gt;"none",DN41,DO41)</f>
        <v>2</v>
      </c>
      <c r="DQ41" s="108" t="n">
        <f aca="false">_xlfn.DAYS($A$17,DO41)</f>
        <v>46319</v>
      </c>
      <c r="DR41" s="108" t="n">
        <f aca="false">_xlfn.DAYS($A$17, DP41)</f>
        <v>46319</v>
      </c>
      <c r="DS41" s="60" t="n">
        <f aca="false">IF(DP41&lt;&gt;"",INT(DR41/7),0)</f>
        <v>6617</v>
      </c>
      <c r="DT41" s="108" t="n">
        <f aca="false">IF(N41="Overdue",_xlfn.DAYS($A$17,AM41),0)</f>
        <v>0</v>
      </c>
      <c r="DU41" s="108" t="n">
        <f aca="false">IF(AI41="Project",_xlfn.DAYS(AM41,$A$17),0)</f>
        <v>0</v>
      </c>
      <c r="DV41" s="60" t="str">
        <f aca="false">IFERROR(INDEX(Static!$D$5:$E$13,MATCH(AI41,Static!$D$5:$D$13,0),2),"")</f>
        <v/>
      </c>
      <c r="DW41" s="60" t="str">
        <f aca="false">IF(C41=10000000,"Red",IF(OR(C41=11000000,C41=12000000),"Black",IF(C41=11100000,"Dark",IF(AND(C41=12100000,N41="Completed"),"Green",IF(AND(C41=12100000,N41="Overdue"),"Red",IF(C41=12100000,"Dark",IF(AND(C41=12110000,N41="Overdue"),"LightRed",IF(AND(C41=12110000,N41="Completed"),"LightGreen",IF(OR(C41=11110000,C41=12110000),"Light",IF(AND(C41=12111000,N41="Overdue"),"SoftRed",IF(AND(C41=12111000,N41="Completed"),"SoftGreen",IF(OR(C41=11111000,C41=12111000),"Grey",""))))))))))))</f>
        <v/>
      </c>
      <c r="DX41" s="58" t="n">
        <f aca="false">IF(AL41&lt;&gt;"",AL41,$BJ$19)</f>
        <v>45658</v>
      </c>
      <c r="DY41" s="58" t="n">
        <f aca="false">IF(AM41&lt;&gt;"",AM41,$DI$19)</f>
        <v>46387</v>
      </c>
      <c r="DZ41" s="62" t="s">
        <v>364</v>
      </c>
    </row>
    <row r="42" customFormat="false" ht="14.15" hidden="false" customHeight="true" outlineLevel="0" collapsed="false">
      <c r="A42" s="54"/>
      <c r="B42" s="61" t="n">
        <f aca="false">AI42</f>
        <v>0</v>
      </c>
      <c r="C42" s="60" t="n">
        <f aca="false">IFERROR(INDEX(Static!$D$5:$F$13,MATCH(AI42,Static!$D$5:$D$13,0),3),90000000)</f>
        <v>90000000</v>
      </c>
      <c r="D42" s="60" t="str">
        <f aca="false">MID(C42,2,1)</f>
        <v>0</v>
      </c>
      <c r="E42" s="61" t="str">
        <f aca="false">AC42</f>
        <v/>
      </c>
      <c r="F42" s="60" t="n">
        <f aca="false">IF(B42="Venture",0,IF(OR(B42="Project",B42="Stream",B42="Action"),AL42,0))</f>
        <v>0</v>
      </c>
      <c r="G42" s="60" t="n">
        <f aca="false">AT42</f>
        <v>0</v>
      </c>
      <c r="H42" s="60" t="n">
        <f aca="false">IF(B42="Venture",0,IFERROR(INDEX($E$20:$F$55,MATCH(G42,$E$20:$E$55,0),2),0))</f>
        <v>0</v>
      </c>
      <c r="I42" s="60" t="str">
        <f aca="false">IF(B42="Venture",0,IFERROR(INDEX($E$20:$G$55,MATCH(G42,$E$20:$E$55,0),3),""))</f>
        <v/>
      </c>
      <c r="J42" s="60" t="n">
        <f aca="false">IF(B42="Venture",0,IFERROR(INDEX($E$20:$H$55,MATCH(G42,$E$20:$E$55,0),4),0))</f>
        <v>0</v>
      </c>
      <c r="K42" s="60" t="n">
        <f aca="false">IF(B42="Venture",0,IFERROR(INDEX($E$20:$G$55,MATCH(I42,$E$20:$E$55,0),3),""))</f>
        <v>0</v>
      </c>
      <c r="L42" s="60" t="n">
        <f aca="false">IF(C42="Venture",0,IFERROR(INDEX($E$20:$G$55,MATCH(J42,$E$20:$E$55,0),4),0))</f>
        <v>0</v>
      </c>
      <c r="M42" s="60" t="str">
        <f aca="false">IF(N42="Completed","Completed","Ongoing")</f>
        <v>Ongoing</v>
      </c>
      <c r="N42" s="60" t="n">
        <f aca="false">IF(OR(AI42="Venture",AI42="Routine",AI42="Run Goal", AI42="Chg Goal", AI42=""),AI42,IF(AO42&lt;&gt;"","Completed",IF(AN42&lt;&gt;"","Pending",IF(AND(AM42&lt;&gt;"",$A$17&gt;AM42),"Overdue",IF($A$17&gt;AL42,"Started","Open")))))</f>
        <v>0</v>
      </c>
      <c r="O42" s="59" t="n">
        <f aca="false">((LEN($BD42)-LEN(SUBSTITUTE($BD42,CHAR(10)&amp;". ","")))/3)+IF(LEFT(TRIM($BD42),2)=". ",1,0)</f>
        <v>0</v>
      </c>
      <c r="P42" s="59" t="n">
        <f aca="false">((LEN($BD42)-LEN(SUBSTITUTE($BD42,CHAR(10)&amp;"/ ","")))/3)+IF(LEFT(TRIM($BD42),2)="/ ",1,0)</f>
        <v>0</v>
      </c>
      <c r="Q42" s="59" t="n">
        <f aca="false">((LEN($BD42)-LEN(SUBSTITUTE($BD42,CHAR(10)&amp;"~ ","")))/3)+IF(LEFT(TRIM($BD42),2)="~ ",1,0)</f>
        <v>0</v>
      </c>
      <c r="R42" s="59" t="n">
        <f aca="false">((LEN($BD42)-LEN(SUBSTITUTE($BD42,CHAR(10)&amp;"! ","")))/3)+IF(LEFT(TRIM($BD42),2)="! ",1,0)</f>
        <v>0</v>
      </c>
      <c r="S42" s="59" t="n">
        <f aca="false">((LEN($BD42)-LEN(SUBSTITUTE($BD42,CHAR(10)&amp;"x ","")))/3)+IF(LEFT(TRIM($BD42),2)="x ",1,0)</f>
        <v>0</v>
      </c>
      <c r="T42" s="59" t="n">
        <f aca="false">SUM(O42:S42)</f>
        <v>0</v>
      </c>
      <c r="U42" s="60" t="n">
        <f aca="false">IF(OR($B42="Drill",$B42="Action"),$AP42,0)</f>
        <v>0</v>
      </c>
      <c r="V42" s="60" t="n">
        <f aca="false">IF(OR($B42="Sub",$B42="Stream"),$AP42+SUMIFS($AP$20:$AP$55,$G$20:$G$55,$E42),0)</f>
        <v>0</v>
      </c>
      <c r="W42" s="60" t="n">
        <f aca="false">IF(OR($B42="Routine",$B42="Project"),$AP42+SUMIFS($V$20:$V$55,$G$20:$G$55,$E42),0)</f>
        <v>0</v>
      </c>
      <c r="X42" s="60" t="n">
        <f aca="false">IF($B42="Venture",$AP42+SUMIFS($W$20:$W$55,$G$20:$G$55,$E42),0)</f>
        <v>0</v>
      </c>
      <c r="Y42" s="60" t="n">
        <f aca="false">IF(OR($B42="Drill",$B42="Action"),$AQ42,0)</f>
        <v>0</v>
      </c>
      <c r="Z42" s="60" t="n">
        <f aca="false">IF(OR($B42="Sub",$B42="Stream"),$AQ42+SUMIFS($AQ$20:$AQ$55,$G$20:$G$55,$E42),0)</f>
        <v>0</v>
      </c>
      <c r="AA42" s="60" t="n">
        <f aca="false">IF(OR($B42="Routine",$B42="Project"),$AQ42+SUMIFS($Z$20:$Z$55,$G$20:$G$55,$E42),0)</f>
        <v>0</v>
      </c>
      <c r="AB42" s="60" t="n">
        <f aca="false">IF($B42="Venture",$AQ42+SUMIFS($AA$20:$AA$55,$G$20:$G$55,$E42),0)</f>
        <v>0</v>
      </c>
      <c r="AC42" s="60" t="str">
        <f aca="false">IF(AI42="Venture",AJ42,AI42&amp;AJ42)</f>
        <v/>
      </c>
      <c r="AD42" s="61" t="str">
        <f aca="false">"  -  "&amp;IF(E42="","ZZZ",D42&amp;AF42&amp;IF(OR(B42="Run Goal",B42="Chg Goal", B42="Venture"),F42&amp;E42,IF(OR(B42="Routine",B42="Project"),H42&amp;G42&amp;F42&amp;E42,  IF(OR(B42="Sub",B42="Stream"),J42&amp;I42&amp;H42&amp;G42&amp;F42&amp;E42,IF(OR(B42="Drill",B42="Action"),L42&amp;K42&amp;J42&amp;I42&amp;H42&amp;G42&amp;F42&amp;E42,     "") )    )))</f>
        <v>  -  ZZZ</v>
      </c>
      <c r="AE42" s="60" t="str">
        <f aca="false">IF(AND(AN42="",AO42=""),"Y","N")</f>
        <v>Y</v>
      </c>
      <c r="AF42" s="99" t="str">
        <f aca="false">IF(OR(AG42="Y",AG42="Y"),AG42,IF(DN42="none","N",IF(DN42&gt;($A$17-WEEKDAY($A$17,2)-(7*$AF$18)),"Y","N")))</f>
        <v>N</v>
      </c>
      <c r="AG42" s="100"/>
      <c r="AH42" s="101"/>
      <c r="AI42" s="62"/>
      <c r="AJ42" s="64"/>
      <c r="AK42" s="64"/>
      <c r="AL42" s="70"/>
      <c r="AM42" s="70"/>
      <c r="AN42" s="70"/>
      <c r="AO42" s="70"/>
      <c r="AP42" s="102"/>
      <c r="AQ42" s="102"/>
      <c r="AR42" s="62"/>
      <c r="AS42" s="62"/>
      <c r="AT42" s="62"/>
      <c r="AU42" s="62"/>
      <c r="AV42" s="62"/>
      <c r="AW42" s="62"/>
      <c r="AX42" s="62"/>
      <c r="AY42" s="62"/>
      <c r="AZ42" s="62"/>
      <c r="BA42" s="62"/>
      <c r="BB42" s="54"/>
      <c r="BC42" s="103"/>
      <c r="BD42" s="54"/>
      <c r="BE42" s="60" t="n">
        <f aca="false">SUM(O42:R42)</f>
        <v>0</v>
      </c>
      <c r="BF42" s="66" t="n">
        <f aca="false">IF(AJ42="",1,IF(T42&lt;&gt;0,(P42*0.5+S42)/T42,1))</f>
        <v>1</v>
      </c>
      <c r="BG42" s="69" t="str">
        <f aca="false">IF(AI42="","",IF(AI42="Venture",X42,IF(OR(AI42="Chg Goal",AI42="RUn Goal"),W42,IF(OR(AI42="ROutine",AI42="Project"),W42,IF(OR(AI42="Sub",AI42="Stream"),V42,IF(OR(AI42="Drill",AI42="Action"),U42,0))))))</f>
        <v/>
      </c>
      <c r="BH42" s="69" t="str">
        <f aca="false">IF(AI42="","",IF(AI42="Venture",AB42,IF(OR(AI42="Chg Goal",AI42="RUn Goal"),AA42,IF(OR(AI42="ROutine",AI42="Project"),AA42,IF(OR(AI42="Sub",AI42="Stream"),Z42,IF(OR(AI42="Drill",AI42="Action"),Y42,0))))))</f>
        <v/>
      </c>
      <c r="BI42" s="104" t="str">
        <f aca="false">IF(AJ42="","",IF(OR(BG42=0, BG42=""),0,BH42/BG42))</f>
        <v/>
      </c>
      <c r="BJ42" s="105" t="str">
        <f aca="false">IF(    OR(   AND($C42=10000000,    BJ$19&gt;=$A$17,      BJ$19 &lt;($A$17+$DI$17)   ),   AND($C42&lt;&gt;10000000,  BJ$19&gt;=$DX42,    BJ$19&lt;=($DY42+$DI$17)  ))   ,$DW42,  "")</f>
        <v/>
      </c>
      <c r="BK42" s="106" t="str">
        <f aca="false">IF(    OR(   AND($C42=10000000,    $A$17&lt;=BK$19,      ($A$17+$DI$17)&gt;BK$19    ),   AND($C42&lt;&gt;10000000,  BK$19&gt;=$DX42,    BK$19&lt;=($DY42+$DI$17)  ))   ,$DW42,  "")</f>
        <v/>
      </c>
      <c r="BL42" s="106" t="str">
        <f aca="false">IF(    OR(   AND($C42=10000000,    $A$17&lt;=BL$19,      ($A$17+$DI$17)&gt;BL$19    ),   AND($C42&lt;&gt;10000000,  BL$19&gt;=$DX42,    BL$19&lt;=($DY42+$DI$17)  ))   ,$DW42,  "")</f>
        <v/>
      </c>
      <c r="BM42" s="106" t="str">
        <f aca="false">IF(    OR(   AND($C42=10000000,    $A$17&lt;=BM$19,      ($A$17+$DI$17)&gt;BM$19    ),   AND($C42&lt;&gt;10000000,  BM$19&gt;=$DX42,    BM$19&lt;=($DY42+$DI$17)  ))   ,$DW42,  "")</f>
        <v/>
      </c>
      <c r="BN42" s="106" t="str">
        <f aca="false">IF(    OR(   AND($C42=10000000,    $A$17&lt;=BN$19,      ($A$17+$DI$17)&gt;BN$19    ),   AND($C42&lt;&gt;10000000,  BN$19&gt;=$DX42,    BN$19&lt;=($DY42+$DI$17)  ))   ,$DW42,  "")</f>
        <v/>
      </c>
      <c r="BO42" s="106" t="str">
        <f aca="false">IF(    OR(   AND($C42=10000000,    $A$17&lt;=BO$19,      ($A$17+$DI$17)&gt;BO$19    ),   AND($C42&lt;&gt;10000000,  BO$19&gt;=$DX42,    BO$19&lt;=($DY42+$DI$17)  ))   ,$DW42,  "")</f>
        <v/>
      </c>
      <c r="BP42" s="106" t="str">
        <f aca="false">IF(    OR(   AND($C42=10000000,    $A$17&lt;=BP$19,      ($A$17+$DI$17)&gt;BP$19    ),   AND($C42&lt;&gt;10000000,  BP$19&gt;=$DX42,    BP$19&lt;=($DY42+$DI$17)  ))   ,$DW42,  "")</f>
        <v/>
      </c>
      <c r="BQ42" s="106" t="str">
        <f aca="false">IF(    OR(   AND($C42=10000000,    $A$17&lt;=BQ$19,      ($A$17+$DI$17)&gt;BQ$19    ),   AND($C42&lt;&gt;10000000,  BQ$19&gt;=$DX42,    BQ$19&lt;=($DY42+$DI$17)  ))   ,$DW42,  "")</f>
        <v/>
      </c>
      <c r="BR42" s="106" t="str">
        <f aca="false">IF(    OR(   AND($C42=10000000,    $A$17&lt;=BR$19,      ($A$17+$DI$17)&gt;BR$19    ),   AND($C42&lt;&gt;10000000,  BR$19&gt;=$DX42,    BR$19&lt;=($DY42+$DI$17)  ))   ,$DW42,  "")</f>
        <v/>
      </c>
      <c r="BS42" s="106" t="str">
        <f aca="false">IF(    OR(   AND($C42=10000000,    $A$17&lt;=BS$19,      ($A$17+$DI$17)&gt;BS$19    ),   AND($C42&lt;&gt;10000000,  BS$19&gt;=$DX42,    BS$19&lt;=($DY42+$DI$17)  ))   ,$DW42,  "")</f>
        <v/>
      </c>
      <c r="BT42" s="106" t="str">
        <f aca="false">IF(    OR(   AND($C42=10000000,    $A$17&lt;=BT$19,      ($A$17+$DI$17)&gt;BT$19    ),   AND($C42&lt;&gt;10000000,  BT$19&gt;=$DX42,    BT$19&lt;=($DY42+$DI$17)  ))   ,$DW42,  "")</f>
        <v/>
      </c>
      <c r="BU42" s="106" t="str">
        <f aca="false">IF(    OR(   AND($C42=10000000,    $A$17&lt;=BU$19,      ($A$17+$DI$17)&gt;BU$19    ),   AND($C42&lt;&gt;10000000,  BU$19&gt;=$DX42,    BU$19&lt;=($DY42+$DI$17)  ))   ,$DW42,  "")</f>
        <v/>
      </c>
      <c r="BV42" s="106" t="str">
        <f aca="false">IF(    OR(   AND($C42=10000000,    $A$17&lt;=BV$19,      ($A$17+$DI$17)&gt;BV$19    ),   AND($C42&lt;&gt;10000000,  BV$19&gt;=$DX42,    BV$19&lt;=($DY42+$DI$17)  ))   ,$DW42,  "")</f>
        <v/>
      </c>
      <c r="BW42" s="106" t="str">
        <f aca="false">IF(    OR(   AND($C42=10000000,    $A$17&lt;=BW$19,      ($A$17+$DI$17)&gt;BW$19    ),   AND($C42&lt;&gt;10000000,  BW$19&gt;=$DX42,    BW$19&lt;=($DY42+$DI$17)  ))   ,$DW42,  "")</f>
        <v/>
      </c>
      <c r="BX42" s="106" t="str">
        <f aca="false">IF(    OR(   AND($C42=10000000,    $A$17&lt;=BX$19,      ($A$17+$DI$17)&gt;BX$19    ),   AND($C42&lt;&gt;10000000,  BX$19&gt;=$DX42,    BX$19&lt;=($DY42+$DI$17)  ))   ,$DW42,  "")</f>
        <v/>
      </c>
      <c r="BY42" s="106" t="str">
        <f aca="false">IF(    OR(   AND($C42=10000000,    $A$17&lt;=BY$19,      ($A$17+$DI$17)&gt;BY$19    ),   AND($C42&lt;&gt;10000000,  BY$19&gt;=$DX42,    BY$19&lt;=($DY42+$DI$17)  ))   ,$DW42,  "")</f>
        <v/>
      </c>
      <c r="BZ42" s="106" t="str">
        <f aca="false">IF(    OR(   AND($C42=10000000,    $A$17&lt;=BZ$19,      ($A$17+$DI$17)&gt;BZ$19    ),   AND($C42&lt;&gt;10000000,  BZ$19&gt;=$DX42,    BZ$19&lt;=($DY42+$DI$17)  ))   ,$DW42,  "")</f>
        <v/>
      </c>
      <c r="CA42" s="106" t="str">
        <f aca="false">IF(    OR(   AND($C42=10000000,    $A$17&lt;=CA$19,      ($A$17+$DI$17)&gt;CA$19    ),   AND($C42&lt;&gt;10000000,  CA$19&gt;=$DX42,    CA$19&lt;=($DY42+$DI$17)  ))   ,$DW42,  "")</f>
        <v/>
      </c>
      <c r="CB42" s="106" t="str">
        <f aca="false">IF(    OR(   AND($C42=10000000,    $A$17&lt;=CB$19,      ($A$17+$DI$17)&gt;CB$19    ),   AND($C42&lt;&gt;10000000,  CB$19&gt;=$DX42,    CB$19&lt;=($DY42+$DI$17)  ))   ,$DW42,  "")</f>
        <v/>
      </c>
      <c r="CC42" s="106" t="str">
        <f aca="false">IF(    OR(   AND($C42=10000000,    $A$17&lt;=CC$19,      ($A$17+$DI$17)&gt;CC$19    ),   AND($C42&lt;&gt;10000000,  CC$19&gt;=$DX42,    CC$19&lt;=($DY42+$DI$17)  ))   ,$DW42,  "")</f>
        <v/>
      </c>
      <c r="CD42" s="106" t="str">
        <f aca="false">IF(    OR(   AND($C42=10000000,    $A$17&lt;=CD$19,      ($A$17+$DI$17)&gt;CD$19    ),   AND($C42&lt;&gt;10000000,  CD$19&gt;=$DX42,    CD$19&lt;=($DY42+$DI$17)  ))   ,$DW42,  "")</f>
        <v/>
      </c>
      <c r="CE42" s="106" t="str">
        <f aca="false">IF(    OR(   AND($C42=10000000,    $A$17&lt;=CE$19,      ($A$17+$DI$17)&gt;CE$19    ),   AND($C42&lt;&gt;10000000,  CE$19&gt;=$DX42,    CE$19&lt;=($DY42+$DI$17)  ))   ,$DW42,  "")</f>
        <v/>
      </c>
      <c r="CF42" s="106" t="str">
        <f aca="false">IF(    OR(   AND($C42=10000000,    $A$17&lt;=CF$19,      ($A$17+$DI$17)&gt;CF$19    ),   AND($C42&lt;&gt;10000000,  CF$19&gt;=$DX42,    CF$19&lt;=($DY42+$DI$17)  ))   ,$DW42,  "")</f>
        <v/>
      </c>
      <c r="CG42" s="106" t="str">
        <f aca="false">IF(    OR(   AND($C42=10000000,    $A$17&lt;=CG$19,      ($A$17+$DI$17)&gt;CG$19    ),   AND($C42&lt;&gt;10000000,  CG$19&gt;=$DX42,    CG$19&lt;=($DY42+$DI$17)  ))   ,$DW42,  "")</f>
        <v/>
      </c>
      <c r="CH42" s="106" t="str">
        <f aca="false">IF(    OR(   AND($C42=10000000,    $A$17&lt;=CH$19,      ($A$17+$DI$17)&gt;CH$19    ),   AND($C42&lt;&gt;10000000,  CH$19&gt;=$DX42,    CH$19&lt;=($DY42+$DI$17)  ))   ,$DW42,  "")</f>
        <v/>
      </c>
      <c r="CI42" s="106" t="str">
        <f aca="false">IF(    OR(   AND($C42=10000000,    $A$17&lt;=CI$19,      ($A$17+$DI$17)&gt;CI$19    ),   AND($C42&lt;&gt;10000000,  CI$19&gt;=$DX42,    CI$19&lt;=($DY42+$DI$17)  ))   ,$DW42,  "")</f>
        <v/>
      </c>
      <c r="CJ42" s="106" t="str">
        <f aca="false">IF(    OR(   AND($C42=10000000,    $A$17&lt;=CJ$19,      ($A$17+$DI$17)&gt;CJ$19    ),   AND($C42&lt;&gt;10000000,  CJ$19&gt;=$DX42,    CJ$19&lt;=($DY42+$DI$17)  ))   ,$DW42,  "")</f>
        <v/>
      </c>
      <c r="CK42" s="106" t="str">
        <f aca="false">IF(    OR(   AND($C42=10000000,    $A$17&lt;=CK$19,      ($A$17+$DI$17)&gt;CK$19    ),   AND($C42&lt;&gt;10000000,  CK$19&gt;=$DX42,    CK$19&lt;=($DY42+$DI$17)  ))   ,$DW42,  "")</f>
        <v/>
      </c>
      <c r="CL42" s="106" t="str">
        <f aca="false">IF(    OR(   AND($C42=10000000,    $A$17&lt;=CL$19,      ($A$17+$DI$17)&gt;CL$19    ),   AND($C42&lt;&gt;10000000,  CL$19&gt;=$DX42,    CL$19&lt;=($DY42+$DI$17)  ))   ,$DW42,  "")</f>
        <v/>
      </c>
      <c r="CM42" s="106" t="str">
        <f aca="false">IF(    OR(   AND($C42=10000000,    $A$17&lt;=CM$19,      ($A$17+$DI$17)&gt;CM$19    ),   AND($C42&lt;&gt;10000000,  CM$19&gt;=$DX42,    CM$19&lt;=($DY42+$DI$17)  ))   ,$DW42,  "")</f>
        <v/>
      </c>
      <c r="CN42" s="106" t="str">
        <f aca="false">IF(    OR(   AND($C42=10000000,    $A$17&lt;=CN$19,      ($A$17+$DI$17)&gt;CN$19    ),   AND($C42&lt;&gt;10000000,  CN$19&gt;=$DX42,    CN$19&lt;=($DY42+$DI$17)  ))   ,$DW42,  "")</f>
        <v/>
      </c>
      <c r="CO42" s="106" t="str">
        <f aca="false">IF(    OR(   AND($C42=10000000,    $A$17&lt;=CO$19,      ($A$17+$DI$17)&gt;CO$19    ),   AND($C42&lt;&gt;10000000,  CO$19&gt;=$DX42,    CO$19&lt;=($DY42+$DI$17)  ))   ,$DW42,  "")</f>
        <v/>
      </c>
      <c r="CP42" s="106" t="str">
        <f aca="false">IF(    OR(   AND($C42=10000000,    $A$17&lt;=CP$19,      ($A$17+$DI$17)&gt;CP$19    ),   AND($C42&lt;&gt;10000000,  CP$19&gt;=$DX42,    CP$19&lt;=($DY42+$DI$17)  ))   ,$DW42,  "")</f>
        <v/>
      </c>
      <c r="CQ42" s="106" t="str">
        <f aca="false">IF(    OR(   AND($C42=10000000,    $A$17&lt;=CQ$19,      ($A$17+$DI$17)&gt;CQ$19    ),   AND($C42&lt;&gt;10000000,  CQ$19&gt;=$DX42,    CQ$19&lt;=($DY42+$DI$17)  ))   ,$DW42,  "")</f>
        <v/>
      </c>
      <c r="CR42" s="106" t="str">
        <f aca="false">IF(    OR(   AND($C42=10000000,    $A$17&lt;=CR$19,      ($A$17+$DI$17)&gt;CR$19    ),   AND($C42&lt;&gt;10000000,  CR$19&gt;=$DX42,    CR$19&lt;=($DY42+$DI$17)  ))   ,$DW42,  "")</f>
        <v/>
      </c>
      <c r="CS42" s="106" t="str">
        <f aca="false">IF(    OR(   AND($C42=10000000,    $A$17&lt;=CS$19,      ($A$17+$DI$17)&gt;CS$19    ),   AND($C42&lt;&gt;10000000,  CS$19&gt;=$DX42,    CS$19&lt;=($DY42+$DI$17)  ))   ,$DW42,  "")</f>
        <v/>
      </c>
      <c r="CT42" s="106" t="str">
        <f aca="false">IF(    OR(   AND($C42=10000000,    $A$17&lt;=CT$19,      ($A$17+$DI$17)&gt;CT$19    ),   AND($C42&lt;&gt;10000000,  CT$19&gt;=$DX42,    CT$19&lt;=($DY42+$DI$17)  ))   ,$DW42,  "")</f>
        <v/>
      </c>
      <c r="CU42" s="106" t="str">
        <f aca="false">IF(    OR(   AND($C42=10000000,    $A$17&lt;=CU$19,      ($A$17+$DI$17)&gt;CU$19    ),   AND($C42&lt;&gt;10000000,  CU$19&gt;=$DX42,    CU$19&lt;=($DY42+$DI$17)  ))   ,$DW42,  "")</f>
        <v/>
      </c>
      <c r="CV42" s="106" t="str">
        <f aca="false">IF(    OR(   AND($C42=10000000,    $A$17&lt;=CV$19,      ($A$17+$DI$17)&gt;CV$19    ),   AND($C42&lt;&gt;10000000,  CV$19&gt;=$DX42,    CV$19&lt;=($DY42+$DI$17)  ))   ,$DW42,  "")</f>
        <v/>
      </c>
      <c r="CW42" s="106" t="str">
        <f aca="false">IF(    OR(   AND($C42=10000000,    $A$17&lt;=CW$19,      ($A$17+$DI$17)&gt;CW$19    ),   AND($C42&lt;&gt;10000000,  CW$19&gt;=$DX42,    CW$19&lt;=($DY42+$DI$17)  ))   ,$DW42,  "")</f>
        <v/>
      </c>
      <c r="CX42" s="106" t="str">
        <f aca="false">IF(    OR(   AND($C42=10000000,    $A$17&lt;=CX$19,      ($A$17+$DI$17)&gt;CX$19    ),   AND($C42&lt;&gt;10000000,  CX$19&gt;=$DX42,    CX$19&lt;=($DY42+$DI$17)  ))   ,$DW42,  "")</f>
        <v/>
      </c>
      <c r="CY42" s="106" t="str">
        <f aca="false">IF(    OR(   AND($C42=10000000,    $A$17&lt;=CY$19,      ($A$17+$DI$17)&gt;CY$19    ),   AND($C42&lt;&gt;10000000,  CY$19&gt;=$DX42,    CY$19&lt;=($DY42+$DI$17)  ))   ,$DW42,  "")</f>
        <v/>
      </c>
      <c r="CZ42" s="106" t="str">
        <f aca="false">IF(    OR(   AND($C42=10000000,    $A$17&lt;=CZ$19,      ($A$17+$DI$17)&gt;CZ$19    ),   AND($C42&lt;&gt;10000000,  CZ$19&gt;=$DX42,    CZ$19&lt;=($DY42+$DI$17)  ))   ,$DW42,  "")</f>
        <v/>
      </c>
      <c r="DA42" s="106" t="str">
        <f aca="false">IF(    OR(   AND($C42=10000000,    $A$17&lt;=DA$19,      ($A$17+$DI$17)&gt;DA$19    ),   AND($C42&lt;&gt;10000000,  DA$19&gt;=$DX42,    DA$19&lt;=($DY42+$DI$17)  ))   ,$DW42,  "")</f>
        <v/>
      </c>
      <c r="DB42" s="106" t="str">
        <f aca="false">IF(    OR(   AND($C42=10000000,    $A$17&lt;=DB$19,      ($A$17+$DI$17)&gt;DB$19    ),   AND($C42&lt;&gt;10000000,  DB$19&gt;=$DX42,    DB$19&lt;=($DY42+$DI$17)  ))   ,$DW42,  "")</f>
        <v/>
      </c>
      <c r="DC42" s="106" t="str">
        <f aca="false">IF(    OR(   AND($C42=10000000,    $A$17&lt;=DC$19,      ($A$17+$DI$17)&gt;DC$19    ),   AND($C42&lt;&gt;10000000,  DC$19&gt;=$DX42,    DC$19&lt;=($DY42+$DI$17)  ))   ,$DW42,  "")</f>
        <v/>
      </c>
      <c r="DD42" s="106" t="str">
        <f aca="false">IF(    OR(   AND($C42=10000000,    $A$17&lt;=DD$19,      ($A$17+$DI$17)&gt;DD$19    ),   AND($C42&lt;&gt;10000000,  DD$19&gt;=$DX42,    DD$19&lt;=($DY42+$DI$17)  ))   ,$DW42,  "")</f>
        <v/>
      </c>
      <c r="DE42" s="106" t="str">
        <f aca="false">IF(    OR(   AND($C42=10000000,    $A$17&lt;=DE$19,      ($A$17+$DI$17)&gt;DE$19    ),   AND($C42&lt;&gt;10000000,  DE$19&gt;=$DX42,    DE$19&lt;=($DY42+$DI$17)  ))   ,$DW42,  "")</f>
        <v/>
      </c>
      <c r="DF42" s="106" t="str">
        <f aca="false">IF(    OR(   AND($C42=10000000,    $A$17&lt;=DF$19,      ($A$17+$DI$17)&gt;DF$19    ),   AND($C42&lt;&gt;10000000,  DF$19&gt;=$DX42,    DF$19&lt;=($DY42+$DI$17)  ))   ,$DW42,  "")</f>
        <v/>
      </c>
      <c r="DG42" s="106" t="str">
        <f aca="false">IF(    OR(   AND($C42=10000000,    $A$17&lt;=DG$19,      ($A$17+$DI$17)&gt;DG$19    ),   AND($C42&lt;&gt;10000000,  DG$19&gt;=$DX42,    DG$19&lt;=($DY42+$DI$17)  ))   ,$DW42,  "")</f>
        <v/>
      </c>
      <c r="DH42" s="106" t="str">
        <f aca="false">IF(    OR(   AND($C42=10000000,    $A$17&lt;=DH$19,      ($A$17+$DI$17)&gt;DH$19    ),   AND($C42&lt;&gt;10000000,  DH$19&gt;=$DX42,    DH$19&lt;=($DY42+$DI$17)  ))   ,$DW42,  "")</f>
        <v/>
      </c>
      <c r="DI42" s="106" t="str">
        <f aca="false">IF(    OR(   AND($C42=10000000,    $A$17&lt;=DI$19,      ($A$17+$DI$17)&gt;DI$19    ),   AND($C42&lt;&gt;10000000,  DI$19&gt;=$DX42,    DI$19&lt;=($DY42+$DI$17)  ))   ,$DW42,  "")</f>
        <v/>
      </c>
      <c r="DJ42" s="74" t="str">
        <f aca="false">IF(BC42="","",IF(ISERROR(FIND(CHAR(10),BC42,1)),BC42,LEFT(BC42,FIND(CHAR(10),BC42,1))))</f>
        <v/>
      </c>
      <c r="DK42" s="61" t="str">
        <f aca="false">IF(BC42="","",IFERROR(RIGHT(BC42,LEN(BC42)-FIND("@@@",SUBSTITUTE(BC42,CHAR(10),"@@@",LEN(BC42)-LEN(SUBSTITUTE(BC42,CHAR(10),""))),1)),BC42))</f>
        <v/>
      </c>
      <c r="DL42" s="61" t="str">
        <f aca="false">IF(BD42="","",IFERROR(RIGHT(BD42,LEN(BD42)-FIND("@@@",SUBSTITUTE(BD42,CHAR(10),"@@@",LEN(BD42)-LEN(SUBSTITUTE(BD42,CHAR(10),""))),1)),BD42))</f>
        <v/>
      </c>
      <c r="DM42" s="107" t="str">
        <f aca="false">IFERROR(DATE(("20"&amp;MID(DJ42,7,2))*1,MID(DJ42,4,2)*1,MID(DJ42,1,2)*1),"none")</f>
        <v>none</v>
      </c>
      <c r="DN42" s="107" t="str">
        <f aca="false">IFERROR(DATE(("20"&amp;MID(DK42,7,2))*1,MID(DK42,4,2)*1,MID(DK42,1,2)*1),"none")</f>
        <v>none</v>
      </c>
      <c r="DO42" s="107" t="n">
        <f aca="false">IF(DM42&lt;&gt;"none",DM42,DATE(1900,1,1))</f>
        <v>2</v>
      </c>
      <c r="DP42" s="107" t="n">
        <f aca="false">IF(DN42&lt;&gt;"none",DN42,DO42)</f>
        <v>2</v>
      </c>
      <c r="DQ42" s="108" t="n">
        <f aca="false">_xlfn.DAYS($A$17,DO42)</f>
        <v>46319</v>
      </c>
      <c r="DR42" s="108" t="n">
        <f aca="false">_xlfn.DAYS($A$17, DP42)</f>
        <v>46319</v>
      </c>
      <c r="DS42" s="60" t="n">
        <f aca="false">IF(DP42&lt;&gt;"",INT(DR42/7),0)</f>
        <v>6617</v>
      </c>
      <c r="DT42" s="108" t="n">
        <f aca="false">IF(N42="Overdue",_xlfn.DAYS($A$17,AM42),0)</f>
        <v>0</v>
      </c>
      <c r="DU42" s="108" t="n">
        <f aca="false">IF(AI42="Project",_xlfn.DAYS(AM42,$A$17),0)</f>
        <v>0</v>
      </c>
      <c r="DV42" s="60" t="str">
        <f aca="false">IFERROR(INDEX(Static!$D$5:$E$13,MATCH(AI42,Static!$D$5:$D$13,0),2),"")</f>
        <v/>
      </c>
      <c r="DW42" s="60" t="str">
        <f aca="false">IF(C42=10000000,"Red",IF(OR(C42=11000000,C42=12000000),"Black",IF(C42=11100000,"Dark",IF(AND(C42=12100000,N42="Completed"),"Green",IF(AND(C42=12100000,N42="Overdue"),"Red",IF(C42=12100000,"Dark",IF(AND(C42=12110000,N42="Overdue"),"LightRed",IF(AND(C42=12110000,N42="Completed"),"LightGreen",IF(OR(C42=11110000,C42=12110000),"Light",IF(AND(C42=12111000,N42="Overdue"),"SoftRed",IF(AND(C42=12111000,N42="Completed"),"SoftGreen",IF(OR(C42=11111000,C42=12111000),"Grey",""))))))))))))</f>
        <v/>
      </c>
      <c r="DX42" s="58" t="n">
        <f aca="false">IF(AL42&lt;&gt;"",AL42,$BJ$19)</f>
        <v>45658</v>
      </c>
      <c r="DY42" s="58" t="n">
        <f aca="false">IF(AM42&lt;&gt;"",AM42,$DI$19)</f>
        <v>46387</v>
      </c>
      <c r="DZ42" s="62" t="s">
        <v>364</v>
      </c>
    </row>
    <row r="43" customFormat="false" ht="14.15" hidden="false" customHeight="true" outlineLevel="0" collapsed="false">
      <c r="A43" s="54"/>
      <c r="B43" s="61" t="n">
        <f aca="false">AI43</f>
        <v>0</v>
      </c>
      <c r="C43" s="60" t="n">
        <f aca="false">IFERROR(INDEX(Static!$D$5:$F$13,MATCH(AI43,Static!$D$5:$D$13,0),3),90000000)</f>
        <v>90000000</v>
      </c>
      <c r="D43" s="60" t="str">
        <f aca="false">MID(C43,2,1)</f>
        <v>0</v>
      </c>
      <c r="E43" s="61" t="str">
        <f aca="false">AC43</f>
        <v/>
      </c>
      <c r="F43" s="60" t="n">
        <f aca="false">IF(B43="Venture",0,IF(OR(B43="Project",B43="Stream",B43="Action"),AL43,0))</f>
        <v>0</v>
      </c>
      <c r="G43" s="60" t="n">
        <f aca="false">AT43</f>
        <v>0</v>
      </c>
      <c r="H43" s="60" t="n">
        <f aca="false">IF(B43="Venture",0,IFERROR(INDEX($E$20:$F$55,MATCH(G43,$E$20:$E$55,0),2),0))</f>
        <v>0</v>
      </c>
      <c r="I43" s="60" t="str">
        <f aca="false">IF(B43="Venture",0,IFERROR(INDEX($E$20:$G$55,MATCH(G43,$E$20:$E$55,0),3),""))</f>
        <v/>
      </c>
      <c r="J43" s="60" t="n">
        <f aca="false">IF(B43="Venture",0,IFERROR(INDEX($E$20:$H$55,MATCH(G43,$E$20:$E$55,0),4),0))</f>
        <v>0</v>
      </c>
      <c r="K43" s="60" t="n">
        <f aca="false">IF(B43="Venture",0,IFERROR(INDEX($E$20:$G$55,MATCH(I43,$E$20:$E$55,0),3),""))</f>
        <v>0</v>
      </c>
      <c r="L43" s="60" t="n">
        <f aca="false">IF(C43="Venture",0,IFERROR(INDEX($E$20:$G$55,MATCH(J43,$E$20:$E$55,0),4),0))</f>
        <v>0</v>
      </c>
      <c r="M43" s="60" t="str">
        <f aca="false">IF(N43="Completed","Completed","Ongoing")</f>
        <v>Ongoing</v>
      </c>
      <c r="N43" s="60" t="n">
        <f aca="false">IF(OR(AI43="Venture",AI43="Routine",AI43="Run Goal", AI43="Chg Goal", AI43=""),AI43,IF(AO43&lt;&gt;"","Completed",IF(AN43&lt;&gt;"","Pending",IF(AND(AM43&lt;&gt;"",$A$17&gt;AM43),"Overdue",IF($A$17&gt;AL43,"Started","Open")))))</f>
        <v>0</v>
      </c>
      <c r="O43" s="59" t="n">
        <f aca="false">((LEN($BD43)-LEN(SUBSTITUTE($BD43,CHAR(10)&amp;". ","")))/3)+IF(LEFT(TRIM($BD43),2)=". ",1,0)</f>
        <v>0</v>
      </c>
      <c r="P43" s="59" t="n">
        <f aca="false">((LEN($BD43)-LEN(SUBSTITUTE($BD43,CHAR(10)&amp;"/ ","")))/3)+IF(LEFT(TRIM($BD43),2)="/ ",1,0)</f>
        <v>0</v>
      </c>
      <c r="Q43" s="59" t="n">
        <f aca="false">((LEN($BD43)-LEN(SUBSTITUTE($BD43,CHAR(10)&amp;"~ ","")))/3)+IF(LEFT(TRIM($BD43),2)="~ ",1,0)</f>
        <v>0</v>
      </c>
      <c r="R43" s="59" t="n">
        <f aca="false">((LEN($BD43)-LEN(SUBSTITUTE($BD43,CHAR(10)&amp;"! ","")))/3)+IF(LEFT(TRIM($BD43),2)="! ",1,0)</f>
        <v>0</v>
      </c>
      <c r="S43" s="59" t="n">
        <f aca="false">((LEN($BD43)-LEN(SUBSTITUTE($BD43,CHAR(10)&amp;"x ","")))/3)+IF(LEFT(TRIM($BD43),2)="x ",1,0)</f>
        <v>0</v>
      </c>
      <c r="T43" s="59" t="n">
        <f aca="false">SUM(O43:S43)</f>
        <v>0</v>
      </c>
      <c r="U43" s="60" t="n">
        <f aca="false">IF(OR($B43="Drill",$B43="Action"),$AP43,0)</f>
        <v>0</v>
      </c>
      <c r="V43" s="60" t="n">
        <f aca="false">IF(OR($B43="Sub",$B43="Stream"),$AP43+SUMIFS($AP$20:$AP$55,$G$20:$G$55,$E43),0)</f>
        <v>0</v>
      </c>
      <c r="W43" s="60" t="n">
        <f aca="false">IF(OR($B43="Routine",$B43="Project"),$AP43+SUMIFS($V$20:$V$55,$G$20:$G$55,$E43),0)</f>
        <v>0</v>
      </c>
      <c r="X43" s="60" t="n">
        <f aca="false">IF($B43="Venture",$AP43+SUMIFS($W$20:$W$55,$G$20:$G$55,$E43),0)</f>
        <v>0</v>
      </c>
      <c r="Y43" s="60" t="n">
        <f aca="false">IF(OR($B43="Drill",$B43="Action"),$AQ43,0)</f>
        <v>0</v>
      </c>
      <c r="Z43" s="60" t="n">
        <f aca="false">IF(OR($B43="Sub",$B43="Stream"),$AQ43+SUMIFS($AQ$20:$AQ$55,$G$20:$G$55,$E43),0)</f>
        <v>0</v>
      </c>
      <c r="AA43" s="60" t="n">
        <f aca="false">IF(OR($B43="Routine",$B43="Project"),$AQ43+SUMIFS($Z$20:$Z$55,$G$20:$G$55,$E43),0)</f>
        <v>0</v>
      </c>
      <c r="AB43" s="60" t="n">
        <f aca="false">IF($B43="Venture",$AQ43+SUMIFS($AA$20:$AA$55,$G$20:$G$55,$E43),0)</f>
        <v>0</v>
      </c>
      <c r="AC43" s="60" t="str">
        <f aca="false">IF(AI43="Venture",AJ43,AI43&amp;AJ43)</f>
        <v/>
      </c>
      <c r="AD43" s="61" t="str">
        <f aca="false">"  -  "&amp;IF(E43="","ZZZ",D43&amp;AF43&amp;IF(OR(B43="Run Goal",B43="Chg Goal", B43="Venture"),F43&amp;E43,IF(OR(B43="Routine",B43="Project"),H43&amp;G43&amp;F43&amp;E43,  IF(OR(B43="Sub",B43="Stream"),J43&amp;I43&amp;H43&amp;G43&amp;F43&amp;E43,IF(OR(B43="Drill",B43="Action"),L43&amp;K43&amp;J43&amp;I43&amp;H43&amp;G43&amp;F43&amp;E43,     "") )    )))</f>
        <v>  -  ZZZ</v>
      </c>
      <c r="AE43" s="60" t="str">
        <f aca="false">IF(AND(AN43="",AO43=""),"Y","N")</f>
        <v>Y</v>
      </c>
      <c r="AF43" s="99" t="str">
        <f aca="false">IF(OR(AG43="Y",AG43="Y"),AG43,IF(DN43="none","N",IF(DN43&gt;($A$17-WEEKDAY($A$17,2)-(7*$AF$18)),"Y","N")))</f>
        <v>N</v>
      </c>
      <c r="AG43" s="100"/>
      <c r="AH43" s="101"/>
      <c r="AI43" s="62"/>
      <c r="AJ43" s="64"/>
      <c r="AK43" s="64"/>
      <c r="AL43" s="70"/>
      <c r="AM43" s="70"/>
      <c r="AN43" s="70"/>
      <c r="AO43" s="70"/>
      <c r="AP43" s="102"/>
      <c r="AQ43" s="102"/>
      <c r="AR43" s="62"/>
      <c r="AS43" s="62"/>
      <c r="AT43" s="62"/>
      <c r="AU43" s="62"/>
      <c r="AV43" s="62"/>
      <c r="AW43" s="62"/>
      <c r="AX43" s="62"/>
      <c r="AY43" s="62"/>
      <c r="AZ43" s="62"/>
      <c r="BA43" s="62"/>
      <c r="BB43" s="54"/>
      <c r="BC43" s="103"/>
      <c r="BD43" s="54"/>
      <c r="BE43" s="60" t="n">
        <f aca="false">SUM(O43:R43)</f>
        <v>0</v>
      </c>
      <c r="BF43" s="66" t="n">
        <f aca="false">IF(AJ43="",1,IF(T43&lt;&gt;0,(P43*0.5+S43)/T43,1))</f>
        <v>1</v>
      </c>
      <c r="BG43" s="69" t="str">
        <f aca="false">IF(AI43="","",IF(AI43="Venture",X43,IF(OR(AI43="Chg Goal",AI43="RUn Goal"),W43,IF(OR(AI43="ROutine",AI43="Project"),W43,IF(OR(AI43="Sub",AI43="Stream"),V43,IF(OR(AI43="Drill",AI43="Action"),U43,0))))))</f>
        <v/>
      </c>
      <c r="BH43" s="69" t="str">
        <f aca="false">IF(AI43="","",IF(AI43="Venture",AB43,IF(OR(AI43="Chg Goal",AI43="RUn Goal"),AA43,IF(OR(AI43="ROutine",AI43="Project"),AA43,IF(OR(AI43="Sub",AI43="Stream"),Z43,IF(OR(AI43="Drill",AI43="Action"),Y43,0))))))</f>
        <v/>
      </c>
      <c r="BI43" s="104" t="str">
        <f aca="false">IF(AJ43="","",IF(OR(BG43=0, BG43=""),0,BH43/BG43))</f>
        <v/>
      </c>
      <c r="BJ43" s="105" t="str">
        <f aca="false">IF(    OR(   AND($C43=10000000,    BJ$19&gt;=$A$17,      BJ$19 &lt;($A$17+$DI$17)   ),   AND($C43&lt;&gt;10000000,  BJ$19&gt;=$DX43,    BJ$19&lt;=($DY43+$DI$17)  ))   ,$DW43,  "")</f>
        <v/>
      </c>
      <c r="BK43" s="106" t="str">
        <f aca="false">IF(    OR(   AND($C43=10000000,    $A$17&lt;=BK$19,      ($A$17+$DI$17)&gt;BK$19    ),   AND($C43&lt;&gt;10000000,  BK$19&gt;=$DX43,    BK$19&lt;=($DY43+$DI$17)  ))   ,$DW43,  "")</f>
        <v/>
      </c>
      <c r="BL43" s="106" t="str">
        <f aca="false">IF(    OR(   AND($C43=10000000,    $A$17&lt;=BL$19,      ($A$17+$DI$17)&gt;BL$19    ),   AND($C43&lt;&gt;10000000,  BL$19&gt;=$DX43,    BL$19&lt;=($DY43+$DI$17)  ))   ,$DW43,  "")</f>
        <v/>
      </c>
      <c r="BM43" s="106" t="str">
        <f aca="false">IF(    OR(   AND($C43=10000000,    $A$17&lt;=BM$19,      ($A$17+$DI$17)&gt;BM$19    ),   AND($C43&lt;&gt;10000000,  BM$19&gt;=$DX43,    BM$19&lt;=($DY43+$DI$17)  ))   ,$DW43,  "")</f>
        <v/>
      </c>
      <c r="BN43" s="106" t="str">
        <f aca="false">IF(    OR(   AND($C43=10000000,    $A$17&lt;=BN$19,      ($A$17+$DI$17)&gt;BN$19    ),   AND($C43&lt;&gt;10000000,  BN$19&gt;=$DX43,    BN$19&lt;=($DY43+$DI$17)  ))   ,$DW43,  "")</f>
        <v/>
      </c>
      <c r="BO43" s="106" t="str">
        <f aca="false">IF(    OR(   AND($C43=10000000,    $A$17&lt;=BO$19,      ($A$17+$DI$17)&gt;BO$19    ),   AND($C43&lt;&gt;10000000,  BO$19&gt;=$DX43,    BO$19&lt;=($DY43+$DI$17)  ))   ,$DW43,  "")</f>
        <v/>
      </c>
      <c r="BP43" s="106" t="str">
        <f aca="false">IF(    OR(   AND($C43=10000000,    $A$17&lt;=BP$19,      ($A$17+$DI$17)&gt;BP$19    ),   AND($C43&lt;&gt;10000000,  BP$19&gt;=$DX43,    BP$19&lt;=($DY43+$DI$17)  ))   ,$DW43,  "")</f>
        <v/>
      </c>
      <c r="BQ43" s="106" t="str">
        <f aca="false">IF(    OR(   AND($C43=10000000,    $A$17&lt;=BQ$19,      ($A$17+$DI$17)&gt;BQ$19    ),   AND($C43&lt;&gt;10000000,  BQ$19&gt;=$DX43,    BQ$19&lt;=($DY43+$DI$17)  ))   ,$DW43,  "")</f>
        <v/>
      </c>
      <c r="BR43" s="106" t="str">
        <f aca="false">IF(    OR(   AND($C43=10000000,    $A$17&lt;=BR$19,      ($A$17+$DI$17)&gt;BR$19    ),   AND($C43&lt;&gt;10000000,  BR$19&gt;=$DX43,    BR$19&lt;=($DY43+$DI$17)  ))   ,$DW43,  "")</f>
        <v/>
      </c>
      <c r="BS43" s="106" t="str">
        <f aca="false">IF(    OR(   AND($C43=10000000,    $A$17&lt;=BS$19,      ($A$17+$DI$17)&gt;BS$19    ),   AND($C43&lt;&gt;10000000,  BS$19&gt;=$DX43,    BS$19&lt;=($DY43+$DI$17)  ))   ,$DW43,  "")</f>
        <v/>
      </c>
      <c r="BT43" s="106" t="str">
        <f aca="false">IF(    OR(   AND($C43=10000000,    $A$17&lt;=BT$19,      ($A$17+$DI$17)&gt;BT$19    ),   AND($C43&lt;&gt;10000000,  BT$19&gt;=$DX43,    BT$19&lt;=($DY43+$DI$17)  ))   ,$DW43,  "")</f>
        <v/>
      </c>
      <c r="BU43" s="106" t="str">
        <f aca="false">IF(    OR(   AND($C43=10000000,    $A$17&lt;=BU$19,      ($A$17+$DI$17)&gt;BU$19    ),   AND($C43&lt;&gt;10000000,  BU$19&gt;=$DX43,    BU$19&lt;=($DY43+$DI$17)  ))   ,$DW43,  "")</f>
        <v/>
      </c>
      <c r="BV43" s="106" t="str">
        <f aca="false">IF(    OR(   AND($C43=10000000,    $A$17&lt;=BV$19,      ($A$17+$DI$17)&gt;BV$19    ),   AND($C43&lt;&gt;10000000,  BV$19&gt;=$DX43,    BV$19&lt;=($DY43+$DI$17)  ))   ,$DW43,  "")</f>
        <v/>
      </c>
      <c r="BW43" s="106" t="str">
        <f aca="false">IF(    OR(   AND($C43=10000000,    $A$17&lt;=BW$19,      ($A$17+$DI$17)&gt;BW$19    ),   AND($C43&lt;&gt;10000000,  BW$19&gt;=$DX43,    BW$19&lt;=($DY43+$DI$17)  ))   ,$DW43,  "")</f>
        <v/>
      </c>
      <c r="BX43" s="106" t="str">
        <f aca="false">IF(    OR(   AND($C43=10000000,    $A$17&lt;=BX$19,      ($A$17+$DI$17)&gt;BX$19    ),   AND($C43&lt;&gt;10000000,  BX$19&gt;=$DX43,    BX$19&lt;=($DY43+$DI$17)  ))   ,$DW43,  "")</f>
        <v/>
      </c>
      <c r="BY43" s="106" t="str">
        <f aca="false">IF(    OR(   AND($C43=10000000,    $A$17&lt;=BY$19,      ($A$17+$DI$17)&gt;BY$19    ),   AND($C43&lt;&gt;10000000,  BY$19&gt;=$DX43,    BY$19&lt;=($DY43+$DI$17)  ))   ,$DW43,  "")</f>
        <v/>
      </c>
      <c r="BZ43" s="106" t="str">
        <f aca="false">IF(    OR(   AND($C43=10000000,    $A$17&lt;=BZ$19,      ($A$17+$DI$17)&gt;BZ$19    ),   AND($C43&lt;&gt;10000000,  BZ$19&gt;=$DX43,    BZ$19&lt;=($DY43+$DI$17)  ))   ,$DW43,  "")</f>
        <v/>
      </c>
      <c r="CA43" s="106" t="str">
        <f aca="false">IF(    OR(   AND($C43=10000000,    $A$17&lt;=CA$19,      ($A$17+$DI$17)&gt;CA$19    ),   AND($C43&lt;&gt;10000000,  CA$19&gt;=$DX43,    CA$19&lt;=($DY43+$DI$17)  ))   ,$DW43,  "")</f>
        <v/>
      </c>
      <c r="CB43" s="106" t="str">
        <f aca="false">IF(    OR(   AND($C43=10000000,    $A$17&lt;=CB$19,      ($A$17+$DI$17)&gt;CB$19    ),   AND($C43&lt;&gt;10000000,  CB$19&gt;=$DX43,    CB$19&lt;=($DY43+$DI$17)  ))   ,$DW43,  "")</f>
        <v/>
      </c>
      <c r="CC43" s="106" t="str">
        <f aca="false">IF(    OR(   AND($C43=10000000,    $A$17&lt;=CC$19,      ($A$17+$DI$17)&gt;CC$19    ),   AND($C43&lt;&gt;10000000,  CC$19&gt;=$DX43,    CC$19&lt;=($DY43+$DI$17)  ))   ,$DW43,  "")</f>
        <v/>
      </c>
      <c r="CD43" s="106" t="str">
        <f aca="false">IF(    OR(   AND($C43=10000000,    $A$17&lt;=CD$19,      ($A$17+$DI$17)&gt;CD$19    ),   AND($C43&lt;&gt;10000000,  CD$19&gt;=$DX43,    CD$19&lt;=($DY43+$DI$17)  ))   ,$DW43,  "")</f>
        <v/>
      </c>
      <c r="CE43" s="106" t="str">
        <f aca="false">IF(    OR(   AND($C43=10000000,    $A$17&lt;=CE$19,      ($A$17+$DI$17)&gt;CE$19    ),   AND($C43&lt;&gt;10000000,  CE$19&gt;=$DX43,    CE$19&lt;=($DY43+$DI$17)  ))   ,$DW43,  "")</f>
        <v/>
      </c>
      <c r="CF43" s="106" t="str">
        <f aca="false">IF(    OR(   AND($C43=10000000,    $A$17&lt;=CF$19,      ($A$17+$DI$17)&gt;CF$19    ),   AND($C43&lt;&gt;10000000,  CF$19&gt;=$DX43,    CF$19&lt;=($DY43+$DI$17)  ))   ,$DW43,  "")</f>
        <v/>
      </c>
      <c r="CG43" s="106" t="str">
        <f aca="false">IF(    OR(   AND($C43=10000000,    $A$17&lt;=CG$19,      ($A$17+$DI$17)&gt;CG$19    ),   AND($C43&lt;&gt;10000000,  CG$19&gt;=$DX43,    CG$19&lt;=($DY43+$DI$17)  ))   ,$DW43,  "")</f>
        <v/>
      </c>
      <c r="CH43" s="106" t="str">
        <f aca="false">IF(    OR(   AND($C43=10000000,    $A$17&lt;=CH$19,      ($A$17+$DI$17)&gt;CH$19    ),   AND($C43&lt;&gt;10000000,  CH$19&gt;=$DX43,    CH$19&lt;=($DY43+$DI$17)  ))   ,$DW43,  "")</f>
        <v/>
      </c>
      <c r="CI43" s="106" t="str">
        <f aca="false">IF(    OR(   AND($C43=10000000,    $A$17&lt;=CI$19,      ($A$17+$DI$17)&gt;CI$19    ),   AND($C43&lt;&gt;10000000,  CI$19&gt;=$DX43,    CI$19&lt;=($DY43+$DI$17)  ))   ,$DW43,  "")</f>
        <v/>
      </c>
      <c r="CJ43" s="106" t="str">
        <f aca="false">IF(    OR(   AND($C43=10000000,    $A$17&lt;=CJ$19,      ($A$17+$DI$17)&gt;CJ$19    ),   AND($C43&lt;&gt;10000000,  CJ$19&gt;=$DX43,    CJ$19&lt;=($DY43+$DI$17)  ))   ,$DW43,  "")</f>
        <v/>
      </c>
      <c r="CK43" s="106" t="str">
        <f aca="false">IF(    OR(   AND($C43=10000000,    $A$17&lt;=CK$19,      ($A$17+$DI$17)&gt;CK$19    ),   AND($C43&lt;&gt;10000000,  CK$19&gt;=$DX43,    CK$19&lt;=($DY43+$DI$17)  ))   ,$DW43,  "")</f>
        <v/>
      </c>
      <c r="CL43" s="106" t="str">
        <f aca="false">IF(    OR(   AND($C43=10000000,    $A$17&lt;=CL$19,      ($A$17+$DI$17)&gt;CL$19    ),   AND($C43&lt;&gt;10000000,  CL$19&gt;=$DX43,    CL$19&lt;=($DY43+$DI$17)  ))   ,$DW43,  "")</f>
        <v/>
      </c>
      <c r="CM43" s="106" t="str">
        <f aca="false">IF(    OR(   AND($C43=10000000,    $A$17&lt;=CM$19,      ($A$17+$DI$17)&gt;CM$19    ),   AND($C43&lt;&gt;10000000,  CM$19&gt;=$DX43,    CM$19&lt;=($DY43+$DI$17)  ))   ,$DW43,  "")</f>
        <v/>
      </c>
      <c r="CN43" s="106" t="str">
        <f aca="false">IF(    OR(   AND($C43=10000000,    $A$17&lt;=CN$19,      ($A$17+$DI$17)&gt;CN$19    ),   AND($C43&lt;&gt;10000000,  CN$19&gt;=$DX43,    CN$19&lt;=($DY43+$DI$17)  ))   ,$DW43,  "")</f>
        <v/>
      </c>
      <c r="CO43" s="106" t="str">
        <f aca="false">IF(    OR(   AND($C43=10000000,    $A$17&lt;=CO$19,      ($A$17+$DI$17)&gt;CO$19    ),   AND($C43&lt;&gt;10000000,  CO$19&gt;=$DX43,    CO$19&lt;=($DY43+$DI$17)  ))   ,$DW43,  "")</f>
        <v/>
      </c>
      <c r="CP43" s="106" t="str">
        <f aca="false">IF(    OR(   AND($C43=10000000,    $A$17&lt;=CP$19,      ($A$17+$DI$17)&gt;CP$19    ),   AND($C43&lt;&gt;10000000,  CP$19&gt;=$DX43,    CP$19&lt;=($DY43+$DI$17)  ))   ,$DW43,  "")</f>
        <v/>
      </c>
      <c r="CQ43" s="106" t="str">
        <f aca="false">IF(    OR(   AND($C43=10000000,    $A$17&lt;=CQ$19,      ($A$17+$DI$17)&gt;CQ$19    ),   AND($C43&lt;&gt;10000000,  CQ$19&gt;=$DX43,    CQ$19&lt;=($DY43+$DI$17)  ))   ,$DW43,  "")</f>
        <v/>
      </c>
      <c r="CR43" s="106" t="str">
        <f aca="false">IF(    OR(   AND($C43=10000000,    $A$17&lt;=CR$19,      ($A$17+$DI$17)&gt;CR$19    ),   AND($C43&lt;&gt;10000000,  CR$19&gt;=$DX43,    CR$19&lt;=($DY43+$DI$17)  ))   ,$DW43,  "")</f>
        <v/>
      </c>
      <c r="CS43" s="106" t="str">
        <f aca="false">IF(    OR(   AND($C43=10000000,    $A$17&lt;=CS$19,      ($A$17+$DI$17)&gt;CS$19    ),   AND($C43&lt;&gt;10000000,  CS$19&gt;=$DX43,    CS$19&lt;=($DY43+$DI$17)  ))   ,$DW43,  "")</f>
        <v/>
      </c>
      <c r="CT43" s="106" t="str">
        <f aca="false">IF(    OR(   AND($C43=10000000,    $A$17&lt;=CT$19,      ($A$17+$DI$17)&gt;CT$19    ),   AND($C43&lt;&gt;10000000,  CT$19&gt;=$DX43,    CT$19&lt;=($DY43+$DI$17)  ))   ,$DW43,  "")</f>
        <v/>
      </c>
      <c r="CU43" s="106" t="str">
        <f aca="false">IF(    OR(   AND($C43=10000000,    $A$17&lt;=CU$19,      ($A$17+$DI$17)&gt;CU$19    ),   AND($C43&lt;&gt;10000000,  CU$19&gt;=$DX43,    CU$19&lt;=($DY43+$DI$17)  ))   ,$DW43,  "")</f>
        <v/>
      </c>
      <c r="CV43" s="106" t="str">
        <f aca="false">IF(    OR(   AND($C43=10000000,    $A$17&lt;=CV$19,      ($A$17+$DI$17)&gt;CV$19    ),   AND($C43&lt;&gt;10000000,  CV$19&gt;=$DX43,    CV$19&lt;=($DY43+$DI$17)  ))   ,$DW43,  "")</f>
        <v/>
      </c>
      <c r="CW43" s="106" t="str">
        <f aca="false">IF(    OR(   AND($C43=10000000,    $A$17&lt;=CW$19,      ($A$17+$DI$17)&gt;CW$19    ),   AND($C43&lt;&gt;10000000,  CW$19&gt;=$DX43,    CW$19&lt;=($DY43+$DI$17)  ))   ,$DW43,  "")</f>
        <v/>
      </c>
      <c r="CX43" s="106" t="str">
        <f aca="false">IF(    OR(   AND($C43=10000000,    $A$17&lt;=CX$19,      ($A$17+$DI$17)&gt;CX$19    ),   AND($C43&lt;&gt;10000000,  CX$19&gt;=$DX43,    CX$19&lt;=($DY43+$DI$17)  ))   ,$DW43,  "")</f>
        <v/>
      </c>
      <c r="CY43" s="106" t="str">
        <f aca="false">IF(    OR(   AND($C43=10000000,    $A$17&lt;=CY$19,      ($A$17+$DI$17)&gt;CY$19    ),   AND($C43&lt;&gt;10000000,  CY$19&gt;=$DX43,    CY$19&lt;=($DY43+$DI$17)  ))   ,$DW43,  "")</f>
        <v/>
      </c>
      <c r="CZ43" s="106" t="str">
        <f aca="false">IF(    OR(   AND($C43=10000000,    $A$17&lt;=CZ$19,      ($A$17+$DI$17)&gt;CZ$19    ),   AND($C43&lt;&gt;10000000,  CZ$19&gt;=$DX43,    CZ$19&lt;=($DY43+$DI$17)  ))   ,$DW43,  "")</f>
        <v/>
      </c>
      <c r="DA43" s="106" t="str">
        <f aca="false">IF(    OR(   AND($C43=10000000,    $A$17&lt;=DA$19,      ($A$17+$DI$17)&gt;DA$19    ),   AND($C43&lt;&gt;10000000,  DA$19&gt;=$DX43,    DA$19&lt;=($DY43+$DI$17)  ))   ,$DW43,  "")</f>
        <v/>
      </c>
      <c r="DB43" s="106" t="str">
        <f aca="false">IF(    OR(   AND($C43=10000000,    $A$17&lt;=DB$19,      ($A$17+$DI$17)&gt;DB$19    ),   AND($C43&lt;&gt;10000000,  DB$19&gt;=$DX43,    DB$19&lt;=($DY43+$DI$17)  ))   ,$DW43,  "")</f>
        <v/>
      </c>
      <c r="DC43" s="106" t="str">
        <f aca="false">IF(    OR(   AND($C43=10000000,    $A$17&lt;=DC$19,      ($A$17+$DI$17)&gt;DC$19    ),   AND($C43&lt;&gt;10000000,  DC$19&gt;=$DX43,    DC$19&lt;=($DY43+$DI$17)  ))   ,$DW43,  "")</f>
        <v/>
      </c>
      <c r="DD43" s="106" t="str">
        <f aca="false">IF(    OR(   AND($C43=10000000,    $A$17&lt;=DD$19,      ($A$17+$DI$17)&gt;DD$19    ),   AND($C43&lt;&gt;10000000,  DD$19&gt;=$DX43,    DD$19&lt;=($DY43+$DI$17)  ))   ,$DW43,  "")</f>
        <v/>
      </c>
      <c r="DE43" s="106" t="str">
        <f aca="false">IF(    OR(   AND($C43=10000000,    $A$17&lt;=DE$19,      ($A$17+$DI$17)&gt;DE$19    ),   AND($C43&lt;&gt;10000000,  DE$19&gt;=$DX43,    DE$19&lt;=($DY43+$DI$17)  ))   ,$DW43,  "")</f>
        <v/>
      </c>
      <c r="DF43" s="106" t="str">
        <f aca="false">IF(    OR(   AND($C43=10000000,    $A$17&lt;=DF$19,      ($A$17+$DI$17)&gt;DF$19    ),   AND($C43&lt;&gt;10000000,  DF$19&gt;=$DX43,    DF$19&lt;=($DY43+$DI$17)  ))   ,$DW43,  "")</f>
        <v/>
      </c>
      <c r="DG43" s="106" t="str">
        <f aca="false">IF(    OR(   AND($C43=10000000,    $A$17&lt;=DG$19,      ($A$17+$DI$17)&gt;DG$19    ),   AND($C43&lt;&gt;10000000,  DG$19&gt;=$DX43,    DG$19&lt;=($DY43+$DI$17)  ))   ,$DW43,  "")</f>
        <v/>
      </c>
      <c r="DH43" s="106" t="str">
        <f aca="false">IF(    OR(   AND($C43=10000000,    $A$17&lt;=DH$19,      ($A$17+$DI$17)&gt;DH$19    ),   AND($C43&lt;&gt;10000000,  DH$19&gt;=$DX43,    DH$19&lt;=($DY43+$DI$17)  ))   ,$DW43,  "")</f>
        <v/>
      </c>
      <c r="DI43" s="106" t="str">
        <f aca="false">IF(    OR(   AND($C43=10000000,    $A$17&lt;=DI$19,      ($A$17+$DI$17)&gt;DI$19    ),   AND($C43&lt;&gt;10000000,  DI$19&gt;=$DX43,    DI$19&lt;=($DY43+$DI$17)  ))   ,$DW43,  "")</f>
        <v/>
      </c>
      <c r="DJ43" s="74" t="str">
        <f aca="false">IF(BC43="","",IF(ISERROR(FIND(CHAR(10),BC43,1)),BC43,LEFT(BC43,FIND(CHAR(10),BC43,1))))</f>
        <v/>
      </c>
      <c r="DK43" s="61" t="str">
        <f aca="false">IF(BC43="","",IFERROR(RIGHT(BC43,LEN(BC43)-FIND("@@@",SUBSTITUTE(BC43,CHAR(10),"@@@",LEN(BC43)-LEN(SUBSTITUTE(BC43,CHAR(10),""))),1)),BC43))</f>
        <v/>
      </c>
      <c r="DL43" s="61" t="str">
        <f aca="false">IF(BD43="","",IFERROR(RIGHT(BD43,LEN(BD43)-FIND("@@@",SUBSTITUTE(BD43,CHAR(10),"@@@",LEN(BD43)-LEN(SUBSTITUTE(BD43,CHAR(10),""))),1)),BD43))</f>
        <v/>
      </c>
      <c r="DM43" s="107" t="str">
        <f aca="false">IFERROR(DATE(("20"&amp;MID(DJ43,7,2))*1,MID(DJ43,4,2)*1,MID(DJ43,1,2)*1),"none")</f>
        <v>none</v>
      </c>
      <c r="DN43" s="107" t="str">
        <f aca="false">IFERROR(DATE(("20"&amp;MID(DK43,7,2))*1,MID(DK43,4,2)*1,MID(DK43,1,2)*1),"none")</f>
        <v>none</v>
      </c>
      <c r="DO43" s="107" t="n">
        <f aca="false">IF(DM43&lt;&gt;"none",DM43,DATE(1900,1,1))</f>
        <v>2</v>
      </c>
      <c r="DP43" s="107" t="n">
        <f aca="false">IF(DN43&lt;&gt;"none",DN43,DO43)</f>
        <v>2</v>
      </c>
      <c r="DQ43" s="108" t="n">
        <f aca="false">_xlfn.DAYS($A$17,DO43)</f>
        <v>46319</v>
      </c>
      <c r="DR43" s="108" t="n">
        <f aca="false">_xlfn.DAYS($A$17, DP43)</f>
        <v>46319</v>
      </c>
      <c r="DS43" s="60" t="n">
        <f aca="false">IF(DP43&lt;&gt;"",INT(DR43/7),0)</f>
        <v>6617</v>
      </c>
      <c r="DT43" s="108" t="n">
        <f aca="false">IF(N43="Overdue",_xlfn.DAYS($A$17,AM43),0)</f>
        <v>0</v>
      </c>
      <c r="DU43" s="108" t="n">
        <f aca="false">IF(AI43="Project",_xlfn.DAYS(AM43,$A$17),0)</f>
        <v>0</v>
      </c>
      <c r="DV43" s="60" t="str">
        <f aca="false">IFERROR(INDEX(Static!$D$5:$E$13,MATCH(AI43,Static!$D$5:$D$13,0),2),"")</f>
        <v/>
      </c>
      <c r="DW43" s="60" t="str">
        <f aca="false">IF(C43=10000000,"Red",IF(OR(C43=11000000,C43=12000000),"Black",IF(C43=11100000,"Dark",IF(AND(C43=12100000,N43="Completed"),"Green",IF(AND(C43=12100000,N43="Overdue"),"Red",IF(C43=12100000,"Dark",IF(AND(C43=12110000,N43="Overdue"),"LightRed",IF(AND(C43=12110000,N43="Completed"),"LightGreen",IF(OR(C43=11110000,C43=12110000),"Light",IF(AND(C43=12111000,N43="Overdue"),"SoftRed",IF(AND(C43=12111000,N43="Completed"),"SoftGreen",IF(OR(C43=11111000,C43=12111000),"Grey",""))))))))))))</f>
        <v/>
      </c>
      <c r="DX43" s="58" t="n">
        <f aca="false">IF(AL43&lt;&gt;"",AL43,$BJ$19)</f>
        <v>45658</v>
      </c>
      <c r="DY43" s="58" t="n">
        <f aca="false">IF(AM43&lt;&gt;"",AM43,$DI$19)</f>
        <v>46387</v>
      </c>
      <c r="DZ43" s="62" t="s">
        <v>364</v>
      </c>
    </row>
    <row r="44" customFormat="false" ht="14.15" hidden="false" customHeight="true" outlineLevel="0" collapsed="false">
      <c r="A44" s="54"/>
      <c r="B44" s="61" t="n">
        <f aca="false">AI44</f>
        <v>0</v>
      </c>
      <c r="C44" s="60" t="n">
        <f aca="false">IFERROR(INDEX(Static!$D$5:$F$13,MATCH(AI44,Static!$D$5:$D$13,0),3),90000000)</f>
        <v>90000000</v>
      </c>
      <c r="D44" s="60" t="str">
        <f aca="false">MID(C44,2,1)</f>
        <v>0</v>
      </c>
      <c r="E44" s="61" t="str">
        <f aca="false">AC44</f>
        <v/>
      </c>
      <c r="F44" s="60" t="n">
        <f aca="false">IF(B44="Venture",0,IF(OR(B44="Project",B44="Stream",B44="Action"),AL44,0))</f>
        <v>0</v>
      </c>
      <c r="G44" s="60" t="n">
        <f aca="false">AT44</f>
        <v>0</v>
      </c>
      <c r="H44" s="60" t="n">
        <f aca="false">IF(B44="Venture",0,IFERROR(INDEX($E$20:$F$55,MATCH(G44,$E$20:$E$55,0),2),0))</f>
        <v>0</v>
      </c>
      <c r="I44" s="60" t="str">
        <f aca="false">IF(B44="Venture",0,IFERROR(INDEX($E$20:$G$55,MATCH(G44,$E$20:$E$55,0),3),""))</f>
        <v/>
      </c>
      <c r="J44" s="60" t="n">
        <f aca="false">IF(B44="Venture",0,IFERROR(INDEX($E$20:$H$55,MATCH(G44,$E$20:$E$55,0),4),0))</f>
        <v>0</v>
      </c>
      <c r="K44" s="60" t="n">
        <f aca="false">IF(B44="Venture",0,IFERROR(INDEX($E$20:$G$55,MATCH(I44,$E$20:$E$55,0),3),""))</f>
        <v>0</v>
      </c>
      <c r="L44" s="60" t="n">
        <f aca="false">IF(C44="Venture",0,IFERROR(INDEX($E$20:$G$55,MATCH(J44,$E$20:$E$55,0),4),0))</f>
        <v>0</v>
      </c>
      <c r="M44" s="60" t="str">
        <f aca="false">IF(N44="Completed","Completed","Ongoing")</f>
        <v>Ongoing</v>
      </c>
      <c r="N44" s="60" t="n">
        <f aca="false">IF(OR(AI44="Venture",AI44="Routine",AI44="Run Goal", AI44="Chg Goal", AI44=""),AI44,IF(AO44&lt;&gt;"","Completed",IF(AN44&lt;&gt;"","Pending",IF(AND(AM44&lt;&gt;"",$A$17&gt;AM44),"Overdue",IF($A$17&gt;AL44,"Started","Open")))))</f>
        <v>0</v>
      </c>
      <c r="O44" s="59" t="n">
        <f aca="false">((LEN($BD44)-LEN(SUBSTITUTE($BD44,CHAR(10)&amp;". ","")))/3)+IF(LEFT(TRIM($BD44),2)=". ",1,0)</f>
        <v>0</v>
      </c>
      <c r="P44" s="59" t="n">
        <f aca="false">((LEN($BD44)-LEN(SUBSTITUTE($BD44,CHAR(10)&amp;"/ ","")))/3)+IF(LEFT(TRIM($BD44),2)="/ ",1,0)</f>
        <v>0</v>
      </c>
      <c r="Q44" s="59" t="n">
        <f aca="false">((LEN($BD44)-LEN(SUBSTITUTE($BD44,CHAR(10)&amp;"~ ","")))/3)+IF(LEFT(TRIM($BD44),2)="~ ",1,0)</f>
        <v>0</v>
      </c>
      <c r="R44" s="59" t="n">
        <f aca="false">((LEN($BD44)-LEN(SUBSTITUTE($BD44,CHAR(10)&amp;"! ","")))/3)+IF(LEFT(TRIM($BD44),2)="! ",1,0)</f>
        <v>0</v>
      </c>
      <c r="S44" s="59" t="n">
        <f aca="false">((LEN($BD44)-LEN(SUBSTITUTE($BD44,CHAR(10)&amp;"x ","")))/3)+IF(LEFT(TRIM($BD44),2)="x ",1,0)</f>
        <v>0</v>
      </c>
      <c r="T44" s="59" t="n">
        <f aca="false">SUM(O44:S44)</f>
        <v>0</v>
      </c>
      <c r="U44" s="60" t="n">
        <f aca="false">IF(OR($B44="Drill",$B44="Action"),$AP44,0)</f>
        <v>0</v>
      </c>
      <c r="V44" s="60" t="n">
        <f aca="false">IF(OR($B44="Sub",$B44="Stream"),$AP44+SUMIFS($AP$20:$AP$55,$G$20:$G$55,$E44),0)</f>
        <v>0</v>
      </c>
      <c r="W44" s="60" t="n">
        <f aca="false">IF(OR($B44="Routine",$B44="Project"),$AP44+SUMIFS($V$20:$V$55,$G$20:$G$55,$E44),0)</f>
        <v>0</v>
      </c>
      <c r="X44" s="60" t="n">
        <f aca="false">IF($B44="Venture",$AP44+SUMIFS($W$20:$W$55,$G$20:$G$55,$E44),0)</f>
        <v>0</v>
      </c>
      <c r="Y44" s="60" t="n">
        <f aca="false">IF(OR($B44="Drill",$B44="Action"),$AQ44,0)</f>
        <v>0</v>
      </c>
      <c r="Z44" s="60" t="n">
        <f aca="false">IF(OR($B44="Sub",$B44="Stream"),$AQ44+SUMIFS($AQ$20:$AQ$55,$G$20:$G$55,$E44),0)</f>
        <v>0</v>
      </c>
      <c r="AA44" s="60" t="n">
        <f aca="false">IF(OR($B44="Routine",$B44="Project"),$AQ44+SUMIFS($Z$20:$Z$55,$G$20:$G$55,$E44),0)</f>
        <v>0</v>
      </c>
      <c r="AB44" s="60" t="n">
        <f aca="false">IF($B44="Venture",$AQ44+SUMIFS($AA$20:$AA$55,$G$20:$G$55,$E44),0)</f>
        <v>0</v>
      </c>
      <c r="AC44" s="60" t="str">
        <f aca="false">IF(AI44="Venture",AJ44,AI44&amp;AJ44)</f>
        <v/>
      </c>
      <c r="AD44" s="61" t="str">
        <f aca="false">"  -  "&amp;IF(E44="","ZZZ",D44&amp;AF44&amp;IF(OR(B44="Run Goal",B44="Chg Goal", B44="Venture"),F44&amp;E44,IF(OR(B44="Routine",B44="Project"),H44&amp;G44&amp;F44&amp;E44,  IF(OR(B44="Sub",B44="Stream"),J44&amp;I44&amp;H44&amp;G44&amp;F44&amp;E44,IF(OR(B44="Drill",B44="Action"),L44&amp;K44&amp;J44&amp;I44&amp;H44&amp;G44&amp;F44&amp;E44,     "") )    )))</f>
        <v>  -  ZZZ</v>
      </c>
      <c r="AE44" s="60" t="str">
        <f aca="false">IF(AND(AN44="",AO44=""),"Y","N")</f>
        <v>Y</v>
      </c>
      <c r="AF44" s="99" t="str">
        <f aca="false">IF(OR(AG44="Y",AG44="Y"),AG44,IF(DN44="none","N",IF(DN44&gt;($A$17-WEEKDAY($A$17,2)-(7*$AF$18)),"Y","N")))</f>
        <v>N</v>
      </c>
      <c r="AG44" s="100"/>
      <c r="AH44" s="101"/>
      <c r="AI44" s="62"/>
      <c r="AJ44" s="64"/>
      <c r="AK44" s="64"/>
      <c r="AL44" s="70"/>
      <c r="AM44" s="70"/>
      <c r="AN44" s="70"/>
      <c r="AO44" s="70"/>
      <c r="AP44" s="102"/>
      <c r="AQ44" s="102"/>
      <c r="AR44" s="62"/>
      <c r="AS44" s="62"/>
      <c r="AT44" s="62"/>
      <c r="AU44" s="62"/>
      <c r="AV44" s="62"/>
      <c r="AW44" s="62"/>
      <c r="AX44" s="62"/>
      <c r="AY44" s="62"/>
      <c r="AZ44" s="62"/>
      <c r="BA44" s="62"/>
      <c r="BB44" s="54"/>
      <c r="BC44" s="103"/>
      <c r="BD44" s="54"/>
      <c r="BE44" s="60" t="n">
        <f aca="false">SUM(O44:R44)</f>
        <v>0</v>
      </c>
      <c r="BF44" s="66" t="n">
        <f aca="false">IF(AJ44="",1,IF(T44&lt;&gt;0,(P44*0.5+S44)/T44,1))</f>
        <v>1</v>
      </c>
      <c r="BG44" s="69" t="str">
        <f aca="false">IF(AI44="","",IF(AI44="Venture",X44,IF(OR(AI44="Chg Goal",AI44="RUn Goal"),W44,IF(OR(AI44="ROutine",AI44="Project"),W44,IF(OR(AI44="Sub",AI44="Stream"),V44,IF(OR(AI44="Drill",AI44="Action"),U44,0))))))</f>
        <v/>
      </c>
      <c r="BH44" s="69" t="str">
        <f aca="false">IF(AI44="","",IF(AI44="Venture",AB44,IF(OR(AI44="Chg Goal",AI44="RUn Goal"),AA44,IF(OR(AI44="ROutine",AI44="Project"),AA44,IF(OR(AI44="Sub",AI44="Stream"),Z44,IF(OR(AI44="Drill",AI44="Action"),Y44,0))))))</f>
        <v/>
      </c>
      <c r="BI44" s="104" t="str">
        <f aca="false">IF(AJ44="","",IF(OR(BG44=0, BG44=""),0,BH44/BG44))</f>
        <v/>
      </c>
      <c r="BJ44" s="105" t="str">
        <f aca="false">IF(    OR(   AND($C44=10000000,    BJ$19&gt;=$A$17,      BJ$19 &lt;($A$17+$DI$17)   ),   AND($C44&lt;&gt;10000000,  BJ$19&gt;=$DX44,    BJ$19&lt;=($DY44+$DI$17)  ))   ,$DW44,  "")</f>
        <v/>
      </c>
      <c r="BK44" s="106" t="str">
        <f aca="false">IF(    OR(   AND($C44=10000000,    $A$17&lt;=BK$19,      ($A$17+$DI$17)&gt;BK$19    ),   AND($C44&lt;&gt;10000000,  BK$19&gt;=$DX44,    BK$19&lt;=($DY44+$DI$17)  ))   ,$DW44,  "")</f>
        <v/>
      </c>
      <c r="BL44" s="106" t="str">
        <f aca="false">IF(    OR(   AND($C44=10000000,    $A$17&lt;=BL$19,      ($A$17+$DI$17)&gt;BL$19    ),   AND($C44&lt;&gt;10000000,  BL$19&gt;=$DX44,    BL$19&lt;=($DY44+$DI$17)  ))   ,$DW44,  "")</f>
        <v/>
      </c>
      <c r="BM44" s="106" t="str">
        <f aca="false">IF(    OR(   AND($C44=10000000,    $A$17&lt;=BM$19,      ($A$17+$DI$17)&gt;BM$19    ),   AND($C44&lt;&gt;10000000,  BM$19&gt;=$DX44,    BM$19&lt;=($DY44+$DI$17)  ))   ,$DW44,  "")</f>
        <v/>
      </c>
      <c r="BN44" s="106" t="str">
        <f aca="false">IF(    OR(   AND($C44=10000000,    $A$17&lt;=BN$19,      ($A$17+$DI$17)&gt;BN$19    ),   AND($C44&lt;&gt;10000000,  BN$19&gt;=$DX44,    BN$19&lt;=($DY44+$DI$17)  ))   ,$DW44,  "")</f>
        <v/>
      </c>
      <c r="BO44" s="106" t="str">
        <f aca="false">IF(    OR(   AND($C44=10000000,    $A$17&lt;=BO$19,      ($A$17+$DI$17)&gt;BO$19    ),   AND($C44&lt;&gt;10000000,  BO$19&gt;=$DX44,    BO$19&lt;=($DY44+$DI$17)  ))   ,$DW44,  "")</f>
        <v/>
      </c>
      <c r="BP44" s="106" t="str">
        <f aca="false">IF(    OR(   AND($C44=10000000,    $A$17&lt;=BP$19,      ($A$17+$DI$17)&gt;BP$19    ),   AND($C44&lt;&gt;10000000,  BP$19&gt;=$DX44,    BP$19&lt;=($DY44+$DI$17)  ))   ,$DW44,  "")</f>
        <v/>
      </c>
      <c r="BQ44" s="106" t="str">
        <f aca="false">IF(    OR(   AND($C44=10000000,    $A$17&lt;=BQ$19,      ($A$17+$DI$17)&gt;BQ$19    ),   AND($C44&lt;&gt;10000000,  BQ$19&gt;=$DX44,    BQ$19&lt;=($DY44+$DI$17)  ))   ,$DW44,  "")</f>
        <v/>
      </c>
      <c r="BR44" s="106" t="str">
        <f aca="false">IF(    OR(   AND($C44=10000000,    $A$17&lt;=BR$19,      ($A$17+$DI$17)&gt;BR$19    ),   AND($C44&lt;&gt;10000000,  BR$19&gt;=$DX44,    BR$19&lt;=($DY44+$DI$17)  ))   ,$DW44,  "")</f>
        <v/>
      </c>
      <c r="BS44" s="106" t="str">
        <f aca="false">IF(    OR(   AND($C44=10000000,    $A$17&lt;=BS$19,      ($A$17+$DI$17)&gt;BS$19    ),   AND($C44&lt;&gt;10000000,  BS$19&gt;=$DX44,    BS$19&lt;=($DY44+$DI$17)  ))   ,$DW44,  "")</f>
        <v/>
      </c>
      <c r="BT44" s="106" t="str">
        <f aca="false">IF(    OR(   AND($C44=10000000,    $A$17&lt;=BT$19,      ($A$17+$DI$17)&gt;BT$19    ),   AND($C44&lt;&gt;10000000,  BT$19&gt;=$DX44,    BT$19&lt;=($DY44+$DI$17)  ))   ,$DW44,  "")</f>
        <v/>
      </c>
      <c r="BU44" s="106" t="str">
        <f aca="false">IF(    OR(   AND($C44=10000000,    $A$17&lt;=BU$19,      ($A$17+$DI$17)&gt;BU$19    ),   AND($C44&lt;&gt;10000000,  BU$19&gt;=$DX44,    BU$19&lt;=($DY44+$DI$17)  ))   ,$DW44,  "")</f>
        <v/>
      </c>
      <c r="BV44" s="106" t="str">
        <f aca="false">IF(    OR(   AND($C44=10000000,    $A$17&lt;=BV$19,      ($A$17+$DI$17)&gt;BV$19    ),   AND($C44&lt;&gt;10000000,  BV$19&gt;=$DX44,    BV$19&lt;=($DY44+$DI$17)  ))   ,$DW44,  "")</f>
        <v/>
      </c>
      <c r="BW44" s="106" t="str">
        <f aca="false">IF(    OR(   AND($C44=10000000,    $A$17&lt;=BW$19,      ($A$17+$DI$17)&gt;BW$19    ),   AND($C44&lt;&gt;10000000,  BW$19&gt;=$DX44,    BW$19&lt;=($DY44+$DI$17)  ))   ,$DW44,  "")</f>
        <v/>
      </c>
      <c r="BX44" s="106" t="str">
        <f aca="false">IF(    OR(   AND($C44=10000000,    $A$17&lt;=BX$19,      ($A$17+$DI$17)&gt;BX$19    ),   AND($C44&lt;&gt;10000000,  BX$19&gt;=$DX44,    BX$19&lt;=($DY44+$DI$17)  ))   ,$DW44,  "")</f>
        <v/>
      </c>
      <c r="BY44" s="106" t="str">
        <f aca="false">IF(    OR(   AND($C44=10000000,    $A$17&lt;=BY$19,      ($A$17+$DI$17)&gt;BY$19    ),   AND($C44&lt;&gt;10000000,  BY$19&gt;=$DX44,    BY$19&lt;=($DY44+$DI$17)  ))   ,$DW44,  "")</f>
        <v/>
      </c>
      <c r="BZ44" s="106" t="str">
        <f aca="false">IF(    OR(   AND($C44=10000000,    $A$17&lt;=BZ$19,      ($A$17+$DI$17)&gt;BZ$19    ),   AND($C44&lt;&gt;10000000,  BZ$19&gt;=$DX44,    BZ$19&lt;=($DY44+$DI$17)  ))   ,$DW44,  "")</f>
        <v/>
      </c>
      <c r="CA44" s="106" t="str">
        <f aca="false">IF(    OR(   AND($C44=10000000,    $A$17&lt;=CA$19,      ($A$17+$DI$17)&gt;CA$19    ),   AND($C44&lt;&gt;10000000,  CA$19&gt;=$DX44,    CA$19&lt;=($DY44+$DI$17)  ))   ,$DW44,  "")</f>
        <v/>
      </c>
      <c r="CB44" s="106" t="str">
        <f aca="false">IF(    OR(   AND($C44=10000000,    $A$17&lt;=CB$19,      ($A$17+$DI$17)&gt;CB$19    ),   AND($C44&lt;&gt;10000000,  CB$19&gt;=$DX44,    CB$19&lt;=($DY44+$DI$17)  ))   ,$DW44,  "")</f>
        <v/>
      </c>
      <c r="CC44" s="106" t="str">
        <f aca="false">IF(    OR(   AND($C44=10000000,    $A$17&lt;=CC$19,      ($A$17+$DI$17)&gt;CC$19    ),   AND($C44&lt;&gt;10000000,  CC$19&gt;=$DX44,    CC$19&lt;=($DY44+$DI$17)  ))   ,$DW44,  "")</f>
        <v/>
      </c>
      <c r="CD44" s="106" t="str">
        <f aca="false">IF(    OR(   AND($C44=10000000,    $A$17&lt;=CD$19,      ($A$17+$DI$17)&gt;CD$19    ),   AND($C44&lt;&gt;10000000,  CD$19&gt;=$DX44,    CD$19&lt;=($DY44+$DI$17)  ))   ,$DW44,  "")</f>
        <v/>
      </c>
      <c r="CE44" s="106" t="str">
        <f aca="false">IF(    OR(   AND($C44=10000000,    $A$17&lt;=CE$19,      ($A$17+$DI$17)&gt;CE$19    ),   AND($C44&lt;&gt;10000000,  CE$19&gt;=$DX44,    CE$19&lt;=($DY44+$DI$17)  ))   ,$DW44,  "")</f>
        <v/>
      </c>
      <c r="CF44" s="106" t="str">
        <f aca="false">IF(    OR(   AND($C44=10000000,    $A$17&lt;=CF$19,      ($A$17+$DI$17)&gt;CF$19    ),   AND($C44&lt;&gt;10000000,  CF$19&gt;=$DX44,    CF$19&lt;=($DY44+$DI$17)  ))   ,$DW44,  "")</f>
        <v/>
      </c>
      <c r="CG44" s="106" t="str">
        <f aca="false">IF(    OR(   AND($C44=10000000,    $A$17&lt;=CG$19,      ($A$17+$DI$17)&gt;CG$19    ),   AND($C44&lt;&gt;10000000,  CG$19&gt;=$DX44,    CG$19&lt;=($DY44+$DI$17)  ))   ,$DW44,  "")</f>
        <v/>
      </c>
      <c r="CH44" s="106" t="str">
        <f aca="false">IF(    OR(   AND($C44=10000000,    $A$17&lt;=CH$19,      ($A$17+$DI$17)&gt;CH$19    ),   AND($C44&lt;&gt;10000000,  CH$19&gt;=$DX44,    CH$19&lt;=($DY44+$DI$17)  ))   ,$DW44,  "")</f>
        <v/>
      </c>
      <c r="CI44" s="106" t="str">
        <f aca="false">IF(    OR(   AND($C44=10000000,    $A$17&lt;=CI$19,      ($A$17+$DI$17)&gt;CI$19    ),   AND($C44&lt;&gt;10000000,  CI$19&gt;=$DX44,    CI$19&lt;=($DY44+$DI$17)  ))   ,$DW44,  "")</f>
        <v/>
      </c>
      <c r="CJ44" s="106" t="str">
        <f aca="false">IF(    OR(   AND($C44=10000000,    $A$17&lt;=CJ$19,      ($A$17+$DI$17)&gt;CJ$19    ),   AND($C44&lt;&gt;10000000,  CJ$19&gt;=$DX44,    CJ$19&lt;=($DY44+$DI$17)  ))   ,$DW44,  "")</f>
        <v/>
      </c>
      <c r="CK44" s="106" t="str">
        <f aca="false">IF(    OR(   AND($C44=10000000,    $A$17&lt;=CK$19,      ($A$17+$DI$17)&gt;CK$19    ),   AND($C44&lt;&gt;10000000,  CK$19&gt;=$DX44,    CK$19&lt;=($DY44+$DI$17)  ))   ,$DW44,  "")</f>
        <v/>
      </c>
      <c r="CL44" s="106" t="str">
        <f aca="false">IF(    OR(   AND($C44=10000000,    $A$17&lt;=CL$19,      ($A$17+$DI$17)&gt;CL$19    ),   AND($C44&lt;&gt;10000000,  CL$19&gt;=$DX44,    CL$19&lt;=($DY44+$DI$17)  ))   ,$DW44,  "")</f>
        <v/>
      </c>
      <c r="CM44" s="106" t="str">
        <f aca="false">IF(    OR(   AND($C44=10000000,    $A$17&lt;=CM$19,      ($A$17+$DI$17)&gt;CM$19    ),   AND($C44&lt;&gt;10000000,  CM$19&gt;=$DX44,    CM$19&lt;=($DY44+$DI$17)  ))   ,$DW44,  "")</f>
        <v/>
      </c>
      <c r="CN44" s="106" t="str">
        <f aca="false">IF(    OR(   AND($C44=10000000,    $A$17&lt;=CN$19,      ($A$17+$DI$17)&gt;CN$19    ),   AND($C44&lt;&gt;10000000,  CN$19&gt;=$DX44,    CN$19&lt;=($DY44+$DI$17)  ))   ,$DW44,  "")</f>
        <v/>
      </c>
      <c r="CO44" s="106" t="str">
        <f aca="false">IF(    OR(   AND($C44=10000000,    $A$17&lt;=CO$19,      ($A$17+$DI$17)&gt;CO$19    ),   AND($C44&lt;&gt;10000000,  CO$19&gt;=$DX44,    CO$19&lt;=($DY44+$DI$17)  ))   ,$DW44,  "")</f>
        <v/>
      </c>
      <c r="CP44" s="106" t="str">
        <f aca="false">IF(    OR(   AND($C44=10000000,    $A$17&lt;=CP$19,      ($A$17+$DI$17)&gt;CP$19    ),   AND($C44&lt;&gt;10000000,  CP$19&gt;=$DX44,    CP$19&lt;=($DY44+$DI$17)  ))   ,$DW44,  "")</f>
        <v/>
      </c>
      <c r="CQ44" s="106" t="str">
        <f aca="false">IF(    OR(   AND($C44=10000000,    $A$17&lt;=CQ$19,      ($A$17+$DI$17)&gt;CQ$19    ),   AND($C44&lt;&gt;10000000,  CQ$19&gt;=$DX44,    CQ$19&lt;=($DY44+$DI$17)  ))   ,$DW44,  "")</f>
        <v/>
      </c>
      <c r="CR44" s="106" t="str">
        <f aca="false">IF(    OR(   AND($C44=10000000,    $A$17&lt;=CR$19,      ($A$17+$DI$17)&gt;CR$19    ),   AND($C44&lt;&gt;10000000,  CR$19&gt;=$DX44,    CR$19&lt;=($DY44+$DI$17)  ))   ,$DW44,  "")</f>
        <v/>
      </c>
      <c r="CS44" s="106" t="str">
        <f aca="false">IF(    OR(   AND($C44=10000000,    $A$17&lt;=CS$19,      ($A$17+$DI$17)&gt;CS$19    ),   AND($C44&lt;&gt;10000000,  CS$19&gt;=$DX44,    CS$19&lt;=($DY44+$DI$17)  ))   ,$DW44,  "")</f>
        <v/>
      </c>
      <c r="CT44" s="106" t="str">
        <f aca="false">IF(    OR(   AND($C44=10000000,    $A$17&lt;=CT$19,      ($A$17+$DI$17)&gt;CT$19    ),   AND($C44&lt;&gt;10000000,  CT$19&gt;=$DX44,    CT$19&lt;=($DY44+$DI$17)  ))   ,$DW44,  "")</f>
        <v/>
      </c>
      <c r="CU44" s="106" t="str">
        <f aca="false">IF(    OR(   AND($C44=10000000,    $A$17&lt;=CU$19,      ($A$17+$DI$17)&gt;CU$19    ),   AND($C44&lt;&gt;10000000,  CU$19&gt;=$DX44,    CU$19&lt;=($DY44+$DI$17)  ))   ,$DW44,  "")</f>
        <v/>
      </c>
      <c r="CV44" s="106" t="str">
        <f aca="false">IF(    OR(   AND($C44=10000000,    $A$17&lt;=CV$19,      ($A$17+$DI$17)&gt;CV$19    ),   AND($C44&lt;&gt;10000000,  CV$19&gt;=$DX44,    CV$19&lt;=($DY44+$DI$17)  ))   ,$DW44,  "")</f>
        <v/>
      </c>
      <c r="CW44" s="106" t="str">
        <f aca="false">IF(    OR(   AND($C44=10000000,    $A$17&lt;=CW$19,      ($A$17+$DI$17)&gt;CW$19    ),   AND($C44&lt;&gt;10000000,  CW$19&gt;=$DX44,    CW$19&lt;=($DY44+$DI$17)  ))   ,$DW44,  "")</f>
        <v/>
      </c>
      <c r="CX44" s="106" t="str">
        <f aca="false">IF(    OR(   AND($C44=10000000,    $A$17&lt;=CX$19,      ($A$17+$DI$17)&gt;CX$19    ),   AND($C44&lt;&gt;10000000,  CX$19&gt;=$DX44,    CX$19&lt;=($DY44+$DI$17)  ))   ,$DW44,  "")</f>
        <v/>
      </c>
      <c r="CY44" s="106" t="str">
        <f aca="false">IF(    OR(   AND($C44=10000000,    $A$17&lt;=CY$19,      ($A$17+$DI$17)&gt;CY$19    ),   AND($C44&lt;&gt;10000000,  CY$19&gt;=$DX44,    CY$19&lt;=($DY44+$DI$17)  ))   ,$DW44,  "")</f>
        <v/>
      </c>
      <c r="CZ44" s="106" t="str">
        <f aca="false">IF(    OR(   AND($C44=10000000,    $A$17&lt;=CZ$19,      ($A$17+$DI$17)&gt;CZ$19    ),   AND($C44&lt;&gt;10000000,  CZ$19&gt;=$DX44,    CZ$19&lt;=($DY44+$DI$17)  ))   ,$DW44,  "")</f>
        <v/>
      </c>
      <c r="DA44" s="106" t="str">
        <f aca="false">IF(    OR(   AND($C44=10000000,    $A$17&lt;=DA$19,      ($A$17+$DI$17)&gt;DA$19    ),   AND($C44&lt;&gt;10000000,  DA$19&gt;=$DX44,    DA$19&lt;=($DY44+$DI$17)  ))   ,$DW44,  "")</f>
        <v/>
      </c>
      <c r="DB44" s="106" t="str">
        <f aca="false">IF(    OR(   AND($C44=10000000,    $A$17&lt;=DB$19,      ($A$17+$DI$17)&gt;DB$19    ),   AND($C44&lt;&gt;10000000,  DB$19&gt;=$DX44,    DB$19&lt;=($DY44+$DI$17)  ))   ,$DW44,  "")</f>
        <v/>
      </c>
      <c r="DC44" s="106" t="str">
        <f aca="false">IF(    OR(   AND($C44=10000000,    $A$17&lt;=DC$19,      ($A$17+$DI$17)&gt;DC$19    ),   AND($C44&lt;&gt;10000000,  DC$19&gt;=$DX44,    DC$19&lt;=($DY44+$DI$17)  ))   ,$DW44,  "")</f>
        <v/>
      </c>
      <c r="DD44" s="106" t="str">
        <f aca="false">IF(    OR(   AND($C44=10000000,    $A$17&lt;=DD$19,      ($A$17+$DI$17)&gt;DD$19    ),   AND($C44&lt;&gt;10000000,  DD$19&gt;=$DX44,    DD$19&lt;=($DY44+$DI$17)  ))   ,$DW44,  "")</f>
        <v/>
      </c>
      <c r="DE44" s="106" t="str">
        <f aca="false">IF(    OR(   AND($C44=10000000,    $A$17&lt;=DE$19,      ($A$17+$DI$17)&gt;DE$19    ),   AND($C44&lt;&gt;10000000,  DE$19&gt;=$DX44,    DE$19&lt;=($DY44+$DI$17)  ))   ,$DW44,  "")</f>
        <v/>
      </c>
      <c r="DF44" s="106" t="str">
        <f aca="false">IF(    OR(   AND($C44=10000000,    $A$17&lt;=DF$19,      ($A$17+$DI$17)&gt;DF$19    ),   AND($C44&lt;&gt;10000000,  DF$19&gt;=$DX44,    DF$19&lt;=($DY44+$DI$17)  ))   ,$DW44,  "")</f>
        <v/>
      </c>
      <c r="DG44" s="106" t="str">
        <f aca="false">IF(    OR(   AND($C44=10000000,    $A$17&lt;=DG$19,      ($A$17+$DI$17)&gt;DG$19    ),   AND($C44&lt;&gt;10000000,  DG$19&gt;=$DX44,    DG$19&lt;=($DY44+$DI$17)  ))   ,$DW44,  "")</f>
        <v/>
      </c>
      <c r="DH44" s="106" t="str">
        <f aca="false">IF(    OR(   AND($C44=10000000,    $A$17&lt;=DH$19,      ($A$17+$DI$17)&gt;DH$19    ),   AND($C44&lt;&gt;10000000,  DH$19&gt;=$DX44,    DH$19&lt;=($DY44+$DI$17)  ))   ,$DW44,  "")</f>
        <v/>
      </c>
      <c r="DI44" s="106" t="str">
        <f aca="false">IF(    OR(   AND($C44=10000000,    $A$17&lt;=DI$19,      ($A$17+$DI$17)&gt;DI$19    ),   AND($C44&lt;&gt;10000000,  DI$19&gt;=$DX44,    DI$19&lt;=($DY44+$DI$17)  ))   ,$DW44,  "")</f>
        <v/>
      </c>
      <c r="DJ44" s="74" t="str">
        <f aca="false">IF(BC44="","",IF(ISERROR(FIND(CHAR(10),BC44,1)),BC44,LEFT(BC44,FIND(CHAR(10),BC44,1))))</f>
        <v/>
      </c>
      <c r="DK44" s="61" t="str">
        <f aca="false">IF(BC44="","",IFERROR(RIGHT(BC44,LEN(BC44)-FIND("@@@",SUBSTITUTE(BC44,CHAR(10),"@@@",LEN(BC44)-LEN(SUBSTITUTE(BC44,CHAR(10),""))),1)),BC44))</f>
        <v/>
      </c>
      <c r="DL44" s="61" t="str">
        <f aca="false">IF(BD44="","",IFERROR(RIGHT(BD44,LEN(BD44)-FIND("@@@",SUBSTITUTE(BD44,CHAR(10),"@@@",LEN(BD44)-LEN(SUBSTITUTE(BD44,CHAR(10),""))),1)),BD44))</f>
        <v/>
      </c>
      <c r="DM44" s="107" t="str">
        <f aca="false">IFERROR(DATE(("20"&amp;MID(DJ44,7,2))*1,MID(DJ44,4,2)*1,MID(DJ44,1,2)*1),"none")</f>
        <v>none</v>
      </c>
      <c r="DN44" s="107" t="str">
        <f aca="false">IFERROR(DATE(("20"&amp;MID(DK44,7,2))*1,MID(DK44,4,2)*1,MID(DK44,1,2)*1),"none")</f>
        <v>none</v>
      </c>
      <c r="DO44" s="107" t="n">
        <f aca="false">IF(DM44&lt;&gt;"none",DM44,DATE(1900,1,1))</f>
        <v>2</v>
      </c>
      <c r="DP44" s="107" t="n">
        <f aca="false">IF(DN44&lt;&gt;"none",DN44,DO44)</f>
        <v>2</v>
      </c>
      <c r="DQ44" s="108" t="n">
        <f aca="false">_xlfn.DAYS($A$17,DO44)</f>
        <v>46319</v>
      </c>
      <c r="DR44" s="108" t="n">
        <f aca="false">_xlfn.DAYS($A$17, DP44)</f>
        <v>46319</v>
      </c>
      <c r="DS44" s="60" t="n">
        <f aca="false">IF(DP44&lt;&gt;"",INT(DR44/7),0)</f>
        <v>6617</v>
      </c>
      <c r="DT44" s="108" t="n">
        <f aca="false">IF(N44="Overdue",_xlfn.DAYS($A$17,AM44),0)</f>
        <v>0</v>
      </c>
      <c r="DU44" s="108" t="n">
        <f aca="false">IF(AI44="Project",_xlfn.DAYS(AM44,$A$17),0)</f>
        <v>0</v>
      </c>
      <c r="DV44" s="60" t="str">
        <f aca="false">IFERROR(INDEX(Static!$D$5:$E$13,MATCH(AI44,Static!$D$5:$D$13,0),2),"")</f>
        <v/>
      </c>
      <c r="DW44" s="60" t="str">
        <f aca="false">IF(C44=10000000,"Red",IF(OR(C44=11000000,C44=12000000),"Black",IF(C44=11100000,"Dark",IF(AND(C44=12100000,N44="Completed"),"Green",IF(AND(C44=12100000,N44="Overdue"),"Red",IF(C44=12100000,"Dark",IF(AND(C44=12110000,N44="Overdue"),"LightRed",IF(AND(C44=12110000,N44="Completed"),"LightGreen",IF(OR(C44=11110000,C44=12110000),"Light",IF(AND(C44=12111000,N44="Overdue"),"SoftRed",IF(AND(C44=12111000,N44="Completed"),"SoftGreen",IF(OR(C44=11111000,C44=12111000),"Grey",""))))))))))))</f>
        <v/>
      </c>
      <c r="DX44" s="58" t="n">
        <f aca="false">IF(AL44&lt;&gt;"",AL44,$BJ$19)</f>
        <v>45658</v>
      </c>
      <c r="DY44" s="58" t="n">
        <f aca="false">IF(AM44&lt;&gt;"",AM44,$DI$19)</f>
        <v>46387</v>
      </c>
      <c r="DZ44" s="62" t="s">
        <v>364</v>
      </c>
    </row>
    <row r="45" customFormat="false" ht="14.15" hidden="false" customHeight="true" outlineLevel="0" collapsed="false">
      <c r="A45" s="54"/>
      <c r="B45" s="61" t="n">
        <f aca="false">AI45</f>
        <v>0</v>
      </c>
      <c r="C45" s="60" t="n">
        <f aca="false">IFERROR(INDEX(Static!$D$5:$F$13,MATCH(AI45,Static!$D$5:$D$13,0),3),90000000)</f>
        <v>90000000</v>
      </c>
      <c r="D45" s="60" t="str">
        <f aca="false">MID(C45,2,1)</f>
        <v>0</v>
      </c>
      <c r="E45" s="61" t="str">
        <f aca="false">AC45</f>
        <v/>
      </c>
      <c r="F45" s="60" t="n">
        <f aca="false">IF(B45="Venture",0,IF(OR(B45="Project",B45="Stream",B45="Action"),AL45,0))</f>
        <v>0</v>
      </c>
      <c r="G45" s="60" t="n">
        <f aca="false">AT45</f>
        <v>0</v>
      </c>
      <c r="H45" s="60" t="n">
        <f aca="false">IF(B45="Venture",0,IFERROR(INDEX($E$20:$F$55,MATCH(G45,$E$20:$E$55,0),2),0))</f>
        <v>0</v>
      </c>
      <c r="I45" s="60" t="str">
        <f aca="false">IF(B45="Venture",0,IFERROR(INDEX($E$20:$G$55,MATCH(G45,$E$20:$E$55,0),3),""))</f>
        <v/>
      </c>
      <c r="J45" s="60" t="n">
        <f aca="false">IF(B45="Venture",0,IFERROR(INDEX($E$20:$H$55,MATCH(G45,$E$20:$E$55,0),4),0))</f>
        <v>0</v>
      </c>
      <c r="K45" s="60" t="n">
        <f aca="false">IF(B45="Venture",0,IFERROR(INDEX($E$20:$G$55,MATCH(I45,$E$20:$E$55,0),3),""))</f>
        <v>0</v>
      </c>
      <c r="L45" s="60" t="n">
        <f aca="false">IF(C45="Venture",0,IFERROR(INDEX($E$20:$G$55,MATCH(J45,$E$20:$E$55,0),4),0))</f>
        <v>0</v>
      </c>
      <c r="M45" s="60" t="str">
        <f aca="false">IF(N45="Completed","Completed","Ongoing")</f>
        <v>Ongoing</v>
      </c>
      <c r="N45" s="60" t="n">
        <f aca="false">IF(OR(AI45="Venture",AI45="Routine",AI45="Run Goal", AI45="Chg Goal", AI45=""),AI45,IF(AO45&lt;&gt;"","Completed",IF(AN45&lt;&gt;"","Pending",IF(AND(AM45&lt;&gt;"",$A$17&gt;AM45),"Overdue",IF($A$17&gt;AL45,"Started","Open")))))</f>
        <v>0</v>
      </c>
      <c r="O45" s="59" t="n">
        <f aca="false">((LEN($BD45)-LEN(SUBSTITUTE($BD45,CHAR(10)&amp;". ","")))/3)+IF(LEFT(TRIM($BD45),2)=". ",1,0)</f>
        <v>0</v>
      </c>
      <c r="P45" s="59" t="n">
        <f aca="false">((LEN($BD45)-LEN(SUBSTITUTE($BD45,CHAR(10)&amp;"/ ","")))/3)+IF(LEFT(TRIM($BD45),2)="/ ",1,0)</f>
        <v>0</v>
      </c>
      <c r="Q45" s="59" t="n">
        <f aca="false">((LEN($BD45)-LEN(SUBSTITUTE($BD45,CHAR(10)&amp;"~ ","")))/3)+IF(LEFT(TRIM($BD45),2)="~ ",1,0)</f>
        <v>0</v>
      </c>
      <c r="R45" s="59" t="n">
        <f aca="false">((LEN($BD45)-LEN(SUBSTITUTE($BD45,CHAR(10)&amp;"! ","")))/3)+IF(LEFT(TRIM($BD45),2)="! ",1,0)</f>
        <v>0</v>
      </c>
      <c r="S45" s="59" t="n">
        <f aca="false">((LEN($BD45)-LEN(SUBSTITUTE($BD45,CHAR(10)&amp;"x ","")))/3)+IF(LEFT(TRIM($BD45),2)="x ",1,0)</f>
        <v>0</v>
      </c>
      <c r="T45" s="59" t="n">
        <f aca="false">SUM(O45:S45)</f>
        <v>0</v>
      </c>
      <c r="U45" s="60" t="n">
        <f aca="false">IF(OR($B45="Drill",$B45="Action"),$AP45,0)</f>
        <v>0</v>
      </c>
      <c r="V45" s="60" t="n">
        <f aca="false">IF(OR($B45="Sub",$B45="Stream"),$AP45+SUMIFS($AP$20:$AP$55,$G$20:$G$55,$E45),0)</f>
        <v>0</v>
      </c>
      <c r="W45" s="60" t="n">
        <f aca="false">IF(OR($B45="Routine",$B45="Project"),$AP45+SUMIFS($V$20:$V$55,$G$20:$G$55,$E45),0)</f>
        <v>0</v>
      </c>
      <c r="X45" s="60" t="n">
        <f aca="false">IF($B45="Venture",$AP45+SUMIFS($W$20:$W$55,$G$20:$G$55,$E45),0)</f>
        <v>0</v>
      </c>
      <c r="Y45" s="60" t="n">
        <f aca="false">IF(OR($B45="Drill",$B45="Action"),$AQ45,0)</f>
        <v>0</v>
      </c>
      <c r="Z45" s="60" t="n">
        <f aca="false">IF(OR($B45="Sub",$B45="Stream"),$AQ45+SUMIFS($AQ$20:$AQ$55,$G$20:$G$55,$E45),0)</f>
        <v>0</v>
      </c>
      <c r="AA45" s="60" t="n">
        <f aca="false">IF(OR($B45="Routine",$B45="Project"),$AQ45+SUMIFS($Z$20:$Z$55,$G$20:$G$55,$E45),0)</f>
        <v>0</v>
      </c>
      <c r="AB45" s="60" t="n">
        <f aca="false">IF($B45="Venture",$AQ45+SUMIFS($AA$20:$AA$55,$G$20:$G$55,$E45),0)</f>
        <v>0</v>
      </c>
      <c r="AC45" s="60" t="str">
        <f aca="false">IF(AI45="Venture",AJ45,AI45&amp;AJ45)</f>
        <v/>
      </c>
      <c r="AD45" s="61" t="str">
        <f aca="false">"  -  "&amp;IF(E45="","ZZZ",D45&amp;AF45&amp;IF(OR(B45="Run Goal",B45="Chg Goal", B45="Venture"),F45&amp;E45,IF(OR(B45="Routine",B45="Project"),H45&amp;G45&amp;F45&amp;E45,  IF(OR(B45="Sub",B45="Stream"),J45&amp;I45&amp;H45&amp;G45&amp;F45&amp;E45,IF(OR(B45="Drill",B45="Action"),L45&amp;K45&amp;J45&amp;I45&amp;H45&amp;G45&amp;F45&amp;E45,     "") )    )))</f>
        <v>  -  ZZZ</v>
      </c>
      <c r="AE45" s="60" t="str">
        <f aca="false">IF(AND(AN45="",AO45=""),"Y","N")</f>
        <v>Y</v>
      </c>
      <c r="AF45" s="99" t="str">
        <f aca="false">IF(OR(AG45="Y",AG45="Y"),AG45,IF(DN45="none","N",IF(DN45&gt;($A$17-WEEKDAY($A$17,2)-(7*$AF$18)),"Y","N")))</f>
        <v>N</v>
      </c>
      <c r="AG45" s="100"/>
      <c r="AH45" s="101"/>
      <c r="AI45" s="62"/>
      <c r="AJ45" s="64"/>
      <c r="AK45" s="64"/>
      <c r="AL45" s="70"/>
      <c r="AM45" s="70"/>
      <c r="AN45" s="70"/>
      <c r="AO45" s="70"/>
      <c r="AP45" s="102"/>
      <c r="AQ45" s="102"/>
      <c r="AR45" s="62"/>
      <c r="AS45" s="62"/>
      <c r="AT45" s="62"/>
      <c r="AU45" s="62"/>
      <c r="AV45" s="62"/>
      <c r="AW45" s="62"/>
      <c r="AX45" s="62"/>
      <c r="AY45" s="62"/>
      <c r="AZ45" s="62"/>
      <c r="BA45" s="62"/>
      <c r="BB45" s="54"/>
      <c r="BC45" s="103"/>
      <c r="BD45" s="54"/>
      <c r="BE45" s="60" t="n">
        <f aca="false">SUM(O45:R45)</f>
        <v>0</v>
      </c>
      <c r="BF45" s="66" t="n">
        <f aca="false">IF(AJ45="",1,IF(T45&lt;&gt;0,(P45*0.5+S45)/T45,1))</f>
        <v>1</v>
      </c>
      <c r="BG45" s="69" t="str">
        <f aca="false">IF(AI45="","",IF(AI45="Venture",X45,IF(OR(AI45="Chg Goal",AI45="RUn Goal"),W45,IF(OR(AI45="ROutine",AI45="Project"),W45,IF(OR(AI45="Sub",AI45="Stream"),V45,IF(OR(AI45="Drill",AI45="Action"),U45,0))))))</f>
        <v/>
      </c>
      <c r="BH45" s="69" t="str">
        <f aca="false">IF(AI45="","",IF(AI45="Venture",AB45,IF(OR(AI45="Chg Goal",AI45="RUn Goal"),AA45,IF(OR(AI45="ROutine",AI45="Project"),AA45,IF(OR(AI45="Sub",AI45="Stream"),Z45,IF(OR(AI45="Drill",AI45="Action"),Y45,0))))))</f>
        <v/>
      </c>
      <c r="BI45" s="104" t="str">
        <f aca="false">IF(AJ45="","",IF(OR(BG45=0, BG45=""),0,BH45/BG45))</f>
        <v/>
      </c>
      <c r="BJ45" s="105" t="str">
        <f aca="false">IF(    OR(   AND($C45=10000000,    BJ$19&gt;=$A$17,      BJ$19 &lt;($A$17+$DI$17)   ),   AND($C45&lt;&gt;10000000,  BJ$19&gt;=$DX45,    BJ$19&lt;=($DY45+$DI$17)  ))   ,$DW45,  "")</f>
        <v/>
      </c>
      <c r="BK45" s="106" t="str">
        <f aca="false">IF(    OR(   AND($C45=10000000,    $A$17&lt;=BK$19,      ($A$17+$DI$17)&gt;BK$19    ),   AND($C45&lt;&gt;10000000,  BK$19&gt;=$DX45,    BK$19&lt;=($DY45+$DI$17)  ))   ,$DW45,  "")</f>
        <v/>
      </c>
      <c r="BL45" s="106" t="str">
        <f aca="false">IF(    OR(   AND($C45=10000000,    $A$17&lt;=BL$19,      ($A$17+$DI$17)&gt;BL$19    ),   AND($C45&lt;&gt;10000000,  BL$19&gt;=$DX45,    BL$19&lt;=($DY45+$DI$17)  ))   ,$DW45,  "")</f>
        <v/>
      </c>
      <c r="BM45" s="106" t="str">
        <f aca="false">IF(    OR(   AND($C45=10000000,    $A$17&lt;=BM$19,      ($A$17+$DI$17)&gt;BM$19    ),   AND($C45&lt;&gt;10000000,  BM$19&gt;=$DX45,    BM$19&lt;=($DY45+$DI$17)  ))   ,$DW45,  "")</f>
        <v/>
      </c>
      <c r="BN45" s="106" t="str">
        <f aca="false">IF(    OR(   AND($C45=10000000,    $A$17&lt;=BN$19,      ($A$17+$DI$17)&gt;BN$19    ),   AND($C45&lt;&gt;10000000,  BN$19&gt;=$DX45,    BN$19&lt;=($DY45+$DI$17)  ))   ,$DW45,  "")</f>
        <v/>
      </c>
      <c r="BO45" s="106" t="str">
        <f aca="false">IF(    OR(   AND($C45=10000000,    $A$17&lt;=BO$19,      ($A$17+$DI$17)&gt;BO$19    ),   AND($C45&lt;&gt;10000000,  BO$19&gt;=$DX45,    BO$19&lt;=($DY45+$DI$17)  ))   ,$DW45,  "")</f>
        <v/>
      </c>
      <c r="BP45" s="106" t="str">
        <f aca="false">IF(    OR(   AND($C45=10000000,    $A$17&lt;=BP$19,      ($A$17+$DI$17)&gt;BP$19    ),   AND($C45&lt;&gt;10000000,  BP$19&gt;=$DX45,    BP$19&lt;=($DY45+$DI$17)  ))   ,$DW45,  "")</f>
        <v/>
      </c>
      <c r="BQ45" s="106" t="str">
        <f aca="false">IF(    OR(   AND($C45=10000000,    $A$17&lt;=BQ$19,      ($A$17+$DI$17)&gt;BQ$19    ),   AND($C45&lt;&gt;10000000,  BQ$19&gt;=$DX45,    BQ$19&lt;=($DY45+$DI$17)  ))   ,$DW45,  "")</f>
        <v/>
      </c>
      <c r="BR45" s="106" t="str">
        <f aca="false">IF(    OR(   AND($C45=10000000,    $A$17&lt;=BR$19,      ($A$17+$DI$17)&gt;BR$19    ),   AND($C45&lt;&gt;10000000,  BR$19&gt;=$DX45,    BR$19&lt;=($DY45+$DI$17)  ))   ,$DW45,  "")</f>
        <v/>
      </c>
      <c r="BS45" s="106" t="str">
        <f aca="false">IF(    OR(   AND($C45=10000000,    $A$17&lt;=BS$19,      ($A$17+$DI$17)&gt;BS$19    ),   AND($C45&lt;&gt;10000000,  BS$19&gt;=$DX45,    BS$19&lt;=($DY45+$DI$17)  ))   ,$DW45,  "")</f>
        <v/>
      </c>
      <c r="BT45" s="106" t="str">
        <f aca="false">IF(    OR(   AND($C45=10000000,    $A$17&lt;=BT$19,      ($A$17+$DI$17)&gt;BT$19    ),   AND($C45&lt;&gt;10000000,  BT$19&gt;=$DX45,    BT$19&lt;=($DY45+$DI$17)  ))   ,$DW45,  "")</f>
        <v/>
      </c>
      <c r="BU45" s="106" t="str">
        <f aca="false">IF(    OR(   AND($C45=10000000,    $A$17&lt;=BU$19,      ($A$17+$DI$17)&gt;BU$19    ),   AND($C45&lt;&gt;10000000,  BU$19&gt;=$DX45,    BU$19&lt;=($DY45+$DI$17)  ))   ,$DW45,  "")</f>
        <v/>
      </c>
      <c r="BV45" s="106" t="str">
        <f aca="false">IF(    OR(   AND($C45=10000000,    $A$17&lt;=BV$19,      ($A$17+$DI$17)&gt;BV$19    ),   AND($C45&lt;&gt;10000000,  BV$19&gt;=$DX45,    BV$19&lt;=($DY45+$DI$17)  ))   ,$DW45,  "")</f>
        <v/>
      </c>
      <c r="BW45" s="106" t="str">
        <f aca="false">IF(    OR(   AND($C45=10000000,    $A$17&lt;=BW$19,      ($A$17+$DI$17)&gt;BW$19    ),   AND($C45&lt;&gt;10000000,  BW$19&gt;=$DX45,    BW$19&lt;=($DY45+$DI$17)  ))   ,$DW45,  "")</f>
        <v/>
      </c>
      <c r="BX45" s="106" t="str">
        <f aca="false">IF(    OR(   AND($C45=10000000,    $A$17&lt;=BX$19,      ($A$17+$DI$17)&gt;BX$19    ),   AND($C45&lt;&gt;10000000,  BX$19&gt;=$DX45,    BX$19&lt;=($DY45+$DI$17)  ))   ,$DW45,  "")</f>
        <v/>
      </c>
      <c r="BY45" s="106" t="str">
        <f aca="false">IF(    OR(   AND($C45=10000000,    $A$17&lt;=BY$19,      ($A$17+$DI$17)&gt;BY$19    ),   AND($C45&lt;&gt;10000000,  BY$19&gt;=$DX45,    BY$19&lt;=($DY45+$DI$17)  ))   ,$DW45,  "")</f>
        <v/>
      </c>
      <c r="BZ45" s="106" t="str">
        <f aca="false">IF(    OR(   AND($C45=10000000,    $A$17&lt;=BZ$19,      ($A$17+$DI$17)&gt;BZ$19    ),   AND($C45&lt;&gt;10000000,  BZ$19&gt;=$DX45,    BZ$19&lt;=($DY45+$DI$17)  ))   ,$DW45,  "")</f>
        <v/>
      </c>
      <c r="CA45" s="106" t="str">
        <f aca="false">IF(    OR(   AND($C45=10000000,    $A$17&lt;=CA$19,      ($A$17+$DI$17)&gt;CA$19    ),   AND($C45&lt;&gt;10000000,  CA$19&gt;=$DX45,    CA$19&lt;=($DY45+$DI$17)  ))   ,$DW45,  "")</f>
        <v/>
      </c>
      <c r="CB45" s="106" t="str">
        <f aca="false">IF(    OR(   AND($C45=10000000,    $A$17&lt;=CB$19,      ($A$17+$DI$17)&gt;CB$19    ),   AND($C45&lt;&gt;10000000,  CB$19&gt;=$DX45,    CB$19&lt;=($DY45+$DI$17)  ))   ,$DW45,  "")</f>
        <v/>
      </c>
      <c r="CC45" s="106" t="str">
        <f aca="false">IF(    OR(   AND($C45=10000000,    $A$17&lt;=CC$19,      ($A$17+$DI$17)&gt;CC$19    ),   AND($C45&lt;&gt;10000000,  CC$19&gt;=$DX45,    CC$19&lt;=($DY45+$DI$17)  ))   ,$DW45,  "")</f>
        <v/>
      </c>
      <c r="CD45" s="106" t="str">
        <f aca="false">IF(    OR(   AND($C45=10000000,    $A$17&lt;=CD$19,      ($A$17+$DI$17)&gt;CD$19    ),   AND($C45&lt;&gt;10000000,  CD$19&gt;=$DX45,    CD$19&lt;=($DY45+$DI$17)  ))   ,$DW45,  "")</f>
        <v/>
      </c>
      <c r="CE45" s="106" t="str">
        <f aca="false">IF(    OR(   AND($C45=10000000,    $A$17&lt;=CE$19,      ($A$17+$DI$17)&gt;CE$19    ),   AND($C45&lt;&gt;10000000,  CE$19&gt;=$DX45,    CE$19&lt;=($DY45+$DI$17)  ))   ,$DW45,  "")</f>
        <v/>
      </c>
      <c r="CF45" s="106" t="str">
        <f aca="false">IF(    OR(   AND($C45=10000000,    $A$17&lt;=CF$19,      ($A$17+$DI$17)&gt;CF$19    ),   AND($C45&lt;&gt;10000000,  CF$19&gt;=$DX45,    CF$19&lt;=($DY45+$DI$17)  ))   ,$DW45,  "")</f>
        <v/>
      </c>
      <c r="CG45" s="106" t="str">
        <f aca="false">IF(    OR(   AND($C45=10000000,    $A$17&lt;=CG$19,      ($A$17+$DI$17)&gt;CG$19    ),   AND($C45&lt;&gt;10000000,  CG$19&gt;=$DX45,    CG$19&lt;=($DY45+$DI$17)  ))   ,$DW45,  "")</f>
        <v/>
      </c>
      <c r="CH45" s="106" t="str">
        <f aca="false">IF(    OR(   AND($C45=10000000,    $A$17&lt;=CH$19,      ($A$17+$DI$17)&gt;CH$19    ),   AND($C45&lt;&gt;10000000,  CH$19&gt;=$DX45,    CH$19&lt;=($DY45+$DI$17)  ))   ,$DW45,  "")</f>
        <v/>
      </c>
      <c r="CI45" s="106" t="str">
        <f aca="false">IF(    OR(   AND($C45=10000000,    $A$17&lt;=CI$19,      ($A$17+$DI$17)&gt;CI$19    ),   AND($C45&lt;&gt;10000000,  CI$19&gt;=$DX45,    CI$19&lt;=($DY45+$DI$17)  ))   ,$DW45,  "")</f>
        <v/>
      </c>
      <c r="CJ45" s="106" t="str">
        <f aca="false">IF(    OR(   AND($C45=10000000,    $A$17&lt;=CJ$19,      ($A$17+$DI$17)&gt;CJ$19    ),   AND($C45&lt;&gt;10000000,  CJ$19&gt;=$DX45,    CJ$19&lt;=($DY45+$DI$17)  ))   ,$DW45,  "")</f>
        <v/>
      </c>
      <c r="CK45" s="106" t="str">
        <f aca="false">IF(    OR(   AND($C45=10000000,    $A$17&lt;=CK$19,      ($A$17+$DI$17)&gt;CK$19    ),   AND($C45&lt;&gt;10000000,  CK$19&gt;=$DX45,    CK$19&lt;=($DY45+$DI$17)  ))   ,$DW45,  "")</f>
        <v/>
      </c>
      <c r="CL45" s="106" t="str">
        <f aca="false">IF(    OR(   AND($C45=10000000,    $A$17&lt;=CL$19,      ($A$17+$DI$17)&gt;CL$19    ),   AND($C45&lt;&gt;10000000,  CL$19&gt;=$DX45,    CL$19&lt;=($DY45+$DI$17)  ))   ,$DW45,  "")</f>
        <v/>
      </c>
      <c r="CM45" s="106" t="str">
        <f aca="false">IF(    OR(   AND($C45=10000000,    $A$17&lt;=CM$19,      ($A$17+$DI$17)&gt;CM$19    ),   AND($C45&lt;&gt;10000000,  CM$19&gt;=$DX45,    CM$19&lt;=($DY45+$DI$17)  ))   ,$DW45,  "")</f>
        <v/>
      </c>
      <c r="CN45" s="106" t="str">
        <f aca="false">IF(    OR(   AND($C45=10000000,    $A$17&lt;=CN$19,      ($A$17+$DI$17)&gt;CN$19    ),   AND($C45&lt;&gt;10000000,  CN$19&gt;=$DX45,    CN$19&lt;=($DY45+$DI$17)  ))   ,$DW45,  "")</f>
        <v/>
      </c>
      <c r="CO45" s="106" t="str">
        <f aca="false">IF(    OR(   AND($C45=10000000,    $A$17&lt;=CO$19,      ($A$17+$DI$17)&gt;CO$19    ),   AND($C45&lt;&gt;10000000,  CO$19&gt;=$DX45,    CO$19&lt;=($DY45+$DI$17)  ))   ,$DW45,  "")</f>
        <v/>
      </c>
      <c r="CP45" s="106" t="str">
        <f aca="false">IF(    OR(   AND($C45=10000000,    $A$17&lt;=CP$19,      ($A$17+$DI$17)&gt;CP$19    ),   AND($C45&lt;&gt;10000000,  CP$19&gt;=$DX45,    CP$19&lt;=($DY45+$DI$17)  ))   ,$DW45,  "")</f>
        <v/>
      </c>
      <c r="CQ45" s="106" t="str">
        <f aca="false">IF(    OR(   AND($C45=10000000,    $A$17&lt;=CQ$19,      ($A$17+$DI$17)&gt;CQ$19    ),   AND($C45&lt;&gt;10000000,  CQ$19&gt;=$DX45,    CQ$19&lt;=($DY45+$DI$17)  ))   ,$DW45,  "")</f>
        <v/>
      </c>
      <c r="CR45" s="106" t="str">
        <f aca="false">IF(    OR(   AND($C45=10000000,    $A$17&lt;=CR$19,      ($A$17+$DI$17)&gt;CR$19    ),   AND($C45&lt;&gt;10000000,  CR$19&gt;=$DX45,    CR$19&lt;=($DY45+$DI$17)  ))   ,$DW45,  "")</f>
        <v/>
      </c>
      <c r="CS45" s="106" t="str">
        <f aca="false">IF(    OR(   AND($C45=10000000,    $A$17&lt;=CS$19,      ($A$17+$DI$17)&gt;CS$19    ),   AND($C45&lt;&gt;10000000,  CS$19&gt;=$DX45,    CS$19&lt;=($DY45+$DI$17)  ))   ,$DW45,  "")</f>
        <v/>
      </c>
      <c r="CT45" s="106" t="str">
        <f aca="false">IF(    OR(   AND($C45=10000000,    $A$17&lt;=CT$19,      ($A$17+$DI$17)&gt;CT$19    ),   AND($C45&lt;&gt;10000000,  CT$19&gt;=$DX45,    CT$19&lt;=($DY45+$DI$17)  ))   ,$DW45,  "")</f>
        <v/>
      </c>
      <c r="CU45" s="106" t="str">
        <f aca="false">IF(    OR(   AND($C45=10000000,    $A$17&lt;=CU$19,      ($A$17+$DI$17)&gt;CU$19    ),   AND($C45&lt;&gt;10000000,  CU$19&gt;=$DX45,    CU$19&lt;=($DY45+$DI$17)  ))   ,$DW45,  "")</f>
        <v/>
      </c>
      <c r="CV45" s="106" t="str">
        <f aca="false">IF(    OR(   AND($C45=10000000,    $A$17&lt;=CV$19,      ($A$17+$DI$17)&gt;CV$19    ),   AND($C45&lt;&gt;10000000,  CV$19&gt;=$DX45,    CV$19&lt;=($DY45+$DI$17)  ))   ,$DW45,  "")</f>
        <v/>
      </c>
      <c r="CW45" s="106" t="str">
        <f aca="false">IF(    OR(   AND($C45=10000000,    $A$17&lt;=CW$19,      ($A$17+$DI$17)&gt;CW$19    ),   AND($C45&lt;&gt;10000000,  CW$19&gt;=$DX45,    CW$19&lt;=($DY45+$DI$17)  ))   ,$DW45,  "")</f>
        <v/>
      </c>
      <c r="CX45" s="106" t="str">
        <f aca="false">IF(    OR(   AND($C45=10000000,    $A$17&lt;=CX$19,      ($A$17+$DI$17)&gt;CX$19    ),   AND($C45&lt;&gt;10000000,  CX$19&gt;=$DX45,    CX$19&lt;=($DY45+$DI$17)  ))   ,$DW45,  "")</f>
        <v/>
      </c>
      <c r="CY45" s="106" t="str">
        <f aca="false">IF(    OR(   AND($C45=10000000,    $A$17&lt;=CY$19,      ($A$17+$DI$17)&gt;CY$19    ),   AND($C45&lt;&gt;10000000,  CY$19&gt;=$DX45,    CY$19&lt;=($DY45+$DI$17)  ))   ,$DW45,  "")</f>
        <v/>
      </c>
      <c r="CZ45" s="106" t="str">
        <f aca="false">IF(    OR(   AND($C45=10000000,    $A$17&lt;=CZ$19,      ($A$17+$DI$17)&gt;CZ$19    ),   AND($C45&lt;&gt;10000000,  CZ$19&gt;=$DX45,    CZ$19&lt;=($DY45+$DI$17)  ))   ,$DW45,  "")</f>
        <v/>
      </c>
      <c r="DA45" s="106" t="str">
        <f aca="false">IF(    OR(   AND($C45=10000000,    $A$17&lt;=DA$19,      ($A$17+$DI$17)&gt;DA$19    ),   AND($C45&lt;&gt;10000000,  DA$19&gt;=$DX45,    DA$19&lt;=($DY45+$DI$17)  ))   ,$DW45,  "")</f>
        <v/>
      </c>
      <c r="DB45" s="106" t="str">
        <f aca="false">IF(    OR(   AND($C45=10000000,    $A$17&lt;=DB$19,      ($A$17+$DI$17)&gt;DB$19    ),   AND($C45&lt;&gt;10000000,  DB$19&gt;=$DX45,    DB$19&lt;=($DY45+$DI$17)  ))   ,$DW45,  "")</f>
        <v/>
      </c>
      <c r="DC45" s="106" t="str">
        <f aca="false">IF(    OR(   AND($C45=10000000,    $A$17&lt;=DC$19,      ($A$17+$DI$17)&gt;DC$19    ),   AND($C45&lt;&gt;10000000,  DC$19&gt;=$DX45,    DC$19&lt;=($DY45+$DI$17)  ))   ,$DW45,  "")</f>
        <v/>
      </c>
      <c r="DD45" s="106" t="str">
        <f aca="false">IF(    OR(   AND($C45=10000000,    $A$17&lt;=DD$19,      ($A$17+$DI$17)&gt;DD$19    ),   AND($C45&lt;&gt;10000000,  DD$19&gt;=$DX45,    DD$19&lt;=($DY45+$DI$17)  ))   ,$DW45,  "")</f>
        <v/>
      </c>
      <c r="DE45" s="106" t="str">
        <f aca="false">IF(    OR(   AND($C45=10000000,    $A$17&lt;=DE$19,      ($A$17+$DI$17)&gt;DE$19    ),   AND($C45&lt;&gt;10000000,  DE$19&gt;=$DX45,    DE$19&lt;=($DY45+$DI$17)  ))   ,$DW45,  "")</f>
        <v/>
      </c>
      <c r="DF45" s="106" t="str">
        <f aca="false">IF(    OR(   AND($C45=10000000,    $A$17&lt;=DF$19,      ($A$17+$DI$17)&gt;DF$19    ),   AND($C45&lt;&gt;10000000,  DF$19&gt;=$DX45,    DF$19&lt;=($DY45+$DI$17)  ))   ,$DW45,  "")</f>
        <v/>
      </c>
      <c r="DG45" s="106" t="str">
        <f aca="false">IF(    OR(   AND($C45=10000000,    $A$17&lt;=DG$19,      ($A$17+$DI$17)&gt;DG$19    ),   AND($C45&lt;&gt;10000000,  DG$19&gt;=$DX45,    DG$19&lt;=($DY45+$DI$17)  ))   ,$DW45,  "")</f>
        <v/>
      </c>
      <c r="DH45" s="106" t="str">
        <f aca="false">IF(    OR(   AND($C45=10000000,    $A$17&lt;=DH$19,      ($A$17+$DI$17)&gt;DH$19    ),   AND($C45&lt;&gt;10000000,  DH$19&gt;=$DX45,    DH$19&lt;=($DY45+$DI$17)  ))   ,$DW45,  "")</f>
        <v/>
      </c>
      <c r="DI45" s="106" t="str">
        <f aca="false">IF(    OR(   AND($C45=10000000,    $A$17&lt;=DI$19,      ($A$17+$DI$17)&gt;DI$19    ),   AND($C45&lt;&gt;10000000,  DI$19&gt;=$DX45,    DI$19&lt;=($DY45+$DI$17)  ))   ,$DW45,  "")</f>
        <v/>
      </c>
      <c r="DJ45" s="74" t="str">
        <f aca="false">IF(BC45="","",IF(ISERROR(FIND(CHAR(10),BC45,1)),BC45,LEFT(BC45,FIND(CHAR(10),BC45,1))))</f>
        <v/>
      </c>
      <c r="DK45" s="61" t="str">
        <f aca="false">IF(BC45="","",IFERROR(RIGHT(BC45,LEN(BC45)-FIND("@@@",SUBSTITUTE(BC45,CHAR(10),"@@@",LEN(BC45)-LEN(SUBSTITUTE(BC45,CHAR(10),""))),1)),BC45))</f>
        <v/>
      </c>
      <c r="DL45" s="61" t="str">
        <f aca="false">IF(BD45="","",IFERROR(RIGHT(BD45,LEN(BD45)-FIND("@@@",SUBSTITUTE(BD45,CHAR(10),"@@@",LEN(BD45)-LEN(SUBSTITUTE(BD45,CHAR(10),""))),1)),BD45))</f>
        <v/>
      </c>
      <c r="DM45" s="107" t="str">
        <f aca="false">IFERROR(DATE(("20"&amp;MID(DJ45,7,2))*1,MID(DJ45,4,2)*1,MID(DJ45,1,2)*1),"none")</f>
        <v>none</v>
      </c>
      <c r="DN45" s="107" t="str">
        <f aca="false">IFERROR(DATE(("20"&amp;MID(DK45,7,2))*1,MID(DK45,4,2)*1,MID(DK45,1,2)*1),"none")</f>
        <v>none</v>
      </c>
      <c r="DO45" s="107" t="n">
        <f aca="false">IF(DM45&lt;&gt;"none",DM45,DATE(1900,1,1))</f>
        <v>2</v>
      </c>
      <c r="DP45" s="107" t="n">
        <f aca="false">IF(DN45&lt;&gt;"none",DN45,DO45)</f>
        <v>2</v>
      </c>
      <c r="DQ45" s="108" t="n">
        <f aca="false">_xlfn.DAYS($A$17,DO45)</f>
        <v>46319</v>
      </c>
      <c r="DR45" s="108" t="n">
        <f aca="false">_xlfn.DAYS($A$17, DP45)</f>
        <v>46319</v>
      </c>
      <c r="DS45" s="60" t="n">
        <f aca="false">IF(DP45&lt;&gt;"",INT(DR45/7),0)</f>
        <v>6617</v>
      </c>
      <c r="DT45" s="108" t="n">
        <f aca="false">IF(N45="Overdue",_xlfn.DAYS($A$17,AM45),0)</f>
        <v>0</v>
      </c>
      <c r="DU45" s="108" t="n">
        <f aca="false">IF(AI45="Project",_xlfn.DAYS(AM45,$A$17),0)</f>
        <v>0</v>
      </c>
      <c r="DV45" s="60" t="str">
        <f aca="false">IFERROR(INDEX(Static!$D$5:$E$13,MATCH(AI45,Static!$D$5:$D$13,0),2),"")</f>
        <v/>
      </c>
      <c r="DW45" s="60" t="str">
        <f aca="false">IF(C45=10000000,"Red",IF(OR(C45=11000000,C45=12000000),"Black",IF(C45=11100000,"Dark",IF(AND(C45=12100000,N45="Completed"),"Green",IF(AND(C45=12100000,N45="Overdue"),"Red",IF(C45=12100000,"Dark",IF(AND(C45=12110000,N45="Overdue"),"LightRed",IF(AND(C45=12110000,N45="Completed"),"LightGreen",IF(OR(C45=11110000,C45=12110000),"Light",IF(AND(C45=12111000,N45="Overdue"),"SoftRed",IF(AND(C45=12111000,N45="Completed"),"SoftGreen",IF(OR(C45=11111000,C45=12111000),"Grey",""))))))))))))</f>
        <v/>
      </c>
      <c r="DX45" s="58" t="n">
        <f aca="false">IF(AL45&lt;&gt;"",AL45,$BJ$19)</f>
        <v>45658</v>
      </c>
      <c r="DY45" s="58" t="n">
        <f aca="false">IF(AM45&lt;&gt;"",AM45,$DI$19)</f>
        <v>46387</v>
      </c>
      <c r="DZ45" s="62" t="s">
        <v>364</v>
      </c>
    </row>
    <row r="46" customFormat="false" ht="14.15" hidden="false" customHeight="true" outlineLevel="0" collapsed="false">
      <c r="A46" s="54"/>
      <c r="B46" s="61" t="n">
        <f aca="false">AI46</f>
        <v>0</v>
      </c>
      <c r="C46" s="60" t="n">
        <f aca="false">IFERROR(INDEX(Static!$D$5:$F$13,MATCH(AI46,Static!$D$5:$D$13,0),3),90000000)</f>
        <v>90000000</v>
      </c>
      <c r="D46" s="60" t="str">
        <f aca="false">MID(C46,2,1)</f>
        <v>0</v>
      </c>
      <c r="E46" s="61" t="str">
        <f aca="false">AC46</f>
        <v/>
      </c>
      <c r="F46" s="60" t="n">
        <f aca="false">IF(B46="Venture",0,IF(OR(B46="Project",B46="Stream",B46="Action"),AL46,0))</f>
        <v>0</v>
      </c>
      <c r="G46" s="60" t="n">
        <f aca="false">AT46</f>
        <v>0</v>
      </c>
      <c r="H46" s="60" t="n">
        <f aca="false">IF(B46="Venture",0,IFERROR(INDEX($E$20:$F$55,MATCH(G46,$E$20:$E$55,0),2),0))</f>
        <v>0</v>
      </c>
      <c r="I46" s="60" t="str">
        <f aca="false">IF(B46="Venture",0,IFERROR(INDEX($E$20:$G$55,MATCH(G46,$E$20:$E$55,0),3),""))</f>
        <v/>
      </c>
      <c r="J46" s="60" t="n">
        <f aca="false">IF(B46="Venture",0,IFERROR(INDEX($E$20:$H$55,MATCH(G46,$E$20:$E$55,0),4),0))</f>
        <v>0</v>
      </c>
      <c r="K46" s="60" t="n">
        <f aca="false">IF(B46="Venture",0,IFERROR(INDEX($E$20:$G$55,MATCH(I46,$E$20:$E$55,0),3),""))</f>
        <v>0</v>
      </c>
      <c r="L46" s="60" t="n">
        <f aca="false">IF(C46="Venture",0,IFERROR(INDEX($E$20:$G$55,MATCH(J46,$E$20:$E$55,0),4),0))</f>
        <v>0</v>
      </c>
      <c r="M46" s="60" t="str">
        <f aca="false">IF(N46="Completed","Completed","Ongoing")</f>
        <v>Ongoing</v>
      </c>
      <c r="N46" s="60" t="n">
        <f aca="false">IF(OR(AI46="Venture",AI46="Routine",AI46="Run Goal", AI46="Chg Goal", AI46=""),AI46,IF(AO46&lt;&gt;"","Completed",IF(AN46&lt;&gt;"","Pending",IF(AND(AM46&lt;&gt;"",$A$17&gt;AM46),"Overdue",IF($A$17&gt;AL46,"Started","Open")))))</f>
        <v>0</v>
      </c>
      <c r="O46" s="59" t="n">
        <f aca="false">((LEN($BD46)-LEN(SUBSTITUTE($BD46,CHAR(10)&amp;". ","")))/3)+IF(LEFT(TRIM($BD46),2)=". ",1,0)</f>
        <v>0</v>
      </c>
      <c r="P46" s="59" t="n">
        <f aca="false">((LEN($BD46)-LEN(SUBSTITUTE($BD46,CHAR(10)&amp;"/ ","")))/3)+IF(LEFT(TRIM($BD46),2)="/ ",1,0)</f>
        <v>0</v>
      </c>
      <c r="Q46" s="59" t="n">
        <f aca="false">((LEN($BD46)-LEN(SUBSTITUTE($BD46,CHAR(10)&amp;"~ ","")))/3)+IF(LEFT(TRIM($BD46),2)="~ ",1,0)</f>
        <v>0</v>
      </c>
      <c r="R46" s="59" t="n">
        <f aca="false">((LEN($BD46)-LEN(SUBSTITUTE($BD46,CHAR(10)&amp;"! ","")))/3)+IF(LEFT(TRIM($BD46),2)="! ",1,0)</f>
        <v>0</v>
      </c>
      <c r="S46" s="59" t="n">
        <f aca="false">((LEN($BD46)-LEN(SUBSTITUTE($BD46,CHAR(10)&amp;"x ","")))/3)+IF(LEFT(TRIM($BD46),2)="x ",1,0)</f>
        <v>0</v>
      </c>
      <c r="T46" s="59" t="n">
        <f aca="false">SUM(O46:S46)</f>
        <v>0</v>
      </c>
      <c r="U46" s="60" t="n">
        <f aca="false">IF(OR($B46="Drill",$B46="Action"),$AP46,0)</f>
        <v>0</v>
      </c>
      <c r="V46" s="60" t="n">
        <f aca="false">IF(OR($B46="Sub",$B46="Stream"),$AP46+SUMIFS($AP$20:$AP$55,$G$20:$G$55,$E46),0)</f>
        <v>0</v>
      </c>
      <c r="W46" s="60" t="n">
        <f aca="false">IF(OR($B46="Routine",$B46="Project"),$AP46+SUMIFS($V$20:$V$55,$G$20:$G$55,$E46),0)</f>
        <v>0</v>
      </c>
      <c r="X46" s="60" t="n">
        <f aca="false">IF($B46="Venture",$AP46+SUMIFS($W$20:$W$55,$G$20:$G$55,$E46),0)</f>
        <v>0</v>
      </c>
      <c r="Y46" s="60" t="n">
        <f aca="false">IF(OR($B46="Drill",$B46="Action"),$AQ46,0)</f>
        <v>0</v>
      </c>
      <c r="Z46" s="60" t="n">
        <f aca="false">IF(OR($B46="Sub",$B46="Stream"),$AQ46+SUMIFS($AQ$20:$AQ$55,$G$20:$G$55,$E46),0)</f>
        <v>0</v>
      </c>
      <c r="AA46" s="60" t="n">
        <f aca="false">IF(OR($B46="Routine",$B46="Project"),$AQ46+SUMIFS($Z$20:$Z$55,$G$20:$G$55,$E46),0)</f>
        <v>0</v>
      </c>
      <c r="AB46" s="60" t="n">
        <f aca="false">IF($B46="Venture",$AQ46+SUMIFS($AA$20:$AA$55,$G$20:$G$55,$E46),0)</f>
        <v>0</v>
      </c>
      <c r="AC46" s="60" t="str">
        <f aca="false">IF(AI46="Venture",AJ46,AI46&amp;AJ46)</f>
        <v/>
      </c>
      <c r="AD46" s="61" t="str">
        <f aca="false">"  -  "&amp;IF(E46="","ZZZ",D46&amp;AF46&amp;IF(OR(B46="Run Goal",B46="Chg Goal", B46="Venture"),F46&amp;E46,IF(OR(B46="Routine",B46="Project"),H46&amp;G46&amp;F46&amp;E46,  IF(OR(B46="Sub",B46="Stream"),J46&amp;I46&amp;H46&amp;G46&amp;F46&amp;E46,IF(OR(B46="Drill",B46="Action"),L46&amp;K46&amp;J46&amp;I46&amp;H46&amp;G46&amp;F46&amp;E46,     "") )    )))</f>
        <v>  -  ZZZ</v>
      </c>
      <c r="AE46" s="60" t="str">
        <f aca="false">IF(AND(AN46="",AO46=""),"Y","N")</f>
        <v>Y</v>
      </c>
      <c r="AF46" s="99" t="str">
        <f aca="false">IF(OR(AG46="Y",AG46="Y"),AG46,IF(DN46="none","N",IF(DN46&gt;($A$17-WEEKDAY($A$17,2)-(7*$AF$18)),"Y","N")))</f>
        <v>N</v>
      </c>
      <c r="AG46" s="100"/>
      <c r="AH46" s="101"/>
      <c r="AI46" s="62"/>
      <c r="AJ46" s="64"/>
      <c r="AK46" s="64"/>
      <c r="AL46" s="70"/>
      <c r="AM46" s="70"/>
      <c r="AN46" s="70"/>
      <c r="AO46" s="70"/>
      <c r="AP46" s="102"/>
      <c r="AQ46" s="102"/>
      <c r="AR46" s="62"/>
      <c r="AS46" s="62"/>
      <c r="AT46" s="62"/>
      <c r="AU46" s="62"/>
      <c r="AV46" s="62"/>
      <c r="AW46" s="62"/>
      <c r="AX46" s="62"/>
      <c r="AY46" s="62"/>
      <c r="AZ46" s="62"/>
      <c r="BA46" s="62"/>
      <c r="BB46" s="54"/>
      <c r="BC46" s="103"/>
      <c r="BD46" s="54"/>
      <c r="BE46" s="60" t="n">
        <f aca="false">SUM(O46:R46)</f>
        <v>0</v>
      </c>
      <c r="BF46" s="66" t="n">
        <f aca="false">IF(AJ46="",1,IF(T46&lt;&gt;0,(P46*0.5+S46)/T46,1))</f>
        <v>1</v>
      </c>
      <c r="BG46" s="69" t="str">
        <f aca="false">IF(AI46="","",IF(AI46="Venture",X46,IF(OR(AI46="Chg Goal",AI46="RUn Goal"),W46,IF(OR(AI46="ROutine",AI46="Project"),W46,IF(OR(AI46="Sub",AI46="Stream"),V46,IF(OR(AI46="Drill",AI46="Action"),U46,0))))))</f>
        <v/>
      </c>
      <c r="BH46" s="69" t="str">
        <f aca="false">IF(AI46="","",IF(AI46="Venture",AB46,IF(OR(AI46="Chg Goal",AI46="RUn Goal"),AA46,IF(OR(AI46="ROutine",AI46="Project"),AA46,IF(OR(AI46="Sub",AI46="Stream"),Z46,IF(OR(AI46="Drill",AI46="Action"),Y46,0))))))</f>
        <v/>
      </c>
      <c r="BI46" s="104" t="str">
        <f aca="false">IF(AJ46="","",IF(OR(BG46=0, BG46=""),0,BH46/BG46))</f>
        <v/>
      </c>
      <c r="BJ46" s="105" t="str">
        <f aca="false">IF(    OR(   AND($C46=10000000,    BJ$19&gt;=$A$17,      BJ$19 &lt;($A$17+$DI$17)   ),   AND($C46&lt;&gt;10000000,  BJ$19&gt;=$DX46,    BJ$19&lt;=($DY46+$DI$17)  ))   ,$DW46,  "")</f>
        <v/>
      </c>
      <c r="BK46" s="106" t="str">
        <f aca="false">IF(    OR(   AND($C46=10000000,    $A$17&lt;=BK$19,      ($A$17+$DI$17)&gt;BK$19    ),   AND($C46&lt;&gt;10000000,  BK$19&gt;=$DX46,    BK$19&lt;=($DY46+$DI$17)  ))   ,$DW46,  "")</f>
        <v/>
      </c>
      <c r="BL46" s="106" t="str">
        <f aca="false">IF(    OR(   AND($C46=10000000,    $A$17&lt;=BL$19,      ($A$17+$DI$17)&gt;BL$19    ),   AND($C46&lt;&gt;10000000,  BL$19&gt;=$DX46,    BL$19&lt;=($DY46+$DI$17)  ))   ,$DW46,  "")</f>
        <v/>
      </c>
      <c r="BM46" s="106" t="str">
        <f aca="false">IF(    OR(   AND($C46=10000000,    $A$17&lt;=BM$19,      ($A$17+$DI$17)&gt;BM$19    ),   AND($C46&lt;&gt;10000000,  BM$19&gt;=$DX46,    BM$19&lt;=($DY46+$DI$17)  ))   ,$DW46,  "")</f>
        <v/>
      </c>
      <c r="BN46" s="106" t="str">
        <f aca="false">IF(    OR(   AND($C46=10000000,    $A$17&lt;=BN$19,      ($A$17+$DI$17)&gt;BN$19    ),   AND($C46&lt;&gt;10000000,  BN$19&gt;=$DX46,    BN$19&lt;=($DY46+$DI$17)  ))   ,$DW46,  "")</f>
        <v/>
      </c>
      <c r="BO46" s="106" t="str">
        <f aca="false">IF(    OR(   AND($C46=10000000,    $A$17&lt;=BO$19,      ($A$17+$DI$17)&gt;BO$19    ),   AND($C46&lt;&gt;10000000,  BO$19&gt;=$DX46,    BO$19&lt;=($DY46+$DI$17)  ))   ,$DW46,  "")</f>
        <v/>
      </c>
      <c r="BP46" s="106" t="str">
        <f aca="false">IF(    OR(   AND($C46=10000000,    $A$17&lt;=BP$19,      ($A$17+$DI$17)&gt;BP$19    ),   AND($C46&lt;&gt;10000000,  BP$19&gt;=$DX46,    BP$19&lt;=($DY46+$DI$17)  ))   ,$DW46,  "")</f>
        <v/>
      </c>
      <c r="BQ46" s="106" t="str">
        <f aca="false">IF(    OR(   AND($C46=10000000,    $A$17&lt;=BQ$19,      ($A$17+$DI$17)&gt;BQ$19    ),   AND($C46&lt;&gt;10000000,  BQ$19&gt;=$DX46,    BQ$19&lt;=($DY46+$DI$17)  ))   ,$DW46,  "")</f>
        <v/>
      </c>
      <c r="BR46" s="106" t="str">
        <f aca="false">IF(    OR(   AND($C46=10000000,    $A$17&lt;=BR$19,      ($A$17+$DI$17)&gt;BR$19    ),   AND($C46&lt;&gt;10000000,  BR$19&gt;=$DX46,    BR$19&lt;=($DY46+$DI$17)  ))   ,$DW46,  "")</f>
        <v/>
      </c>
      <c r="BS46" s="106" t="str">
        <f aca="false">IF(    OR(   AND($C46=10000000,    $A$17&lt;=BS$19,      ($A$17+$DI$17)&gt;BS$19    ),   AND($C46&lt;&gt;10000000,  BS$19&gt;=$DX46,    BS$19&lt;=($DY46+$DI$17)  ))   ,$DW46,  "")</f>
        <v/>
      </c>
      <c r="BT46" s="106" t="str">
        <f aca="false">IF(    OR(   AND($C46=10000000,    $A$17&lt;=BT$19,      ($A$17+$DI$17)&gt;BT$19    ),   AND($C46&lt;&gt;10000000,  BT$19&gt;=$DX46,    BT$19&lt;=($DY46+$DI$17)  ))   ,$DW46,  "")</f>
        <v/>
      </c>
      <c r="BU46" s="106" t="str">
        <f aca="false">IF(    OR(   AND($C46=10000000,    $A$17&lt;=BU$19,      ($A$17+$DI$17)&gt;BU$19    ),   AND($C46&lt;&gt;10000000,  BU$19&gt;=$DX46,    BU$19&lt;=($DY46+$DI$17)  ))   ,$DW46,  "")</f>
        <v/>
      </c>
      <c r="BV46" s="106" t="str">
        <f aca="false">IF(    OR(   AND($C46=10000000,    $A$17&lt;=BV$19,      ($A$17+$DI$17)&gt;BV$19    ),   AND($C46&lt;&gt;10000000,  BV$19&gt;=$DX46,    BV$19&lt;=($DY46+$DI$17)  ))   ,$DW46,  "")</f>
        <v/>
      </c>
      <c r="BW46" s="106" t="str">
        <f aca="false">IF(    OR(   AND($C46=10000000,    $A$17&lt;=BW$19,      ($A$17+$DI$17)&gt;BW$19    ),   AND($C46&lt;&gt;10000000,  BW$19&gt;=$DX46,    BW$19&lt;=($DY46+$DI$17)  ))   ,$DW46,  "")</f>
        <v/>
      </c>
      <c r="BX46" s="106" t="str">
        <f aca="false">IF(    OR(   AND($C46=10000000,    $A$17&lt;=BX$19,      ($A$17+$DI$17)&gt;BX$19    ),   AND($C46&lt;&gt;10000000,  BX$19&gt;=$DX46,    BX$19&lt;=($DY46+$DI$17)  ))   ,$DW46,  "")</f>
        <v/>
      </c>
      <c r="BY46" s="106" t="str">
        <f aca="false">IF(    OR(   AND($C46=10000000,    $A$17&lt;=BY$19,      ($A$17+$DI$17)&gt;BY$19    ),   AND($C46&lt;&gt;10000000,  BY$19&gt;=$DX46,    BY$19&lt;=($DY46+$DI$17)  ))   ,$DW46,  "")</f>
        <v/>
      </c>
      <c r="BZ46" s="106" t="str">
        <f aca="false">IF(    OR(   AND($C46=10000000,    $A$17&lt;=BZ$19,      ($A$17+$DI$17)&gt;BZ$19    ),   AND($C46&lt;&gt;10000000,  BZ$19&gt;=$DX46,    BZ$19&lt;=($DY46+$DI$17)  ))   ,$DW46,  "")</f>
        <v/>
      </c>
      <c r="CA46" s="106" t="str">
        <f aca="false">IF(    OR(   AND($C46=10000000,    $A$17&lt;=CA$19,      ($A$17+$DI$17)&gt;CA$19    ),   AND($C46&lt;&gt;10000000,  CA$19&gt;=$DX46,    CA$19&lt;=($DY46+$DI$17)  ))   ,$DW46,  "")</f>
        <v/>
      </c>
      <c r="CB46" s="106" t="str">
        <f aca="false">IF(    OR(   AND($C46=10000000,    $A$17&lt;=CB$19,      ($A$17+$DI$17)&gt;CB$19    ),   AND($C46&lt;&gt;10000000,  CB$19&gt;=$DX46,    CB$19&lt;=($DY46+$DI$17)  ))   ,$DW46,  "")</f>
        <v/>
      </c>
      <c r="CC46" s="106" t="str">
        <f aca="false">IF(    OR(   AND($C46=10000000,    $A$17&lt;=CC$19,      ($A$17+$DI$17)&gt;CC$19    ),   AND($C46&lt;&gt;10000000,  CC$19&gt;=$DX46,    CC$19&lt;=($DY46+$DI$17)  ))   ,$DW46,  "")</f>
        <v/>
      </c>
      <c r="CD46" s="106" t="str">
        <f aca="false">IF(    OR(   AND($C46=10000000,    $A$17&lt;=CD$19,      ($A$17+$DI$17)&gt;CD$19    ),   AND($C46&lt;&gt;10000000,  CD$19&gt;=$DX46,    CD$19&lt;=($DY46+$DI$17)  ))   ,$DW46,  "")</f>
        <v/>
      </c>
      <c r="CE46" s="106" t="str">
        <f aca="false">IF(    OR(   AND($C46=10000000,    $A$17&lt;=CE$19,      ($A$17+$DI$17)&gt;CE$19    ),   AND($C46&lt;&gt;10000000,  CE$19&gt;=$DX46,    CE$19&lt;=($DY46+$DI$17)  ))   ,$DW46,  "")</f>
        <v/>
      </c>
      <c r="CF46" s="106" t="str">
        <f aca="false">IF(    OR(   AND($C46=10000000,    $A$17&lt;=CF$19,      ($A$17+$DI$17)&gt;CF$19    ),   AND($C46&lt;&gt;10000000,  CF$19&gt;=$DX46,    CF$19&lt;=($DY46+$DI$17)  ))   ,$DW46,  "")</f>
        <v/>
      </c>
      <c r="CG46" s="106" t="str">
        <f aca="false">IF(    OR(   AND($C46=10000000,    $A$17&lt;=CG$19,      ($A$17+$DI$17)&gt;CG$19    ),   AND($C46&lt;&gt;10000000,  CG$19&gt;=$DX46,    CG$19&lt;=($DY46+$DI$17)  ))   ,$DW46,  "")</f>
        <v/>
      </c>
      <c r="CH46" s="106" t="str">
        <f aca="false">IF(    OR(   AND($C46=10000000,    $A$17&lt;=CH$19,      ($A$17+$DI$17)&gt;CH$19    ),   AND($C46&lt;&gt;10000000,  CH$19&gt;=$DX46,    CH$19&lt;=($DY46+$DI$17)  ))   ,$DW46,  "")</f>
        <v/>
      </c>
      <c r="CI46" s="106" t="str">
        <f aca="false">IF(    OR(   AND($C46=10000000,    $A$17&lt;=CI$19,      ($A$17+$DI$17)&gt;CI$19    ),   AND($C46&lt;&gt;10000000,  CI$19&gt;=$DX46,    CI$19&lt;=($DY46+$DI$17)  ))   ,$DW46,  "")</f>
        <v/>
      </c>
      <c r="CJ46" s="106" t="str">
        <f aca="false">IF(    OR(   AND($C46=10000000,    $A$17&lt;=CJ$19,      ($A$17+$DI$17)&gt;CJ$19    ),   AND($C46&lt;&gt;10000000,  CJ$19&gt;=$DX46,    CJ$19&lt;=($DY46+$DI$17)  ))   ,$DW46,  "")</f>
        <v/>
      </c>
      <c r="CK46" s="106" t="str">
        <f aca="false">IF(    OR(   AND($C46=10000000,    $A$17&lt;=CK$19,      ($A$17+$DI$17)&gt;CK$19    ),   AND($C46&lt;&gt;10000000,  CK$19&gt;=$DX46,    CK$19&lt;=($DY46+$DI$17)  ))   ,$DW46,  "")</f>
        <v/>
      </c>
      <c r="CL46" s="106" t="str">
        <f aca="false">IF(    OR(   AND($C46=10000000,    $A$17&lt;=CL$19,      ($A$17+$DI$17)&gt;CL$19    ),   AND($C46&lt;&gt;10000000,  CL$19&gt;=$DX46,    CL$19&lt;=($DY46+$DI$17)  ))   ,$DW46,  "")</f>
        <v/>
      </c>
      <c r="CM46" s="106" t="str">
        <f aca="false">IF(    OR(   AND($C46=10000000,    $A$17&lt;=CM$19,      ($A$17+$DI$17)&gt;CM$19    ),   AND($C46&lt;&gt;10000000,  CM$19&gt;=$DX46,    CM$19&lt;=($DY46+$DI$17)  ))   ,$DW46,  "")</f>
        <v/>
      </c>
      <c r="CN46" s="106" t="str">
        <f aca="false">IF(    OR(   AND($C46=10000000,    $A$17&lt;=CN$19,      ($A$17+$DI$17)&gt;CN$19    ),   AND($C46&lt;&gt;10000000,  CN$19&gt;=$DX46,    CN$19&lt;=($DY46+$DI$17)  ))   ,$DW46,  "")</f>
        <v/>
      </c>
      <c r="CO46" s="106" t="str">
        <f aca="false">IF(    OR(   AND($C46=10000000,    $A$17&lt;=CO$19,      ($A$17+$DI$17)&gt;CO$19    ),   AND($C46&lt;&gt;10000000,  CO$19&gt;=$DX46,    CO$19&lt;=($DY46+$DI$17)  ))   ,$DW46,  "")</f>
        <v/>
      </c>
      <c r="CP46" s="106" t="str">
        <f aca="false">IF(    OR(   AND($C46=10000000,    $A$17&lt;=CP$19,      ($A$17+$DI$17)&gt;CP$19    ),   AND($C46&lt;&gt;10000000,  CP$19&gt;=$DX46,    CP$19&lt;=($DY46+$DI$17)  ))   ,$DW46,  "")</f>
        <v/>
      </c>
      <c r="CQ46" s="106" t="str">
        <f aca="false">IF(    OR(   AND($C46=10000000,    $A$17&lt;=CQ$19,      ($A$17+$DI$17)&gt;CQ$19    ),   AND($C46&lt;&gt;10000000,  CQ$19&gt;=$DX46,    CQ$19&lt;=($DY46+$DI$17)  ))   ,$DW46,  "")</f>
        <v/>
      </c>
      <c r="CR46" s="106" t="str">
        <f aca="false">IF(    OR(   AND($C46=10000000,    $A$17&lt;=CR$19,      ($A$17+$DI$17)&gt;CR$19    ),   AND($C46&lt;&gt;10000000,  CR$19&gt;=$DX46,    CR$19&lt;=($DY46+$DI$17)  ))   ,$DW46,  "")</f>
        <v/>
      </c>
      <c r="CS46" s="106" t="str">
        <f aca="false">IF(    OR(   AND($C46=10000000,    $A$17&lt;=CS$19,      ($A$17+$DI$17)&gt;CS$19    ),   AND($C46&lt;&gt;10000000,  CS$19&gt;=$DX46,    CS$19&lt;=($DY46+$DI$17)  ))   ,$DW46,  "")</f>
        <v/>
      </c>
      <c r="CT46" s="106" t="str">
        <f aca="false">IF(    OR(   AND($C46=10000000,    $A$17&lt;=CT$19,      ($A$17+$DI$17)&gt;CT$19    ),   AND($C46&lt;&gt;10000000,  CT$19&gt;=$DX46,    CT$19&lt;=($DY46+$DI$17)  ))   ,$DW46,  "")</f>
        <v/>
      </c>
      <c r="CU46" s="106" t="str">
        <f aca="false">IF(    OR(   AND($C46=10000000,    $A$17&lt;=CU$19,      ($A$17+$DI$17)&gt;CU$19    ),   AND($C46&lt;&gt;10000000,  CU$19&gt;=$DX46,    CU$19&lt;=($DY46+$DI$17)  ))   ,$DW46,  "")</f>
        <v/>
      </c>
      <c r="CV46" s="106" t="str">
        <f aca="false">IF(    OR(   AND($C46=10000000,    $A$17&lt;=CV$19,      ($A$17+$DI$17)&gt;CV$19    ),   AND($C46&lt;&gt;10000000,  CV$19&gt;=$DX46,    CV$19&lt;=($DY46+$DI$17)  ))   ,$DW46,  "")</f>
        <v/>
      </c>
      <c r="CW46" s="106" t="str">
        <f aca="false">IF(    OR(   AND($C46=10000000,    $A$17&lt;=CW$19,      ($A$17+$DI$17)&gt;CW$19    ),   AND($C46&lt;&gt;10000000,  CW$19&gt;=$DX46,    CW$19&lt;=($DY46+$DI$17)  ))   ,$DW46,  "")</f>
        <v/>
      </c>
      <c r="CX46" s="106" t="str">
        <f aca="false">IF(    OR(   AND($C46=10000000,    $A$17&lt;=CX$19,      ($A$17+$DI$17)&gt;CX$19    ),   AND($C46&lt;&gt;10000000,  CX$19&gt;=$DX46,    CX$19&lt;=($DY46+$DI$17)  ))   ,$DW46,  "")</f>
        <v/>
      </c>
      <c r="CY46" s="106" t="str">
        <f aca="false">IF(    OR(   AND($C46=10000000,    $A$17&lt;=CY$19,      ($A$17+$DI$17)&gt;CY$19    ),   AND($C46&lt;&gt;10000000,  CY$19&gt;=$DX46,    CY$19&lt;=($DY46+$DI$17)  ))   ,$DW46,  "")</f>
        <v/>
      </c>
      <c r="CZ46" s="106" t="str">
        <f aca="false">IF(    OR(   AND($C46=10000000,    $A$17&lt;=CZ$19,      ($A$17+$DI$17)&gt;CZ$19    ),   AND($C46&lt;&gt;10000000,  CZ$19&gt;=$DX46,    CZ$19&lt;=($DY46+$DI$17)  ))   ,$DW46,  "")</f>
        <v/>
      </c>
      <c r="DA46" s="106" t="str">
        <f aca="false">IF(    OR(   AND($C46=10000000,    $A$17&lt;=DA$19,      ($A$17+$DI$17)&gt;DA$19    ),   AND($C46&lt;&gt;10000000,  DA$19&gt;=$DX46,    DA$19&lt;=($DY46+$DI$17)  ))   ,$DW46,  "")</f>
        <v/>
      </c>
      <c r="DB46" s="106" t="str">
        <f aca="false">IF(    OR(   AND($C46=10000000,    $A$17&lt;=DB$19,      ($A$17+$DI$17)&gt;DB$19    ),   AND($C46&lt;&gt;10000000,  DB$19&gt;=$DX46,    DB$19&lt;=($DY46+$DI$17)  ))   ,$DW46,  "")</f>
        <v/>
      </c>
      <c r="DC46" s="106" t="str">
        <f aca="false">IF(    OR(   AND($C46=10000000,    $A$17&lt;=DC$19,      ($A$17+$DI$17)&gt;DC$19    ),   AND($C46&lt;&gt;10000000,  DC$19&gt;=$DX46,    DC$19&lt;=($DY46+$DI$17)  ))   ,$DW46,  "")</f>
        <v/>
      </c>
      <c r="DD46" s="106" t="str">
        <f aca="false">IF(    OR(   AND($C46=10000000,    $A$17&lt;=DD$19,      ($A$17+$DI$17)&gt;DD$19    ),   AND($C46&lt;&gt;10000000,  DD$19&gt;=$DX46,    DD$19&lt;=($DY46+$DI$17)  ))   ,$DW46,  "")</f>
        <v/>
      </c>
      <c r="DE46" s="106" t="str">
        <f aca="false">IF(    OR(   AND($C46=10000000,    $A$17&lt;=DE$19,      ($A$17+$DI$17)&gt;DE$19    ),   AND($C46&lt;&gt;10000000,  DE$19&gt;=$DX46,    DE$19&lt;=($DY46+$DI$17)  ))   ,$DW46,  "")</f>
        <v/>
      </c>
      <c r="DF46" s="106" t="str">
        <f aca="false">IF(    OR(   AND($C46=10000000,    $A$17&lt;=DF$19,      ($A$17+$DI$17)&gt;DF$19    ),   AND($C46&lt;&gt;10000000,  DF$19&gt;=$DX46,    DF$19&lt;=($DY46+$DI$17)  ))   ,$DW46,  "")</f>
        <v/>
      </c>
      <c r="DG46" s="106" t="str">
        <f aca="false">IF(    OR(   AND($C46=10000000,    $A$17&lt;=DG$19,      ($A$17+$DI$17)&gt;DG$19    ),   AND($C46&lt;&gt;10000000,  DG$19&gt;=$DX46,    DG$19&lt;=($DY46+$DI$17)  ))   ,$DW46,  "")</f>
        <v/>
      </c>
      <c r="DH46" s="106" t="str">
        <f aca="false">IF(    OR(   AND($C46=10000000,    $A$17&lt;=DH$19,      ($A$17+$DI$17)&gt;DH$19    ),   AND($C46&lt;&gt;10000000,  DH$19&gt;=$DX46,    DH$19&lt;=($DY46+$DI$17)  ))   ,$DW46,  "")</f>
        <v/>
      </c>
      <c r="DI46" s="106" t="str">
        <f aca="false">IF(    OR(   AND($C46=10000000,    $A$17&lt;=DI$19,      ($A$17+$DI$17)&gt;DI$19    ),   AND($C46&lt;&gt;10000000,  DI$19&gt;=$DX46,    DI$19&lt;=($DY46+$DI$17)  ))   ,$DW46,  "")</f>
        <v/>
      </c>
      <c r="DJ46" s="74" t="str">
        <f aca="false">IF(BC46="","",IF(ISERROR(FIND(CHAR(10),BC46,1)),BC46,LEFT(BC46,FIND(CHAR(10),BC46,1))))</f>
        <v/>
      </c>
      <c r="DK46" s="61" t="str">
        <f aca="false">IF(BC46="","",IFERROR(RIGHT(BC46,LEN(BC46)-FIND("@@@",SUBSTITUTE(BC46,CHAR(10),"@@@",LEN(BC46)-LEN(SUBSTITUTE(BC46,CHAR(10),""))),1)),BC46))</f>
        <v/>
      </c>
      <c r="DL46" s="61" t="str">
        <f aca="false">IF(BD46="","",IFERROR(RIGHT(BD46,LEN(BD46)-FIND("@@@",SUBSTITUTE(BD46,CHAR(10),"@@@",LEN(BD46)-LEN(SUBSTITUTE(BD46,CHAR(10),""))),1)),BD46))</f>
        <v/>
      </c>
      <c r="DM46" s="107" t="str">
        <f aca="false">IFERROR(DATE(("20"&amp;MID(DJ46,7,2))*1,MID(DJ46,4,2)*1,MID(DJ46,1,2)*1),"none")</f>
        <v>none</v>
      </c>
      <c r="DN46" s="107" t="str">
        <f aca="false">IFERROR(DATE(("20"&amp;MID(DK46,7,2))*1,MID(DK46,4,2)*1,MID(DK46,1,2)*1),"none")</f>
        <v>none</v>
      </c>
      <c r="DO46" s="107" t="n">
        <f aca="false">IF(DM46&lt;&gt;"none",DM46,DATE(1900,1,1))</f>
        <v>2</v>
      </c>
      <c r="DP46" s="107" t="n">
        <f aca="false">IF(DN46&lt;&gt;"none",DN46,DO46)</f>
        <v>2</v>
      </c>
      <c r="DQ46" s="108" t="n">
        <f aca="false">_xlfn.DAYS($A$17,DO46)</f>
        <v>46319</v>
      </c>
      <c r="DR46" s="108" t="n">
        <f aca="false">_xlfn.DAYS($A$17, DP46)</f>
        <v>46319</v>
      </c>
      <c r="DS46" s="60" t="n">
        <f aca="false">IF(DP46&lt;&gt;"",INT(DR46/7),0)</f>
        <v>6617</v>
      </c>
      <c r="DT46" s="108" t="n">
        <f aca="false">IF(N46="Overdue",_xlfn.DAYS($A$17,AM46),0)</f>
        <v>0</v>
      </c>
      <c r="DU46" s="108" t="n">
        <f aca="false">IF(AI46="Project",_xlfn.DAYS(AM46,$A$17),0)</f>
        <v>0</v>
      </c>
      <c r="DV46" s="60" t="str">
        <f aca="false">IFERROR(INDEX(Static!$D$5:$E$13,MATCH(AI46,Static!$D$5:$D$13,0),2),"")</f>
        <v/>
      </c>
      <c r="DW46" s="60" t="str">
        <f aca="false">IF(C46=10000000,"Red",IF(OR(C46=11000000,C46=12000000),"Black",IF(C46=11100000,"Dark",IF(AND(C46=12100000,N46="Completed"),"Green",IF(AND(C46=12100000,N46="Overdue"),"Red",IF(C46=12100000,"Dark",IF(AND(C46=12110000,N46="Overdue"),"LightRed",IF(AND(C46=12110000,N46="Completed"),"LightGreen",IF(OR(C46=11110000,C46=12110000),"Light",IF(AND(C46=12111000,N46="Overdue"),"SoftRed",IF(AND(C46=12111000,N46="Completed"),"SoftGreen",IF(OR(C46=11111000,C46=12111000),"Grey",""))))))))))))</f>
        <v/>
      </c>
      <c r="DX46" s="58" t="n">
        <f aca="false">IF(AL46&lt;&gt;"",AL46,$BJ$19)</f>
        <v>45658</v>
      </c>
      <c r="DY46" s="58" t="n">
        <f aca="false">IF(AM46&lt;&gt;"",AM46,$DI$19)</f>
        <v>46387</v>
      </c>
      <c r="DZ46" s="62" t="s">
        <v>364</v>
      </c>
    </row>
    <row r="47" customFormat="false" ht="14.15" hidden="false" customHeight="true" outlineLevel="0" collapsed="false">
      <c r="A47" s="54"/>
      <c r="B47" s="61" t="n">
        <f aca="false">AI47</f>
        <v>0</v>
      </c>
      <c r="C47" s="60" t="n">
        <f aca="false">IFERROR(INDEX(Static!$D$5:$F$13,MATCH(AI47,Static!$D$5:$D$13,0),3),90000000)</f>
        <v>90000000</v>
      </c>
      <c r="D47" s="60" t="str">
        <f aca="false">MID(C47,2,1)</f>
        <v>0</v>
      </c>
      <c r="E47" s="61" t="str">
        <f aca="false">AC47</f>
        <v/>
      </c>
      <c r="F47" s="60" t="n">
        <f aca="false">IF(B47="Venture",0,IF(OR(B47="Project",B47="Stream",B47="Action"),AL47,0))</f>
        <v>0</v>
      </c>
      <c r="G47" s="60" t="n">
        <f aca="false">AT47</f>
        <v>0</v>
      </c>
      <c r="H47" s="60" t="n">
        <f aca="false">IF(B47="Venture",0,IFERROR(INDEX($E$20:$F$55,MATCH(G47,$E$20:$E$55,0),2),0))</f>
        <v>0</v>
      </c>
      <c r="I47" s="60" t="str">
        <f aca="false">IF(B47="Venture",0,IFERROR(INDEX($E$20:$G$55,MATCH(G47,$E$20:$E$55,0),3),""))</f>
        <v/>
      </c>
      <c r="J47" s="60" t="n">
        <f aca="false">IF(B47="Venture",0,IFERROR(INDEX($E$20:$H$55,MATCH(G47,$E$20:$E$55,0),4),0))</f>
        <v>0</v>
      </c>
      <c r="K47" s="60" t="n">
        <f aca="false">IF(B47="Venture",0,IFERROR(INDEX($E$20:$G$55,MATCH(I47,$E$20:$E$55,0),3),""))</f>
        <v>0</v>
      </c>
      <c r="L47" s="60" t="n">
        <f aca="false">IF(C47="Venture",0,IFERROR(INDEX($E$20:$G$55,MATCH(J47,$E$20:$E$55,0),4),0))</f>
        <v>0</v>
      </c>
      <c r="M47" s="60" t="str">
        <f aca="false">IF(N47="Completed","Completed","Ongoing")</f>
        <v>Ongoing</v>
      </c>
      <c r="N47" s="60" t="n">
        <f aca="false">IF(OR(AI47="Venture",AI47="Routine",AI47="Run Goal", AI47="Chg Goal", AI47=""),AI47,IF(AO47&lt;&gt;"","Completed",IF(AN47&lt;&gt;"","Pending",IF(AND(AM47&lt;&gt;"",$A$17&gt;AM47),"Overdue",IF($A$17&gt;AL47,"Started","Open")))))</f>
        <v>0</v>
      </c>
      <c r="O47" s="59" t="n">
        <f aca="false">((LEN($BD47)-LEN(SUBSTITUTE($BD47,CHAR(10)&amp;". ","")))/3)+IF(LEFT(TRIM($BD47),2)=". ",1,0)</f>
        <v>0</v>
      </c>
      <c r="P47" s="59" t="n">
        <f aca="false">((LEN($BD47)-LEN(SUBSTITUTE($BD47,CHAR(10)&amp;"/ ","")))/3)+IF(LEFT(TRIM($BD47),2)="/ ",1,0)</f>
        <v>0</v>
      </c>
      <c r="Q47" s="59" t="n">
        <f aca="false">((LEN($BD47)-LEN(SUBSTITUTE($BD47,CHAR(10)&amp;"~ ","")))/3)+IF(LEFT(TRIM($BD47),2)="~ ",1,0)</f>
        <v>0</v>
      </c>
      <c r="R47" s="59" t="n">
        <f aca="false">((LEN($BD47)-LEN(SUBSTITUTE($BD47,CHAR(10)&amp;"! ","")))/3)+IF(LEFT(TRIM($BD47),2)="! ",1,0)</f>
        <v>0</v>
      </c>
      <c r="S47" s="59" t="n">
        <f aca="false">((LEN($BD47)-LEN(SUBSTITUTE($BD47,CHAR(10)&amp;"x ","")))/3)+IF(LEFT(TRIM($BD47),2)="x ",1,0)</f>
        <v>0</v>
      </c>
      <c r="T47" s="59" t="n">
        <f aca="false">SUM(O47:S47)</f>
        <v>0</v>
      </c>
      <c r="U47" s="60" t="n">
        <f aca="false">IF(OR($B47="Drill",$B47="Action"),$AP47,0)</f>
        <v>0</v>
      </c>
      <c r="V47" s="60" t="n">
        <f aca="false">IF(OR($B47="Sub",$B47="Stream"),$AP47+SUMIFS($AP$20:$AP$55,$G$20:$G$55,$E47),0)</f>
        <v>0</v>
      </c>
      <c r="W47" s="60" t="n">
        <f aca="false">IF(OR($B47="Routine",$B47="Project"),$AP47+SUMIFS($V$20:$V$55,$G$20:$G$55,$E47),0)</f>
        <v>0</v>
      </c>
      <c r="X47" s="60" t="n">
        <f aca="false">IF($B47="Venture",$AP47+SUMIFS($W$20:$W$55,$G$20:$G$55,$E47),0)</f>
        <v>0</v>
      </c>
      <c r="Y47" s="60" t="n">
        <f aca="false">IF(OR($B47="Drill",$B47="Action"),$AQ47,0)</f>
        <v>0</v>
      </c>
      <c r="Z47" s="60" t="n">
        <f aca="false">IF(OR($B47="Sub",$B47="Stream"),$AQ47+SUMIFS($AQ$20:$AQ$55,$G$20:$G$55,$E47),0)</f>
        <v>0</v>
      </c>
      <c r="AA47" s="60" t="n">
        <f aca="false">IF(OR($B47="Routine",$B47="Project"),$AQ47+SUMIFS($Z$20:$Z$55,$G$20:$G$55,$E47),0)</f>
        <v>0</v>
      </c>
      <c r="AB47" s="60" t="n">
        <f aca="false">IF($B47="Venture",$AQ47+SUMIFS($AA$20:$AA$55,$G$20:$G$55,$E47),0)</f>
        <v>0</v>
      </c>
      <c r="AC47" s="60" t="str">
        <f aca="false">IF(AI47="Venture",AJ47,AI47&amp;AJ47)</f>
        <v/>
      </c>
      <c r="AD47" s="61" t="str">
        <f aca="false">"  -  "&amp;IF(E47="","ZZZ",D47&amp;AF47&amp;IF(OR(B47="Run Goal",B47="Chg Goal", B47="Venture"),F47&amp;E47,IF(OR(B47="Routine",B47="Project"),H47&amp;G47&amp;F47&amp;E47,  IF(OR(B47="Sub",B47="Stream"),J47&amp;I47&amp;H47&amp;G47&amp;F47&amp;E47,IF(OR(B47="Drill",B47="Action"),L47&amp;K47&amp;J47&amp;I47&amp;H47&amp;G47&amp;F47&amp;E47,     "") )    )))</f>
        <v>  -  ZZZ</v>
      </c>
      <c r="AE47" s="60" t="str">
        <f aca="false">IF(AND(AN47="",AO47=""),"Y","N")</f>
        <v>Y</v>
      </c>
      <c r="AF47" s="99" t="str">
        <f aca="false">IF(OR(AG47="Y",AG47="Y"),AG47,IF(DN47="none","N",IF(DN47&gt;($A$17-WEEKDAY($A$17,2)-(7*$AF$18)),"Y","N")))</f>
        <v>N</v>
      </c>
      <c r="AG47" s="100"/>
      <c r="AH47" s="101"/>
      <c r="AI47" s="62"/>
      <c r="AJ47" s="64"/>
      <c r="AK47" s="64"/>
      <c r="AL47" s="70"/>
      <c r="AM47" s="70"/>
      <c r="AN47" s="70"/>
      <c r="AO47" s="70"/>
      <c r="AP47" s="102"/>
      <c r="AQ47" s="102"/>
      <c r="AR47" s="62"/>
      <c r="AS47" s="62"/>
      <c r="AT47" s="62"/>
      <c r="AU47" s="62"/>
      <c r="AV47" s="62"/>
      <c r="AW47" s="62"/>
      <c r="AX47" s="62"/>
      <c r="AY47" s="62"/>
      <c r="AZ47" s="62"/>
      <c r="BA47" s="62"/>
      <c r="BB47" s="54"/>
      <c r="BC47" s="103"/>
      <c r="BD47" s="54"/>
      <c r="BE47" s="60" t="n">
        <f aca="false">SUM(O47:R47)</f>
        <v>0</v>
      </c>
      <c r="BF47" s="66" t="n">
        <f aca="false">IF(AJ47="",1,IF(T47&lt;&gt;0,(P47*0.5+S47)/T47,1))</f>
        <v>1</v>
      </c>
      <c r="BG47" s="69" t="str">
        <f aca="false">IF(AI47="","",IF(AI47="Venture",X47,IF(OR(AI47="Chg Goal",AI47="RUn Goal"),W47,IF(OR(AI47="ROutine",AI47="Project"),W47,IF(OR(AI47="Sub",AI47="Stream"),V47,IF(OR(AI47="Drill",AI47="Action"),U47,0))))))</f>
        <v/>
      </c>
      <c r="BH47" s="69" t="str">
        <f aca="false">IF(AI47="","",IF(AI47="Venture",AB47,IF(OR(AI47="Chg Goal",AI47="RUn Goal"),AA47,IF(OR(AI47="ROutine",AI47="Project"),AA47,IF(OR(AI47="Sub",AI47="Stream"),Z47,IF(OR(AI47="Drill",AI47="Action"),Y47,0))))))</f>
        <v/>
      </c>
      <c r="BI47" s="104" t="str">
        <f aca="false">IF(AJ47="","",IF(OR(BG47=0, BG47=""),0,BH47/BG47))</f>
        <v/>
      </c>
      <c r="BJ47" s="105" t="str">
        <f aca="false">IF(    OR(   AND($C47=10000000,    BJ$19&gt;=$A$17,      BJ$19 &lt;($A$17+$DI$17)   ),   AND($C47&lt;&gt;10000000,  BJ$19&gt;=$DX47,    BJ$19&lt;=($DY47+$DI$17)  ))   ,$DW47,  "")</f>
        <v/>
      </c>
      <c r="BK47" s="106" t="str">
        <f aca="false">IF(    OR(   AND($C47=10000000,    $A$17&lt;=BK$19,      ($A$17+$DI$17)&gt;BK$19    ),   AND($C47&lt;&gt;10000000,  BK$19&gt;=$DX47,    BK$19&lt;=($DY47+$DI$17)  ))   ,$DW47,  "")</f>
        <v/>
      </c>
      <c r="BL47" s="106" t="str">
        <f aca="false">IF(    OR(   AND($C47=10000000,    $A$17&lt;=BL$19,      ($A$17+$DI$17)&gt;BL$19    ),   AND($C47&lt;&gt;10000000,  BL$19&gt;=$DX47,    BL$19&lt;=($DY47+$DI$17)  ))   ,$DW47,  "")</f>
        <v/>
      </c>
      <c r="BM47" s="106" t="str">
        <f aca="false">IF(    OR(   AND($C47=10000000,    $A$17&lt;=BM$19,      ($A$17+$DI$17)&gt;BM$19    ),   AND($C47&lt;&gt;10000000,  BM$19&gt;=$DX47,    BM$19&lt;=($DY47+$DI$17)  ))   ,$DW47,  "")</f>
        <v/>
      </c>
      <c r="BN47" s="106" t="str">
        <f aca="false">IF(    OR(   AND($C47=10000000,    $A$17&lt;=BN$19,      ($A$17+$DI$17)&gt;BN$19    ),   AND($C47&lt;&gt;10000000,  BN$19&gt;=$DX47,    BN$19&lt;=($DY47+$DI$17)  ))   ,$DW47,  "")</f>
        <v/>
      </c>
      <c r="BO47" s="106" t="str">
        <f aca="false">IF(    OR(   AND($C47=10000000,    $A$17&lt;=BO$19,      ($A$17+$DI$17)&gt;BO$19    ),   AND($C47&lt;&gt;10000000,  BO$19&gt;=$DX47,    BO$19&lt;=($DY47+$DI$17)  ))   ,$DW47,  "")</f>
        <v/>
      </c>
      <c r="BP47" s="106" t="str">
        <f aca="false">IF(    OR(   AND($C47=10000000,    $A$17&lt;=BP$19,      ($A$17+$DI$17)&gt;BP$19    ),   AND($C47&lt;&gt;10000000,  BP$19&gt;=$DX47,    BP$19&lt;=($DY47+$DI$17)  ))   ,$DW47,  "")</f>
        <v/>
      </c>
      <c r="BQ47" s="106" t="str">
        <f aca="false">IF(    OR(   AND($C47=10000000,    $A$17&lt;=BQ$19,      ($A$17+$DI$17)&gt;BQ$19    ),   AND($C47&lt;&gt;10000000,  BQ$19&gt;=$DX47,    BQ$19&lt;=($DY47+$DI$17)  ))   ,$DW47,  "")</f>
        <v/>
      </c>
      <c r="BR47" s="106" t="str">
        <f aca="false">IF(    OR(   AND($C47=10000000,    $A$17&lt;=BR$19,      ($A$17+$DI$17)&gt;BR$19    ),   AND($C47&lt;&gt;10000000,  BR$19&gt;=$DX47,    BR$19&lt;=($DY47+$DI$17)  ))   ,$DW47,  "")</f>
        <v/>
      </c>
      <c r="BS47" s="106" t="str">
        <f aca="false">IF(    OR(   AND($C47=10000000,    $A$17&lt;=BS$19,      ($A$17+$DI$17)&gt;BS$19    ),   AND($C47&lt;&gt;10000000,  BS$19&gt;=$DX47,    BS$19&lt;=($DY47+$DI$17)  ))   ,$DW47,  "")</f>
        <v/>
      </c>
      <c r="BT47" s="106" t="str">
        <f aca="false">IF(    OR(   AND($C47=10000000,    $A$17&lt;=BT$19,      ($A$17+$DI$17)&gt;BT$19    ),   AND($C47&lt;&gt;10000000,  BT$19&gt;=$DX47,    BT$19&lt;=($DY47+$DI$17)  ))   ,$DW47,  "")</f>
        <v/>
      </c>
      <c r="BU47" s="106" t="str">
        <f aca="false">IF(    OR(   AND($C47=10000000,    $A$17&lt;=BU$19,      ($A$17+$DI$17)&gt;BU$19    ),   AND($C47&lt;&gt;10000000,  BU$19&gt;=$DX47,    BU$19&lt;=($DY47+$DI$17)  ))   ,$DW47,  "")</f>
        <v/>
      </c>
      <c r="BV47" s="106" t="str">
        <f aca="false">IF(    OR(   AND($C47=10000000,    $A$17&lt;=BV$19,      ($A$17+$DI$17)&gt;BV$19    ),   AND($C47&lt;&gt;10000000,  BV$19&gt;=$DX47,    BV$19&lt;=($DY47+$DI$17)  ))   ,$DW47,  "")</f>
        <v/>
      </c>
      <c r="BW47" s="106" t="str">
        <f aca="false">IF(    OR(   AND($C47=10000000,    $A$17&lt;=BW$19,      ($A$17+$DI$17)&gt;BW$19    ),   AND($C47&lt;&gt;10000000,  BW$19&gt;=$DX47,    BW$19&lt;=($DY47+$DI$17)  ))   ,$DW47,  "")</f>
        <v/>
      </c>
      <c r="BX47" s="106" t="str">
        <f aca="false">IF(    OR(   AND($C47=10000000,    $A$17&lt;=BX$19,      ($A$17+$DI$17)&gt;BX$19    ),   AND($C47&lt;&gt;10000000,  BX$19&gt;=$DX47,    BX$19&lt;=($DY47+$DI$17)  ))   ,$DW47,  "")</f>
        <v/>
      </c>
      <c r="BY47" s="106" t="str">
        <f aca="false">IF(    OR(   AND($C47=10000000,    $A$17&lt;=BY$19,      ($A$17+$DI$17)&gt;BY$19    ),   AND($C47&lt;&gt;10000000,  BY$19&gt;=$DX47,    BY$19&lt;=($DY47+$DI$17)  ))   ,$DW47,  "")</f>
        <v/>
      </c>
      <c r="BZ47" s="106" t="str">
        <f aca="false">IF(    OR(   AND($C47=10000000,    $A$17&lt;=BZ$19,      ($A$17+$DI$17)&gt;BZ$19    ),   AND($C47&lt;&gt;10000000,  BZ$19&gt;=$DX47,    BZ$19&lt;=($DY47+$DI$17)  ))   ,$DW47,  "")</f>
        <v/>
      </c>
      <c r="CA47" s="106" t="str">
        <f aca="false">IF(    OR(   AND($C47=10000000,    $A$17&lt;=CA$19,      ($A$17+$DI$17)&gt;CA$19    ),   AND($C47&lt;&gt;10000000,  CA$19&gt;=$DX47,    CA$19&lt;=($DY47+$DI$17)  ))   ,$DW47,  "")</f>
        <v/>
      </c>
      <c r="CB47" s="106" t="str">
        <f aca="false">IF(    OR(   AND($C47=10000000,    $A$17&lt;=CB$19,      ($A$17+$DI$17)&gt;CB$19    ),   AND($C47&lt;&gt;10000000,  CB$19&gt;=$DX47,    CB$19&lt;=($DY47+$DI$17)  ))   ,$DW47,  "")</f>
        <v/>
      </c>
      <c r="CC47" s="106" t="str">
        <f aca="false">IF(    OR(   AND($C47=10000000,    $A$17&lt;=CC$19,      ($A$17+$DI$17)&gt;CC$19    ),   AND($C47&lt;&gt;10000000,  CC$19&gt;=$DX47,    CC$19&lt;=($DY47+$DI$17)  ))   ,$DW47,  "")</f>
        <v/>
      </c>
      <c r="CD47" s="106" t="str">
        <f aca="false">IF(    OR(   AND($C47=10000000,    $A$17&lt;=CD$19,      ($A$17+$DI$17)&gt;CD$19    ),   AND($C47&lt;&gt;10000000,  CD$19&gt;=$DX47,    CD$19&lt;=($DY47+$DI$17)  ))   ,$DW47,  "")</f>
        <v/>
      </c>
      <c r="CE47" s="106" t="str">
        <f aca="false">IF(    OR(   AND($C47=10000000,    $A$17&lt;=CE$19,      ($A$17+$DI$17)&gt;CE$19    ),   AND($C47&lt;&gt;10000000,  CE$19&gt;=$DX47,    CE$19&lt;=($DY47+$DI$17)  ))   ,$DW47,  "")</f>
        <v/>
      </c>
      <c r="CF47" s="106" t="str">
        <f aca="false">IF(    OR(   AND($C47=10000000,    $A$17&lt;=CF$19,      ($A$17+$DI$17)&gt;CF$19    ),   AND($C47&lt;&gt;10000000,  CF$19&gt;=$DX47,    CF$19&lt;=($DY47+$DI$17)  ))   ,$DW47,  "")</f>
        <v/>
      </c>
      <c r="CG47" s="106" t="str">
        <f aca="false">IF(    OR(   AND($C47=10000000,    $A$17&lt;=CG$19,      ($A$17+$DI$17)&gt;CG$19    ),   AND($C47&lt;&gt;10000000,  CG$19&gt;=$DX47,    CG$19&lt;=($DY47+$DI$17)  ))   ,$DW47,  "")</f>
        <v/>
      </c>
      <c r="CH47" s="106" t="str">
        <f aca="false">IF(    OR(   AND($C47=10000000,    $A$17&lt;=CH$19,      ($A$17+$DI$17)&gt;CH$19    ),   AND($C47&lt;&gt;10000000,  CH$19&gt;=$DX47,    CH$19&lt;=($DY47+$DI$17)  ))   ,$DW47,  "")</f>
        <v/>
      </c>
      <c r="CI47" s="106" t="str">
        <f aca="false">IF(    OR(   AND($C47=10000000,    $A$17&lt;=CI$19,      ($A$17+$DI$17)&gt;CI$19    ),   AND($C47&lt;&gt;10000000,  CI$19&gt;=$DX47,    CI$19&lt;=($DY47+$DI$17)  ))   ,$DW47,  "")</f>
        <v/>
      </c>
      <c r="CJ47" s="106" t="str">
        <f aca="false">IF(    OR(   AND($C47=10000000,    $A$17&lt;=CJ$19,      ($A$17+$DI$17)&gt;CJ$19    ),   AND($C47&lt;&gt;10000000,  CJ$19&gt;=$DX47,    CJ$19&lt;=($DY47+$DI$17)  ))   ,$DW47,  "")</f>
        <v/>
      </c>
      <c r="CK47" s="106" t="str">
        <f aca="false">IF(    OR(   AND($C47=10000000,    $A$17&lt;=CK$19,      ($A$17+$DI$17)&gt;CK$19    ),   AND($C47&lt;&gt;10000000,  CK$19&gt;=$DX47,    CK$19&lt;=($DY47+$DI$17)  ))   ,$DW47,  "")</f>
        <v/>
      </c>
      <c r="CL47" s="106" t="str">
        <f aca="false">IF(    OR(   AND($C47=10000000,    $A$17&lt;=CL$19,      ($A$17+$DI$17)&gt;CL$19    ),   AND($C47&lt;&gt;10000000,  CL$19&gt;=$DX47,    CL$19&lt;=($DY47+$DI$17)  ))   ,$DW47,  "")</f>
        <v/>
      </c>
      <c r="CM47" s="106" t="str">
        <f aca="false">IF(    OR(   AND($C47=10000000,    $A$17&lt;=CM$19,      ($A$17+$DI$17)&gt;CM$19    ),   AND($C47&lt;&gt;10000000,  CM$19&gt;=$DX47,    CM$19&lt;=($DY47+$DI$17)  ))   ,$DW47,  "")</f>
        <v/>
      </c>
      <c r="CN47" s="106" t="str">
        <f aca="false">IF(    OR(   AND($C47=10000000,    $A$17&lt;=CN$19,      ($A$17+$DI$17)&gt;CN$19    ),   AND($C47&lt;&gt;10000000,  CN$19&gt;=$DX47,    CN$19&lt;=($DY47+$DI$17)  ))   ,$DW47,  "")</f>
        <v/>
      </c>
      <c r="CO47" s="106" t="str">
        <f aca="false">IF(    OR(   AND($C47=10000000,    $A$17&lt;=CO$19,      ($A$17+$DI$17)&gt;CO$19    ),   AND($C47&lt;&gt;10000000,  CO$19&gt;=$DX47,    CO$19&lt;=($DY47+$DI$17)  ))   ,$DW47,  "")</f>
        <v/>
      </c>
      <c r="CP47" s="106" t="str">
        <f aca="false">IF(    OR(   AND($C47=10000000,    $A$17&lt;=CP$19,      ($A$17+$DI$17)&gt;CP$19    ),   AND($C47&lt;&gt;10000000,  CP$19&gt;=$DX47,    CP$19&lt;=($DY47+$DI$17)  ))   ,$DW47,  "")</f>
        <v/>
      </c>
      <c r="CQ47" s="106" t="str">
        <f aca="false">IF(    OR(   AND($C47=10000000,    $A$17&lt;=CQ$19,      ($A$17+$DI$17)&gt;CQ$19    ),   AND($C47&lt;&gt;10000000,  CQ$19&gt;=$DX47,    CQ$19&lt;=($DY47+$DI$17)  ))   ,$DW47,  "")</f>
        <v/>
      </c>
      <c r="CR47" s="106" t="str">
        <f aca="false">IF(    OR(   AND($C47=10000000,    $A$17&lt;=CR$19,      ($A$17+$DI$17)&gt;CR$19    ),   AND($C47&lt;&gt;10000000,  CR$19&gt;=$DX47,    CR$19&lt;=($DY47+$DI$17)  ))   ,$DW47,  "")</f>
        <v/>
      </c>
      <c r="CS47" s="106" t="str">
        <f aca="false">IF(    OR(   AND($C47=10000000,    $A$17&lt;=CS$19,      ($A$17+$DI$17)&gt;CS$19    ),   AND($C47&lt;&gt;10000000,  CS$19&gt;=$DX47,    CS$19&lt;=($DY47+$DI$17)  ))   ,$DW47,  "")</f>
        <v/>
      </c>
      <c r="CT47" s="106" t="str">
        <f aca="false">IF(    OR(   AND($C47=10000000,    $A$17&lt;=CT$19,      ($A$17+$DI$17)&gt;CT$19    ),   AND($C47&lt;&gt;10000000,  CT$19&gt;=$DX47,    CT$19&lt;=($DY47+$DI$17)  ))   ,$DW47,  "")</f>
        <v/>
      </c>
      <c r="CU47" s="106" t="str">
        <f aca="false">IF(    OR(   AND($C47=10000000,    $A$17&lt;=CU$19,      ($A$17+$DI$17)&gt;CU$19    ),   AND($C47&lt;&gt;10000000,  CU$19&gt;=$DX47,    CU$19&lt;=($DY47+$DI$17)  ))   ,$DW47,  "")</f>
        <v/>
      </c>
      <c r="CV47" s="106" t="str">
        <f aca="false">IF(    OR(   AND($C47=10000000,    $A$17&lt;=CV$19,      ($A$17+$DI$17)&gt;CV$19    ),   AND($C47&lt;&gt;10000000,  CV$19&gt;=$DX47,    CV$19&lt;=($DY47+$DI$17)  ))   ,$DW47,  "")</f>
        <v/>
      </c>
      <c r="CW47" s="106" t="str">
        <f aca="false">IF(    OR(   AND($C47=10000000,    $A$17&lt;=CW$19,      ($A$17+$DI$17)&gt;CW$19    ),   AND($C47&lt;&gt;10000000,  CW$19&gt;=$DX47,    CW$19&lt;=($DY47+$DI$17)  ))   ,$DW47,  "")</f>
        <v/>
      </c>
      <c r="CX47" s="106" t="str">
        <f aca="false">IF(    OR(   AND($C47=10000000,    $A$17&lt;=CX$19,      ($A$17+$DI$17)&gt;CX$19    ),   AND($C47&lt;&gt;10000000,  CX$19&gt;=$DX47,    CX$19&lt;=($DY47+$DI$17)  ))   ,$DW47,  "")</f>
        <v/>
      </c>
      <c r="CY47" s="106" t="str">
        <f aca="false">IF(    OR(   AND($C47=10000000,    $A$17&lt;=CY$19,      ($A$17+$DI$17)&gt;CY$19    ),   AND($C47&lt;&gt;10000000,  CY$19&gt;=$DX47,    CY$19&lt;=($DY47+$DI$17)  ))   ,$DW47,  "")</f>
        <v/>
      </c>
      <c r="CZ47" s="106" t="str">
        <f aca="false">IF(    OR(   AND($C47=10000000,    $A$17&lt;=CZ$19,      ($A$17+$DI$17)&gt;CZ$19    ),   AND($C47&lt;&gt;10000000,  CZ$19&gt;=$DX47,    CZ$19&lt;=($DY47+$DI$17)  ))   ,$DW47,  "")</f>
        <v/>
      </c>
      <c r="DA47" s="106" t="str">
        <f aca="false">IF(    OR(   AND($C47=10000000,    $A$17&lt;=DA$19,      ($A$17+$DI$17)&gt;DA$19    ),   AND($C47&lt;&gt;10000000,  DA$19&gt;=$DX47,    DA$19&lt;=($DY47+$DI$17)  ))   ,$DW47,  "")</f>
        <v/>
      </c>
      <c r="DB47" s="106" t="str">
        <f aca="false">IF(    OR(   AND($C47=10000000,    $A$17&lt;=DB$19,      ($A$17+$DI$17)&gt;DB$19    ),   AND($C47&lt;&gt;10000000,  DB$19&gt;=$DX47,    DB$19&lt;=($DY47+$DI$17)  ))   ,$DW47,  "")</f>
        <v/>
      </c>
      <c r="DC47" s="106" t="str">
        <f aca="false">IF(    OR(   AND($C47=10000000,    $A$17&lt;=DC$19,      ($A$17+$DI$17)&gt;DC$19    ),   AND($C47&lt;&gt;10000000,  DC$19&gt;=$DX47,    DC$19&lt;=($DY47+$DI$17)  ))   ,$DW47,  "")</f>
        <v/>
      </c>
      <c r="DD47" s="106" t="str">
        <f aca="false">IF(    OR(   AND($C47=10000000,    $A$17&lt;=DD$19,      ($A$17+$DI$17)&gt;DD$19    ),   AND($C47&lt;&gt;10000000,  DD$19&gt;=$DX47,    DD$19&lt;=($DY47+$DI$17)  ))   ,$DW47,  "")</f>
        <v/>
      </c>
      <c r="DE47" s="106" t="str">
        <f aca="false">IF(    OR(   AND($C47=10000000,    $A$17&lt;=DE$19,      ($A$17+$DI$17)&gt;DE$19    ),   AND($C47&lt;&gt;10000000,  DE$19&gt;=$DX47,    DE$19&lt;=($DY47+$DI$17)  ))   ,$DW47,  "")</f>
        <v/>
      </c>
      <c r="DF47" s="106" t="str">
        <f aca="false">IF(    OR(   AND($C47=10000000,    $A$17&lt;=DF$19,      ($A$17+$DI$17)&gt;DF$19    ),   AND($C47&lt;&gt;10000000,  DF$19&gt;=$DX47,    DF$19&lt;=($DY47+$DI$17)  ))   ,$DW47,  "")</f>
        <v/>
      </c>
      <c r="DG47" s="106" t="str">
        <f aca="false">IF(    OR(   AND($C47=10000000,    $A$17&lt;=DG$19,      ($A$17+$DI$17)&gt;DG$19    ),   AND($C47&lt;&gt;10000000,  DG$19&gt;=$DX47,    DG$19&lt;=($DY47+$DI$17)  ))   ,$DW47,  "")</f>
        <v/>
      </c>
      <c r="DH47" s="106" t="str">
        <f aca="false">IF(    OR(   AND($C47=10000000,    $A$17&lt;=DH$19,      ($A$17+$DI$17)&gt;DH$19    ),   AND($C47&lt;&gt;10000000,  DH$19&gt;=$DX47,    DH$19&lt;=($DY47+$DI$17)  ))   ,$DW47,  "")</f>
        <v/>
      </c>
      <c r="DI47" s="106" t="str">
        <f aca="false">IF(    OR(   AND($C47=10000000,    $A$17&lt;=DI$19,      ($A$17+$DI$17)&gt;DI$19    ),   AND($C47&lt;&gt;10000000,  DI$19&gt;=$DX47,    DI$19&lt;=($DY47+$DI$17)  ))   ,$DW47,  "")</f>
        <v/>
      </c>
      <c r="DJ47" s="74" t="str">
        <f aca="false">IF(BC47="","",IF(ISERROR(FIND(CHAR(10),BC47,1)),BC47,LEFT(BC47,FIND(CHAR(10),BC47,1))))</f>
        <v/>
      </c>
      <c r="DK47" s="61" t="str">
        <f aca="false">IF(BC47="","",IFERROR(RIGHT(BC47,LEN(BC47)-FIND("@@@",SUBSTITUTE(BC47,CHAR(10),"@@@",LEN(BC47)-LEN(SUBSTITUTE(BC47,CHAR(10),""))),1)),BC47))</f>
        <v/>
      </c>
      <c r="DL47" s="61" t="str">
        <f aca="false">IF(BD47="","",IFERROR(RIGHT(BD47,LEN(BD47)-FIND("@@@",SUBSTITUTE(BD47,CHAR(10),"@@@",LEN(BD47)-LEN(SUBSTITUTE(BD47,CHAR(10),""))),1)),BD47))</f>
        <v/>
      </c>
      <c r="DM47" s="107" t="str">
        <f aca="false">IFERROR(DATE(("20"&amp;MID(DJ47,7,2))*1,MID(DJ47,4,2)*1,MID(DJ47,1,2)*1),"none")</f>
        <v>none</v>
      </c>
      <c r="DN47" s="107" t="str">
        <f aca="false">IFERROR(DATE(("20"&amp;MID(DK47,7,2))*1,MID(DK47,4,2)*1,MID(DK47,1,2)*1),"none")</f>
        <v>none</v>
      </c>
      <c r="DO47" s="107" t="n">
        <f aca="false">IF(DM47&lt;&gt;"none",DM47,DATE(1900,1,1))</f>
        <v>2</v>
      </c>
      <c r="DP47" s="107" t="n">
        <f aca="false">IF(DN47&lt;&gt;"none",DN47,DO47)</f>
        <v>2</v>
      </c>
      <c r="DQ47" s="108" t="n">
        <f aca="false">_xlfn.DAYS($A$17,DO47)</f>
        <v>46319</v>
      </c>
      <c r="DR47" s="108" t="n">
        <f aca="false">_xlfn.DAYS($A$17, DP47)</f>
        <v>46319</v>
      </c>
      <c r="DS47" s="60" t="n">
        <f aca="false">IF(DP47&lt;&gt;"",INT(DR47/7),0)</f>
        <v>6617</v>
      </c>
      <c r="DT47" s="108" t="n">
        <f aca="false">IF(N47="Overdue",_xlfn.DAYS($A$17,AM47),0)</f>
        <v>0</v>
      </c>
      <c r="DU47" s="108" t="n">
        <f aca="false">IF(AI47="Project",_xlfn.DAYS(AM47,$A$17),0)</f>
        <v>0</v>
      </c>
      <c r="DV47" s="60" t="str">
        <f aca="false">IFERROR(INDEX(Static!$D$5:$E$13,MATCH(AI47,Static!$D$5:$D$13,0),2),"")</f>
        <v/>
      </c>
      <c r="DW47" s="60" t="str">
        <f aca="false">IF(C47=10000000,"Red",IF(OR(C47=11000000,C47=12000000),"Black",IF(C47=11100000,"Dark",IF(AND(C47=12100000,N47="Completed"),"Green",IF(AND(C47=12100000,N47="Overdue"),"Red",IF(C47=12100000,"Dark",IF(AND(C47=12110000,N47="Overdue"),"LightRed",IF(AND(C47=12110000,N47="Completed"),"LightGreen",IF(OR(C47=11110000,C47=12110000),"Light",IF(AND(C47=12111000,N47="Overdue"),"SoftRed",IF(AND(C47=12111000,N47="Completed"),"SoftGreen",IF(OR(C47=11111000,C47=12111000),"Grey",""))))))))))))</f>
        <v/>
      </c>
      <c r="DX47" s="58" t="n">
        <f aca="false">IF(AL47&lt;&gt;"",AL47,$BJ$19)</f>
        <v>45658</v>
      </c>
      <c r="DY47" s="58" t="n">
        <f aca="false">IF(AM47&lt;&gt;"",AM47,$DI$19)</f>
        <v>46387</v>
      </c>
      <c r="DZ47" s="62" t="s">
        <v>364</v>
      </c>
    </row>
    <row r="48" customFormat="false" ht="14.15" hidden="false" customHeight="true" outlineLevel="0" collapsed="false">
      <c r="A48" s="54"/>
      <c r="B48" s="61" t="n">
        <f aca="false">AI48</f>
        <v>0</v>
      </c>
      <c r="C48" s="60" t="n">
        <f aca="false">IFERROR(INDEX(Static!$D$5:$F$13,MATCH(AI48,Static!$D$5:$D$13,0),3),90000000)</f>
        <v>90000000</v>
      </c>
      <c r="D48" s="60" t="str">
        <f aca="false">MID(C48,2,1)</f>
        <v>0</v>
      </c>
      <c r="E48" s="61" t="str">
        <f aca="false">AC48</f>
        <v/>
      </c>
      <c r="F48" s="60" t="n">
        <f aca="false">IF(B48="Venture",0,IF(OR(B48="Project",B48="Stream",B48="Action"),AL48,0))</f>
        <v>0</v>
      </c>
      <c r="G48" s="60" t="n">
        <f aca="false">AT48</f>
        <v>0</v>
      </c>
      <c r="H48" s="60" t="n">
        <f aca="false">IF(B48="Venture",0,IFERROR(INDEX($E$20:$F$55,MATCH(G48,$E$20:$E$55,0),2),0))</f>
        <v>0</v>
      </c>
      <c r="I48" s="60" t="str">
        <f aca="false">IF(B48="Venture",0,IFERROR(INDEX($E$20:$G$55,MATCH(G48,$E$20:$E$55,0),3),""))</f>
        <v/>
      </c>
      <c r="J48" s="60" t="n">
        <f aca="false">IF(B48="Venture",0,IFERROR(INDEX($E$20:$H$55,MATCH(G48,$E$20:$E$55,0),4),0))</f>
        <v>0</v>
      </c>
      <c r="K48" s="60" t="n">
        <f aca="false">IF(B48="Venture",0,IFERROR(INDEX($E$20:$G$55,MATCH(I48,$E$20:$E$55,0),3),""))</f>
        <v>0</v>
      </c>
      <c r="L48" s="60" t="n">
        <f aca="false">IF(C48="Venture",0,IFERROR(INDEX($E$20:$G$55,MATCH(J48,$E$20:$E$55,0),4),0))</f>
        <v>0</v>
      </c>
      <c r="M48" s="60" t="str">
        <f aca="false">IF(N48="Completed","Completed","Ongoing")</f>
        <v>Ongoing</v>
      </c>
      <c r="N48" s="60" t="n">
        <f aca="false">IF(OR(AI48="Venture",AI48="Routine",AI48="Run Goal", AI48="Chg Goal", AI48=""),AI48,IF(AO48&lt;&gt;"","Completed",IF(AN48&lt;&gt;"","Pending",IF(AND(AM48&lt;&gt;"",$A$17&gt;AM48),"Overdue",IF($A$17&gt;AL48,"Started","Open")))))</f>
        <v>0</v>
      </c>
      <c r="O48" s="59" t="n">
        <f aca="false">((LEN($BD48)-LEN(SUBSTITUTE($BD48,CHAR(10)&amp;". ","")))/3)+IF(LEFT(TRIM($BD48),2)=". ",1,0)</f>
        <v>0</v>
      </c>
      <c r="P48" s="59" t="n">
        <f aca="false">((LEN($BD48)-LEN(SUBSTITUTE($BD48,CHAR(10)&amp;"/ ","")))/3)+IF(LEFT(TRIM($BD48),2)="/ ",1,0)</f>
        <v>0</v>
      </c>
      <c r="Q48" s="59" t="n">
        <f aca="false">((LEN($BD48)-LEN(SUBSTITUTE($BD48,CHAR(10)&amp;"~ ","")))/3)+IF(LEFT(TRIM($BD48),2)="~ ",1,0)</f>
        <v>0</v>
      </c>
      <c r="R48" s="59" t="n">
        <f aca="false">((LEN($BD48)-LEN(SUBSTITUTE($BD48,CHAR(10)&amp;"! ","")))/3)+IF(LEFT(TRIM($BD48),2)="! ",1,0)</f>
        <v>0</v>
      </c>
      <c r="S48" s="59" t="n">
        <f aca="false">((LEN($BD48)-LEN(SUBSTITUTE($BD48,CHAR(10)&amp;"x ","")))/3)+IF(LEFT(TRIM($BD48),2)="x ",1,0)</f>
        <v>0</v>
      </c>
      <c r="T48" s="59" t="n">
        <f aca="false">SUM(O48:S48)</f>
        <v>0</v>
      </c>
      <c r="U48" s="60" t="n">
        <f aca="false">IF(OR($B48="Drill",$B48="Action"),$AP48,0)</f>
        <v>0</v>
      </c>
      <c r="V48" s="60" t="n">
        <f aca="false">IF(OR($B48="Sub",$B48="Stream"),$AP48+SUMIFS($AP$20:$AP$55,$G$20:$G$55,$E48),0)</f>
        <v>0</v>
      </c>
      <c r="W48" s="60" t="n">
        <f aca="false">IF(OR($B48="Routine",$B48="Project"),$AP48+SUMIFS($V$20:$V$55,$G$20:$G$55,$E48),0)</f>
        <v>0</v>
      </c>
      <c r="X48" s="60" t="n">
        <f aca="false">IF($B48="Venture",$AP48+SUMIFS($W$20:$W$55,$G$20:$G$55,$E48),0)</f>
        <v>0</v>
      </c>
      <c r="Y48" s="60" t="n">
        <f aca="false">IF(OR($B48="Drill",$B48="Action"),$AQ48,0)</f>
        <v>0</v>
      </c>
      <c r="Z48" s="60" t="n">
        <f aca="false">IF(OR($B48="Sub",$B48="Stream"),$AQ48+SUMIFS($AQ$20:$AQ$55,$G$20:$G$55,$E48),0)</f>
        <v>0</v>
      </c>
      <c r="AA48" s="60" t="n">
        <f aca="false">IF(OR($B48="Routine",$B48="Project"),$AQ48+SUMIFS($Z$20:$Z$55,$G$20:$G$55,$E48),0)</f>
        <v>0</v>
      </c>
      <c r="AB48" s="60" t="n">
        <f aca="false">IF($B48="Venture",$AQ48+SUMIFS($AA$20:$AA$55,$G$20:$G$55,$E48),0)</f>
        <v>0</v>
      </c>
      <c r="AC48" s="60" t="str">
        <f aca="false">IF(AI48="Venture",AJ48,AI48&amp;AJ48)</f>
        <v/>
      </c>
      <c r="AD48" s="61" t="str">
        <f aca="false">"  -  "&amp;IF(E48="","ZZZ",D48&amp;AF48&amp;IF(OR(B48="Run Goal",B48="Chg Goal", B48="Venture"),F48&amp;E48,IF(OR(B48="Routine",B48="Project"),H48&amp;G48&amp;F48&amp;E48,  IF(OR(B48="Sub",B48="Stream"),J48&amp;I48&amp;H48&amp;G48&amp;F48&amp;E48,IF(OR(B48="Drill",B48="Action"),L48&amp;K48&amp;J48&amp;I48&amp;H48&amp;G48&amp;F48&amp;E48,     "") )    )))</f>
        <v>  -  ZZZ</v>
      </c>
      <c r="AE48" s="60" t="str">
        <f aca="false">IF(AND(AN48="",AO48=""),"Y","N")</f>
        <v>Y</v>
      </c>
      <c r="AF48" s="99" t="str">
        <f aca="false">IF(OR(AG48="Y",AG48="Y"),AG48,IF(DN48="none","N",IF(DN48&gt;($A$17-WEEKDAY($A$17,2)-(7*$AF$18)),"Y","N")))</f>
        <v>N</v>
      </c>
      <c r="AG48" s="100"/>
      <c r="AH48" s="101"/>
      <c r="AI48" s="62"/>
      <c r="AJ48" s="64"/>
      <c r="AK48" s="64"/>
      <c r="AL48" s="70"/>
      <c r="AM48" s="70"/>
      <c r="AN48" s="70"/>
      <c r="AO48" s="70"/>
      <c r="AP48" s="102"/>
      <c r="AQ48" s="102"/>
      <c r="AR48" s="62"/>
      <c r="AS48" s="62"/>
      <c r="AT48" s="62"/>
      <c r="AU48" s="62"/>
      <c r="AV48" s="62"/>
      <c r="AW48" s="62"/>
      <c r="AX48" s="62"/>
      <c r="AY48" s="62"/>
      <c r="AZ48" s="62"/>
      <c r="BA48" s="62"/>
      <c r="BB48" s="54"/>
      <c r="BC48" s="103"/>
      <c r="BD48" s="54"/>
      <c r="BE48" s="60" t="n">
        <f aca="false">SUM(O48:R48)</f>
        <v>0</v>
      </c>
      <c r="BF48" s="66" t="n">
        <f aca="false">IF(AJ48="",1,IF(T48&lt;&gt;0,(P48*0.5+S48)/T48,1))</f>
        <v>1</v>
      </c>
      <c r="BG48" s="69" t="str">
        <f aca="false">IF(AI48="","",IF(AI48="Venture",X48,IF(OR(AI48="Chg Goal",AI48="RUn Goal"),W48,IF(OR(AI48="ROutine",AI48="Project"),W48,IF(OR(AI48="Sub",AI48="Stream"),V48,IF(OR(AI48="Drill",AI48="Action"),U48,0))))))</f>
        <v/>
      </c>
      <c r="BH48" s="69" t="str">
        <f aca="false">IF(AI48="","",IF(AI48="Venture",AB48,IF(OR(AI48="Chg Goal",AI48="RUn Goal"),AA48,IF(OR(AI48="ROutine",AI48="Project"),AA48,IF(OR(AI48="Sub",AI48="Stream"),Z48,IF(OR(AI48="Drill",AI48="Action"),Y48,0))))))</f>
        <v/>
      </c>
      <c r="BI48" s="104" t="str">
        <f aca="false">IF(AJ48="","",IF(OR(BG48=0, BG48=""),0,BH48/BG48))</f>
        <v/>
      </c>
      <c r="BJ48" s="105" t="str">
        <f aca="false">IF(    OR(   AND($C48=10000000,    BJ$19&gt;=$A$17,      BJ$19 &lt;($A$17+$DI$17)   ),   AND($C48&lt;&gt;10000000,  BJ$19&gt;=$DX48,    BJ$19&lt;=($DY48+$DI$17)  ))   ,$DW48,  "")</f>
        <v/>
      </c>
      <c r="BK48" s="106" t="str">
        <f aca="false">IF(    OR(   AND($C48=10000000,    $A$17&lt;=BK$19,      ($A$17+$DI$17)&gt;BK$19    ),   AND($C48&lt;&gt;10000000,  BK$19&gt;=$DX48,    BK$19&lt;=($DY48+$DI$17)  ))   ,$DW48,  "")</f>
        <v/>
      </c>
      <c r="BL48" s="106" t="str">
        <f aca="false">IF(    OR(   AND($C48=10000000,    $A$17&lt;=BL$19,      ($A$17+$DI$17)&gt;BL$19    ),   AND($C48&lt;&gt;10000000,  BL$19&gt;=$DX48,    BL$19&lt;=($DY48+$DI$17)  ))   ,$DW48,  "")</f>
        <v/>
      </c>
      <c r="BM48" s="106" t="str">
        <f aca="false">IF(    OR(   AND($C48=10000000,    $A$17&lt;=BM$19,      ($A$17+$DI$17)&gt;BM$19    ),   AND($C48&lt;&gt;10000000,  BM$19&gt;=$DX48,    BM$19&lt;=($DY48+$DI$17)  ))   ,$DW48,  "")</f>
        <v/>
      </c>
      <c r="BN48" s="106" t="str">
        <f aca="false">IF(    OR(   AND($C48=10000000,    $A$17&lt;=BN$19,      ($A$17+$DI$17)&gt;BN$19    ),   AND($C48&lt;&gt;10000000,  BN$19&gt;=$DX48,    BN$19&lt;=($DY48+$DI$17)  ))   ,$DW48,  "")</f>
        <v/>
      </c>
      <c r="BO48" s="106" t="str">
        <f aca="false">IF(    OR(   AND($C48=10000000,    $A$17&lt;=BO$19,      ($A$17+$DI$17)&gt;BO$19    ),   AND($C48&lt;&gt;10000000,  BO$19&gt;=$DX48,    BO$19&lt;=($DY48+$DI$17)  ))   ,$DW48,  "")</f>
        <v/>
      </c>
      <c r="BP48" s="106" t="str">
        <f aca="false">IF(    OR(   AND($C48=10000000,    $A$17&lt;=BP$19,      ($A$17+$DI$17)&gt;BP$19    ),   AND($C48&lt;&gt;10000000,  BP$19&gt;=$DX48,    BP$19&lt;=($DY48+$DI$17)  ))   ,$DW48,  "")</f>
        <v/>
      </c>
      <c r="BQ48" s="106" t="str">
        <f aca="false">IF(    OR(   AND($C48=10000000,    $A$17&lt;=BQ$19,      ($A$17+$DI$17)&gt;BQ$19    ),   AND($C48&lt;&gt;10000000,  BQ$19&gt;=$DX48,    BQ$19&lt;=($DY48+$DI$17)  ))   ,$DW48,  "")</f>
        <v/>
      </c>
      <c r="BR48" s="106" t="str">
        <f aca="false">IF(    OR(   AND($C48=10000000,    $A$17&lt;=BR$19,      ($A$17+$DI$17)&gt;BR$19    ),   AND($C48&lt;&gt;10000000,  BR$19&gt;=$DX48,    BR$19&lt;=($DY48+$DI$17)  ))   ,$DW48,  "")</f>
        <v/>
      </c>
      <c r="BS48" s="106" t="str">
        <f aca="false">IF(    OR(   AND($C48=10000000,    $A$17&lt;=BS$19,      ($A$17+$DI$17)&gt;BS$19    ),   AND($C48&lt;&gt;10000000,  BS$19&gt;=$DX48,    BS$19&lt;=($DY48+$DI$17)  ))   ,$DW48,  "")</f>
        <v/>
      </c>
      <c r="BT48" s="106" t="str">
        <f aca="false">IF(    OR(   AND($C48=10000000,    $A$17&lt;=BT$19,      ($A$17+$DI$17)&gt;BT$19    ),   AND($C48&lt;&gt;10000000,  BT$19&gt;=$DX48,    BT$19&lt;=($DY48+$DI$17)  ))   ,$DW48,  "")</f>
        <v/>
      </c>
      <c r="BU48" s="106" t="str">
        <f aca="false">IF(    OR(   AND($C48=10000000,    $A$17&lt;=BU$19,      ($A$17+$DI$17)&gt;BU$19    ),   AND($C48&lt;&gt;10000000,  BU$19&gt;=$DX48,    BU$19&lt;=($DY48+$DI$17)  ))   ,$DW48,  "")</f>
        <v/>
      </c>
      <c r="BV48" s="106" t="str">
        <f aca="false">IF(    OR(   AND($C48=10000000,    $A$17&lt;=BV$19,      ($A$17+$DI$17)&gt;BV$19    ),   AND($C48&lt;&gt;10000000,  BV$19&gt;=$DX48,    BV$19&lt;=($DY48+$DI$17)  ))   ,$DW48,  "")</f>
        <v/>
      </c>
      <c r="BW48" s="106" t="str">
        <f aca="false">IF(    OR(   AND($C48=10000000,    $A$17&lt;=BW$19,      ($A$17+$DI$17)&gt;BW$19    ),   AND($C48&lt;&gt;10000000,  BW$19&gt;=$DX48,    BW$19&lt;=($DY48+$DI$17)  ))   ,$DW48,  "")</f>
        <v/>
      </c>
      <c r="BX48" s="106" t="str">
        <f aca="false">IF(    OR(   AND($C48=10000000,    $A$17&lt;=BX$19,      ($A$17+$DI$17)&gt;BX$19    ),   AND($C48&lt;&gt;10000000,  BX$19&gt;=$DX48,    BX$19&lt;=($DY48+$DI$17)  ))   ,$DW48,  "")</f>
        <v/>
      </c>
      <c r="BY48" s="106" t="str">
        <f aca="false">IF(    OR(   AND($C48=10000000,    $A$17&lt;=BY$19,      ($A$17+$DI$17)&gt;BY$19    ),   AND($C48&lt;&gt;10000000,  BY$19&gt;=$DX48,    BY$19&lt;=($DY48+$DI$17)  ))   ,$DW48,  "")</f>
        <v/>
      </c>
      <c r="BZ48" s="106" t="str">
        <f aca="false">IF(    OR(   AND($C48=10000000,    $A$17&lt;=BZ$19,      ($A$17+$DI$17)&gt;BZ$19    ),   AND($C48&lt;&gt;10000000,  BZ$19&gt;=$DX48,    BZ$19&lt;=($DY48+$DI$17)  ))   ,$DW48,  "")</f>
        <v/>
      </c>
      <c r="CA48" s="106" t="str">
        <f aca="false">IF(    OR(   AND($C48=10000000,    $A$17&lt;=CA$19,      ($A$17+$DI$17)&gt;CA$19    ),   AND($C48&lt;&gt;10000000,  CA$19&gt;=$DX48,    CA$19&lt;=($DY48+$DI$17)  ))   ,$DW48,  "")</f>
        <v/>
      </c>
      <c r="CB48" s="106" t="str">
        <f aca="false">IF(    OR(   AND($C48=10000000,    $A$17&lt;=CB$19,      ($A$17+$DI$17)&gt;CB$19    ),   AND($C48&lt;&gt;10000000,  CB$19&gt;=$DX48,    CB$19&lt;=($DY48+$DI$17)  ))   ,$DW48,  "")</f>
        <v/>
      </c>
      <c r="CC48" s="106" t="str">
        <f aca="false">IF(    OR(   AND($C48=10000000,    $A$17&lt;=CC$19,      ($A$17+$DI$17)&gt;CC$19    ),   AND($C48&lt;&gt;10000000,  CC$19&gt;=$DX48,    CC$19&lt;=($DY48+$DI$17)  ))   ,$DW48,  "")</f>
        <v/>
      </c>
      <c r="CD48" s="106" t="str">
        <f aca="false">IF(    OR(   AND($C48=10000000,    $A$17&lt;=CD$19,      ($A$17+$DI$17)&gt;CD$19    ),   AND($C48&lt;&gt;10000000,  CD$19&gt;=$DX48,    CD$19&lt;=($DY48+$DI$17)  ))   ,$DW48,  "")</f>
        <v/>
      </c>
      <c r="CE48" s="106" t="str">
        <f aca="false">IF(    OR(   AND($C48=10000000,    $A$17&lt;=CE$19,      ($A$17+$DI$17)&gt;CE$19    ),   AND($C48&lt;&gt;10000000,  CE$19&gt;=$DX48,    CE$19&lt;=($DY48+$DI$17)  ))   ,$DW48,  "")</f>
        <v/>
      </c>
      <c r="CF48" s="106" t="str">
        <f aca="false">IF(    OR(   AND($C48=10000000,    $A$17&lt;=CF$19,      ($A$17+$DI$17)&gt;CF$19    ),   AND($C48&lt;&gt;10000000,  CF$19&gt;=$DX48,    CF$19&lt;=($DY48+$DI$17)  ))   ,$DW48,  "")</f>
        <v/>
      </c>
      <c r="CG48" s="106" t="str">
        <f aca="false">IF(    OR(   AND($C48=10000000,    $A$17&lt;=CG$19,      ($A$17+$DI$17)&gt;CG$19    ),   AND($C48&lt;&gt;10000000,  CG$19&gt;=$DX48,    CG$19&lt;=($DY48+$DI$17)  ))   ,$DW48,  "")</f>
        <v/>
      </c>
      <c r="CH48" s="106" t="str">
        <f aca="false">IF(    OR(   AND($C48=10000000,    $A$17&lt;=CH$19,      ($A$17+$DI$17)&gt;CH$19    ),   AND($C48&lt;&gt;10000000,  CH$19&gt;=$DX48,    CH$19&lt;=($DY48+$DI$17)  ))   ,$DW48,  "")</f>
        <v/>
      </c>
      <c r="CI48" s="106" t="str">
        <f aca="false">IF(    OR(   AND($C48=10000000,    $A$17&lt;=CI$19,      ($A$17+$DI$17)&gt;CI$19    ),   AND($C48&lt;&gt;10000000,  CI$19&gt;=$DX48,    CI$19&lt;=($DY48+$DI$17)  ))   ,$DW48,  "")</f>
        <v/>
      </c>
      <c r="CJ48" s="106" t="str">
        <f aca="false">IF(    OR(   AND($C48=10000000,    $A$17&lt;=CJ$19,      ($A$17+$DI$17)&gt;CJ$19    ),   AND($C48&lt;&gt;10000000,  CJ$19&gt;=$DX48,    CJ$19&lt;=($DY48+$DI$17)  ))   ,$DW48,  "")</f>
        <v/>
      </c>
      <c r="CK48" s="106" t="str">
        <f aca="false">IF(    OR(   AND($C48=10000000,    $A$17&lt;=CK$19,      ($A$17+$DI$17)&gt;CK$19    ),   AND($C48&lt;&gt;10000000,  CK$19&gt;=$DX48,    CK$19&lt;=($DY48+$DI$17)  ))   ,$DW48,  "")</f>
        <v/>
      </c>
      <c r="CL48" s="106" t="str">
        <f aca="false">IF(    OR(   AND($C48=10000000,    $A$17&lt;=CL$19,      ($A$17+$DI$17)&gt;CL$19    ),   AND($C48&lt;&gt;10000000,  CL$19&gt;=$DX48,    CL$19&lt;=($DY48+$DI$17)  ))   ,$DW48,  "")</f>
        <v/>
      </c>
      <c r="CM48" s="106" t="str">
        <f aca="false">IF(    OR(   AND($C48=10000000,    $A$17&lt;=CM$19,      ($A$17+$DI$17)&gt;CM$19    ),   AND($C48&lt;&gt;10000000,  CM$19&gt;=$DX48,    CM$19&lt;=($DY48+$DI$17)  ))   ,$DW48,  "")</f>
        <v/>
      </c>
      <c r="CN48" s="106" t="str">
        <f aca="false">IF(    OR(   AND($C48=10000000,    $A$17&lt;=CN$19,      ($A$17+$DI$17)&gt;CN$19    ),   AND($C48&lt;&gt;10000000,  CN$19&gt;=$DX48,    CN$19&lt;=($DY48+$DI$17)  ))   ,$DW48,  "")</f>
        <v/>
      </c>
      <c r="CO48" s="106" t="str">
        <f aca="false">IF(    OR(   AND($C48=10000000,    $A$17&lt;=CO$19,      ($A$17+$DI$17)&gt;CO$19    ),   AND($C48&lt;&gt;10000000,  CO$19&gt;=$DX48,    CO$19&lt;=($DY48+$DI$17)  ))   ,$DW48,  "")</f>
        <v/>
      </c>
      <c r="CP48" s="106" t="str">
        <f aca="false">IF(    OR(   AND($C48=10000000,    $A$17&lt;=CP$19,      ($A$17+$DI$17)&gt;CP$19    ),   AND($C48&lt;&gt;10000000,  CP$19&gt;=$DX48,    CP$19&lt;=($DY48+$DI$17)  ))   ,$DW48,  "")</f>
        <v/>
      </c>
      <c r="CQ48" s="106" t="str">
        <f aca="false">IF(    OR(   AND($C48=10000000,    $A$17&lt;=CQ$19,      ($A$17+$DI$17)&gt;CQ$19    ),   AND($C48&lt;&gt;10000000,  CQ$19&gt;=$DX48,    CQ$19&lt;=($DY48+$DI$17)  ))   ,$DW48,  "")</f>
        <v/>
      </c>
      <c r="CR48" s="106" t="str">
        <f aca="false">IF(    OR(   AND($C48=10000000,    $A$17&lt;=CR$19,      ($A$17+$DI$17)&gt;CR$19    ),   AND($C48&lt;&gt;10000000,  CR$19&gt;=$DX48,    CR$19&lt;=($DY48+$DI$17)  ))   ,$DW48,  "")</f>
        <v/>
      </c>
      <c r="CS48" s="106" t="str">
        <f aca="false">IF(    OR(   AND($C48=10000000,    $A$17&lt;=CS$19,      ($A$17+$DI$17)&gt;CS$19    ),   AND($C48&lt;&gt;10000000,  CS$19&gt;=$DX48,    CS$19&lt;=($DY48+$DI$17)  ))   ,$DW48,  "")</f>
        <v/>
      </c>
      <c r="CT48" s="106" t="str">
        <f aca="false">IF(    OR(   AND($C48=10000000,    $A$17&lt;=CT$19,      ($A$17+$DI$17)&gt;CT$19    ),   AND($C48&lt;&gt;10000000,  CT$19&gt;=$DX48,    CT$19&lt;=($DY48+$DI$17)  ))   ,$DW48,  "")</f>
        <v/>
      </c>
      <c r="CU48" s="106" t="str">
        <f aca="false">IF(    OR(   AND($C48=10000000,    $A$17&lt;=CU$19,      ($A$17+$DI$17)&gt;CU$19    ),   AND($C48&lt;&gt;10000000,  CU$19&gt;=$DX48,    CU$19&lt;=($DY48+$DI$17)  ))   ,$DW48,  "")</f>
        <v/>
      </c>
      <c r="CV48" s="106" t="str">
        <f aca="false">IF(    OR(   AND($C48=10000000,    $A$17&lt;=CV$19,      ($A$17+$DI$17)&gt;CV$19    ),   AND($C48&lt;&gt;10000000,  CV$19&gt;=$DX48,    CV$19&lt;=($DY48+$DI$17)  ))   ,$DW48,  "")</f>
        <v/>
      </c>
      <c r="CW48" s="106" t="str">
        <f aca="false">IF(    OR(   AND($C48=10000000,    $A$17&lt;=CW$19,      ($A$17+$DI$17)&gt;CW$19    ),   AND($C48&lt;&gt;10000000,  CW$19&gt;=$DX48,    CW$19&lt;=($DY48+$DI$17)  ))   ,$DW48,  "")</f>
        <v/>
      </c>
      <c r="CX48" s="106" t="str">
        <f aca="false">IF(    OR(   AND($C48=10000000,    $A$17&lt;=CX$19,      ($A$17+$DI$17)&gt;CX$19    ),   AND($C48&lt;&gt;10000000,  CX$19&gt;=$DX48,    CX$19&lt;=($DY48+$DI$17)  ))   ,$DW48,  "")</f>
        <v/>
      </c>
      <c r="CY48" s="106" t="str">
        <f aca="false">IF(    OR(   AND($C48=10000000,    $A$17&lt;=CY$19,      ($A$17+$DI$17)&gt;CY$19    ),   AND($C48&lt;&gt;10000000,  CY$19&gt;=$DX48,    CY$19&lt;=($DY48+$DI$17)  ))   ,$DW48,  "")</f>
        <v/>
      </c>
      <c r="CZ48" s="106" t="str">
        <f aca="false">IF(    OR(   AND($C48=10000000,    $A$17&lt;=CZ$19,      ($A$17+$DI$17)&gt;CZ$19    ),   AND($C48&lt;&gt;10000000,  CZ$19&gt;=$DX48,    CZ$19&lt;=($DY48+$DI$17)  ))   ,$DW48,  "")</f>
        <v/>
      </c>
      <c r="DA48" s="106" t="str">
        <f aca="false">IF(    OR(   AND($C48=10000000,    $A$17&lt;=DA$19,      ($A$17+$DI$17)&gt;DA$19    ),   AND($C48&lt;&gt;10000000,  DA$19&gt;=$DX48,    DA$19&lt;=($DY48+$DI$17)  ))   ,$DW48,  "")</f>
        <v/>
      </c>
      <c r="DB48" s="106" t="str">
        <f aca="false">IF(    OR(   AND($C48=10000000,    $A$17&lt;=DB$19,      ($A$17+$DI$17)&gt;DB$19    ),   AND($C48&lt;&gt;10000000,  DB$19&gt;=$DX48,    DB$19&lt;=($DY48+$DI$17)  ))   ,$DW48,  "")</f>
        <v/>
      </c>
      <c r="DC48" s="106" t="str">
        <f aca="false">IF(    OR(   AND($C48=10000000,    $A$17&lt;=DC$19,      ($A$17+$DI$17)&gt;DC$19    ),   AND($C48&lt;&gt;10000000,  DC$19&gt;=$DX48,    DC$19&lt;=($DY48+$DI$17)  ))   ,$DW48,  "")</f>
        <v/>
      </c>
      <c r="DD48" s="106" t="str">
        <f aca="false">IF(    OR(   AND($C48=10000000,    $A$17&lt;=DD$19,      ($A$17+$DI$17)&gt;DD$19    ),   AND($C48&lt;&gt;10000000,  DD$19&gt;=$DX48,    DD$19&lt;=($DY48+$DI$17)  ))   ,$DW48,  "")</f>
        <v/>
      </c>
      <c r="DE48" s="106" t="str">
        <f aca="false">IF(    OR(   AND($C48=10000000,    $A$17&lt;=DE$19,      ($A$17+$DI$17)&gt;DE$19    ),   AND($C48&lt;&gt;10000000,  DE$19&gt;=$DX48,    DE$19&lt;=($DY48+$DI$17)  ))   ,$DW48,  "")</f>
        <v/>
      </c>
      <c r="DF48" s="106" t="str">
        <f aca="false">IF(    OR(   AND($C48=10000000,    $A$17&lt;=DF$19,      ($A$17+$DI$17)&gt;DF$19    ),   AND($C48&lt;&gt;10000000,  DF$19&gt;=$DX48,    DF$19&lt;=($DY48+$DI$17)  ))   ,$DW48,  "")</f>
        <v/>
      </c>
      <c r="DG48" s="106" t="str">
        <f aca="false">IF(    OR(   AND($C48=10000000,    $A$17&lt;=DG$19,      ($A$17+$DI$17)&gt;DG$19    ),   AND($C48&lt;&gt;10000000,  DG$19&gt;=$DX48,    DG$19&lt;=($DY48+$DI$17)  ))   ,$DW48,  "")</f>
        <v/>
      </c>
      <c r="DH48" s="106" t="str">
        <f aca="false">IF(    OR(   AND($C48=10000000,    $A$17&lt;=DH$19,      ($A$17+$DI$17)&gt;DH$19    ),   AND($C48&lt;&gt;10000000,  DH$19&gt;=$DX48,    DH$19&lt;=($DY48+$DI$17)  ))   ,$DW48,  "")</f>
        <v/>
      </c>
      <c r="DI48" s="106" t="str">
        <f aca="false">IF(    OR(   AND($C48=10000000,    $A$17&lt;=DI$19,      ($A$17+$DI$17)&gt;DI$19    ),   AND($C48&lt;&gt;10000000,  DI$19&gt;=$DX48,    DI$19&lt;=($DY48+$DI$17)  ))   ,$DW48,  "")</f>
        <v/>
      </c>
      <c r="DJ48" s="74" t="str">
        <f aca="false">IF(BC48="","",IF(ISERROR(FIND(CHAR(10),BC48,1)),BC48,LEFT(BC48,FIND(CHAR(10),BC48,1))))</f>
        <v/>
      </c>
      <c r="DK48" s="61" t="str">
        <f aca="false">IF(BC48="","",IFERROR(RIGHT(BC48,LEN(BC48)-FIND("@@@",SUBSTITUTE(BC48,CHAR(10),"@@@",LEN(BC48)-LEN(SUBSTITUTE(BC48,CHAR(10),""))),1)),BC48))</f>
        <v/>
      </c>
      <c r="DL48" s="61" t="str">
        <f aca="false">IF(BD48="","",IFERROR(RIGHT(BD48,LEN(BD48)-FIND("@@@",SUBSTITUTE(BD48,CHAR(10),"@@@",LEN(BD48)-LEN(SUBSTITUTE(BD48,CHAR(10),""))),1)),BD48))</f>
        <v/>
      </c>
      <c r="DM48" s="107" t="str">
        <f aca="false">IFERROR(DATE(("20"&amp;MID(DJ48,7,2))*1,MID(DJ48,4,2)*1,MID(DJ48,1,2)*1),"none")</f>
        <v>none</v>
      </c>
      <c r="DN48" s="107" t="str">
        <f aca="false">IFERROR(DATE(("20"&amp;MID(DK48,7,2))*1,MID(DK48,4,2)*1,MID(DK48,1,2)*1),"none")</f>
        <v>none</v>
      </c>
      <c r="DO48" s="107" t="n">
        <f aca="false">IF(DM48&lt;&gt;"none",DM48,DATE(1900,1,1))</f>
        <v>2</v>
      </c>
      <c r="DP48" s="107" t="n">
        <f aca="false">IF(DN48&lt;&gt;"none",DN48,DO48)</f>
        <v>2</v>
      </c>
      <c r="DQ48" s="108" t="n">
        <f aca="false">_xlfn.DAYS($A$17,DO48)</f>
        <v>46319</v>
      </c>
      <c r="DR48" s="108" t="n">
        <f aca="false">_xlfn.DAYS($A$17, DP48)</f>
        <v>46319</v>
      </c>
      <c r="DS48" s="60" t="n">
        <f aca="false">IF(DP48&lt;&gt;"",INT(DR48/7),0)</f>
        <v>6617</v>
      </c>
      <c r="DT48" s="108" t="n">
        <f aca="false">IF(N48="Overdue",_xlfn.DAYS($A$17,AM48),0)</f>
        <v>0</v>
      </c>
      <c r="DU48" s="108" t="n">
        <f aca="false">IF(AI48="Project",_xlfn.DAYS(AM48,$A$17),0)</f>
        <v>0</v>
      </c>
      <c r="DV48" s="60" t="str">
        <f aca="false">IFERROR(INDEX(Static!$D$5:$E$13,MATCH(AI48,Static!$D$5:$D$13,0),2),"")</f>
        <v/>
      </c>
      <c r="DW48" s="60" t="str">
        <f aca="false">IF(C48=10000000,"Red",IF(OR(C48=11000000,C48=12000000),"Black",IF(C48=11100000,"Dark",IF(AND(C48=12100000,N48="Completed"),"Green",IF(AND(C48=12100000,N48="Overdue"),"Red",IF(C48=12100000,"Dark",IF(AND(C48=12110000,N48="Overdue"),"LightRed",IF(AND(C48=12110000,N48="Completed"),"LightGreen",IF(OR(C48=11110000,C48=12110000),"Light",IF(AND(C48=12111000,N48="Overdue"),"SoftRed",IF(AND(C48=12111000,N48="Completed"),"SoftGreen",IF(OR(C48=11111000,C48=12111000),"Grey",""))))))))))))</f>
        <v/>
      </c>
      <c r="DX48" s="58" t="n">
        <f aca="false">IF(AL48&lt;&gt;"",AL48,$BJ$19)</f>
        <v>45658</v>
      </c>
      <c r="DY48" s="58" t="n">
        <f aca="false">IF(AM48&lt;&gt;"",AM48,$DI$19)</f>
        <v>46387</v>
      </c>
      <c r="DZ48" s="62" t="s">
        <v>364</v>
      </c>
    </row>
    <row r="49" customFormat="false" ht="14.15" hidden="false" customHeight="true" outlineLevel="0" collapsed="false">
      <c r="A49" s="54"/>
      <c r="B49" s="61" t="n">
        <f aca="false">AI49</f>
        <v>0</v>
      </c>
      <c r="C49" s="60" t="n">
        <f aca="false">IFERROR(INDEX(Static!$D$5:$F$13,MATCH(AI49,Static!$D$5:$D$13,0),3),90000000)</f>
        <v>90000000</v>
      </c>
      <c r="D49" s="60" t="str">
        <f aca="false">MID(C49,2,1)</f>
        <v>0</v>
      </c>
      <c r="E49" s="61" t="str">
        <f aca="false">AC49</f>
        <v/>
      </c>
      <c r="F49" s="60" t="n">
        <f aca="false">IF(B49="Venture",0,IF(OR(B49="Project",B49="Stream",B49="Action"),AL49,0))</f>
        <v>0</v>
      </c>
      <c r="G49" s="60" t="n">
        <f aca="false">AT49</f>
        <v>0</v>
      </c>
      <c r="H49" s="60" t="n">
        <f aca="false">IF(B49="Venture",0,IFERROR(INDEX($E$20:$F$55,MATCH(G49,$E$20:$E$55,0),2),0))</f>
        <v>0</v>
      </c>
      <c r="I49" s="60" t="str">
        <f aca="false">IF(B49="Venture",0,IFERROR(INDEX($E$20:$G$55,MATCH(G49,$E$20:$E$55,0),3),""))</f>
        <v/>
      </c>
      <c r="J49" s="60" t="n">
        <f aca="false">IF(B49="Venture",0,IFERROR(INDEX($E$20:$H$55,MATCH(G49,$E$20:$E$55,0),4),0))</f>
        <v>0</v>
      </c>
      <c r="K49" s="60" t="n">
        <f aca="false">IF(B49="Venture",0,IFERROR(INDEX($E$20:$G$55,MATCH(I49,$E$20:$E$55,0),3),""))</f>
        <v>0</v>
      </c>
      <c r="L49" s="60" t="n">
        <f aca="false">IF(C49="Venture",0,IFERROR(INDEX($E$20:$G$55,MATCH(J49,$E$20:$E$55,0),4),0))</f>
        <v>0</v>
      </c>
      <c r="M49" s="60" t="str">
        <f aca="false">IF(N49="Completed","Completed","Ongoing")</f>
        <v>Ongoing</v>
      </c>
      <c r="N49" s="60" t="n">
        <f aca="false">IF(OR(AI49="Venture",AI49="Routine",AI49="Run Goal", AI49="Chg Goal", AI49=""),AI49,IF(AO49&lt;&gt;"","Completed",IF(AN49&lt;&gt;"","Pending",IF(AND(AM49&lt;&gt;"",$A$17&gt;AM49),"Overdue",IF($A$17&gt;AL49,"Started","Open")))))</f>
        <v>0</v>
      </c>
      <c r="O49" s="59" t="n">
        <f aca="false">((LEN($BD49)-LEN(SUBSTITUTE($BD49,CHAR(10)&amp;". ","")))/3)+IF(LEFT(TRIM($BD49),2)=". ",1,0)</f>
        <v>0</v>
      </c>
      <c r="P49" s="59" t="n">
        <f aca="false">((LEN($BD49)-LEN(SUBSTITUTE($BD49,CHAR(10)&amp;"/ ","")))/3)+IF(LEFT(TRIM($BD49),2)="/ ",1,0)</f>
        <v>0</v>
      </c>
      <c r="Q49" s="59" t="n">
        <f aca="false">((LEN($BD49)-LEN(SUBSTITUTE($BD49,CHAR(10)&amp;"~ ","")))/3)+IF(LEFT(TRIM($BD49),2)="~ ",1,0)</f>
        <v>0</v>
      </c>
      <c r="R49" s="59" t="n">
        <f aca="false">((LEN($BD49)-LEN(SUBSTITUTE($BD49,CHAR(10)&amp;"! ","")))/3)+IF(LEFT(TRIM($BD49),2)="! ",1,0)</f>
        <v>0</v>
      </c>
      <c r="S49" s="59" t="n">
        <f aca="false">((LEN($BD49)-LEN(SUBSTITUTE($BD49,CHAR(10)&amp;"x ","")))/3)+IF(LEFT(TRIM($BD49),2)="x ",1,0)</f>
        <v>0</v>
      </c>
      <c r="T49" s="59" t="n">
        <f aca="false">SUM(O49:S49)</f>
        <v>0</v>
      </c>
      <c r="U49" s="60" t="n">
        <f aca="false">IF(OR($B49="Drill",$B49="Action"),$AP49,0)</f>
        <v>0</v>
      </c>
      <c r="V49" s="60" t="n">
        <f aca="false">IF(OR($B49="Sub",$B49="Stream"),$AP49+SUMIFS($AP$20:$AP$55,$G$20:$G$55,$E49),0)</f>
        <v>0</v>
      </c>
      <c r="W49" s="60" t="n">
        <f aca="false">IF(OR($B49="Routine",$B49="Project"),$AP49+SUMIFS($V$20:$V$55,$G$20:$G$55,$E49),0)</f>
        <v>0</v>
      </c>
      <c r="X49" s="60" t="n">
        <f aca="false">IF($B49="Venture",$AP49+SUMIFS($W$20:$W$55,$G$20:$G$55,$E49),0)</f>
        <v>0</v>
      </c>
      <c r="Y49" s="60" t="n">
        <f aca="false">IF(OR($B49="Drill",$B49="Action"),$AQ49,0)</f>
        <v>0</v>
      </c>
      <c r="Z49" s="60" t="n">
        <f aca="false">IF(OR($B49="Sub",$B49="Stream"),$AQ49+SUMIFS($AQ$20:$AQ$55,$G$20:$G$55,$E49),0)</f>
        <v>0</v>
      </c>
      <c r="AA49" s="60" t="n">
        <f aca="false">IF(OR($B49="Routine",$B49="Project"),$AQ49+SUMIFS($Z$20:$Z$55,$G$20:$G$55,$E49),0)</f>
        <v>0</v>
      </c>
      <c r="AB49" s="60" t="n">
        <f aca="false">IF($B49="Venture",$AQ49+SUMIFS($AA$20:$AA$55,$G$20:$G$55,$E49),0)</f>
        <v>0</v>
      </c>
      <c r="AC49" s="60" t="str">
        <f aca="false">IF(AI49="Venture",AJ49,AI49&amp;AJ49)</f>
        <v/>
      </c>
      <c r="AD49" s="61" t="str">
        <f aca="false">"  -  "&amp;IF(E49="","ZZZ",D49&amp;AF49&amp;IF(OR(B49="Run Goal",B49="Chg Goal", B49="Venture"),F49&amp;E49,IF(OR(B49="Routine",B49="Project"),H49&amp;G49&amp;F49&amp;E49,  IF(OR(B49="Sub",B49="Stream"),J49&amp;I49&amp;H49&amp;G49&amp;F49&amp;E49,IF(OR(B49="Drill",B49="Action"),L49&amp;K49&amp;J49&amp;I49&amp;H49&amp;G49&amp;F49&amp;E49,     "") )    )))</f>
        <v>  -  ZZZ</v>
      </c>
      <c r="AE49" s="60" t="str">
        <f aca="false">IF(AND(AN49="",AO49=""),"Y","N")</f>
        <v>Y</v>
      </c>
      <c r="AF49" s="99" t="str">
        <f aca="false">IF(OR(AG49="Y",AG49="Y"),AG49,IF(DN49="none","N",IF(DN49&gt;($A$17-WEEKDAY($A$17,2)-(7*$AF$18)),"Y","N")))</f>
        <v>N</v>
      </c>
      <c r="AG49" s="100"/>
      <c r="AH49" s="101"/>
      <c r="AI49" s="62"/>
      <c r="AJ49" s="64"/>
      <c r="AK49" s="64"/>
      <c r="AL49" s="70"/>
      <c r="AM49" s="70"/>
      <c r="AN49" s="70"/>
      <c r="AO49" s="70"/>
      <c r="AP49" s="102"/>
      <c r="AQ49" s="102"/>
      <c r="AR49" s="62"/>
      <c r="AS49" s="62"/>
      <c r="AT49" s="62"/>
      <c r="AU49" s="62"/>
      <c r="AV49" s="62"/>
      <c r="AW49" s="62"/>
      <c r="AX49" s="62"/>
      <c r="AY49" s="62"/>
      <c r="AZ49" s="62"/>
      <c r="BA49" s="62"/>
      <c r="BB49" s="54"/>
      <c r="BC49" s="103"/>
      <c r="BD49" s="54"/>
      <c r="BE49" s="60" t="n">
        <f aca="false">SUM(O49:R49)</f>
        <v>0</v>
      </c>
      <c r="BF49" s="66" t="n">
        <f aca="false">IF(AJ49="",1,IF(T49&lt;&gt;0,(P49*0.5+S49)/T49,1))</f>
        <v>1</v>
      </c>
      <c r="BG49" s="69" t="str">
        <f aca="false">IF(AI49="","",IF(AI49="Venture",X49,IF(OR(AI49="Chg Goal",AI49="RUn Goal"),W49,IF(OR(AI49="ROutine",AI49="Project"),W49,IF(OR(AI49="Sub",AI49="Stream"),V49,IF(OR(AI49="Drill",AI49="Action"),U49,0))))))</f>
        <v/>
      </c>
      <c r="BH49" s="69" t="str">
        <f aca="false">IF(AI49="","",IF(AI49="Venture",AB49,IF(OR(AI49="Chg Goal",AI49="RUn Goal"),AA49,IF(OR(AI49="ROutine",AI49="Project"),AA49,IF(OR(AI49="Sub",AI49="Stream"),Z49,IF(OR(AI49="Drill",AI49="Action"),Y49,0))))))</f>
        <v/>
      </c>
      <c r="BI49" s="104" t="str">
        <f aca="false">IF(AJ49="","",IF(OR(BG49=0, BG49=""),0,BH49/BG49))</f>
        <v/>
      </c>
      <c r="BJ49" s="105" t="str">
        <f aca="false">IF(    OR(   AND($C49=10000000,    BJ$19&gt;=$A$17,      BJ$19 &lt;($A$17+$DI$17)   ),   AND($C49&lt;&gt;10000000,  BJ$19&gt;=$DX49,    BJ$19&lt;=($DY49+$DI$17)  ))   ,$DW49,  "")</f>
        <v/>
      </c>
      <c r="BK49" s="106" t="str">
        <f aca="false">IF(    OR(   AND($C49=10000000,    $A$17&lt;=BK$19,      ($A$17+$DI$17)&gt;BK$19    ),   AND($C49&lt;&gt;10000000,  BK$19&gt;=$DX49,    BK$19&lt;=($DY49+$DI$17)  ))   ,$DW49,  "")</f>
        <v/>
      </c>
      <c r="BL49" s="106" t="str">
        <f aca="false">IF(    OR(   AND($C49=10000000,    $A$17&lt;=BL$19,      ($A$17+$DI$17)&gt;BL$19    ),   AND($C49&lt;&gt;10000000,  BL$19&gt;=$DX49,    BL$19&lt;=($DY49+$DI$17)  ))   ,$DW49,  "")</f>
        <v/>
      </c>
      <c r="BM49" s="106" t="str">
        <f aca="false">IF(    OR(   AND($C49=10000000,    $A$17&lt;=BM$19,      ($A$17+$DI$17)&gt;BM$19    ),   AND($C49&lt;&gt;10000000,  BM$19&gt;=$DX49,    BM$19&lt;=($DY49+$DI$17)  ))   ,$DW49,  "")</f>
        <v/>
      </c>
      <c r="BN49" s="106" t="str">
        <f aca="false">IF(    OR(   AND($C49=10000000,    $A$17&lt;=BN$19,      ($A$17+$DI$17)&gt;BN$19    ),   AND($C49&lt;&gt;10000000,  BN$19&gt;=$DX49,    BN$19&lt;=($DY49+$DI$17)  ))   ,$DW49,  "")</f>
        <v/>
      </c>
      <c r="BO49" s="106" t="str">
        <f aca="false">IF(    OR(   AND($C49=10000000,    $A$17&lt;=BO$19,      ($A$17+$DI$17)&gt;BO$19    ),   AND($C49&lt;&gt;10000000,  BO$19&gt;=$DX49,    BO$19&lt;=($DY49+$DI$17)  ))   ,$DW49,  "")</f>
        <v/>
      </c>
      <c r="BP49" s="106" t="str">
        <f aca="false">IF(    OR(   AND($C49=10000000,    $A$17&lt;=BP$19,      ($A$17+$DI$17)&gt;BP$19    ),   AND($C49&lt;&gt;10000000,  BP$19&gt;=$DX49,    BP$19&lt;=($DY49+$DI$17)  ))   ,$DW49,  "")</f>
        <v/>
      </c>
      <c r="BQ49" s="106" t="str">
        <f aca="false">IF(    OR(   AND($C49=10000000,    $A$17&lt;=BQ$19,      ($A$17+$DI$17)&gt;BQ$19    ),   AND($C49&lt;&gt;10000000,  BQ$19&gt;=$DX49,    BQ$19&lt;=($DY49+$DI$17)  ))   ,$DW49,  "")</f>
        <v/>
      </c>
      <c r="BR49" s="106" t="str">
        <f aca="false">IF(    OR(   AND($C49=10000000,    $A$17&lt;=BR$19,      ($A$17+$DI$17)&gt;BR$19    ),   AND($C49&lt;&gt;10000000,  BR$19&gt;=$DX49,    BR$19&lt;=($DY49+$DI$17)  ))   ,$DW49,  "")</f>
        <v/>
      </c>
      <c r="BS49" s="106" t="str">
        <f aca="false">IF(    OR(   AND($C49=10000000,    $A$17&lt;=BS$19,      ($A$17+$DI$17)&gt;BS$19    ),   AND($C49&lt;&gt;10000000,  BS$19&gt;=$DX49,    BS$19&lt;=($DY49+$DI$17)  ))   ,$DW49,  "")</f>
        <v/>
      </c>
      <c r="BT49" s="106" t="str">
        <f aca="false">IF(    OR(   AND($C49=10000000,    $A$17&lt;=BT$19,      ($A$17+$DI$17)&gt;BT$19    ),   AND($C49&lt;&gt;10000000,  BT$19&gt;=$DX49,    BT$19&lt;=($DY49+$DI$17)  ))   ,$DW49,  "")</f>
        <v/>
      </c>
      <c r="BU49" s="106" t="str">
        <f aca="false">IF(    OR(   AND($C49=10000000,    $A$17&lt;=BU$19,      ($A$17+$DI$17)&gt;BU$19    ),   AND($C49&lt;&gt;10000000,  BU$19&gt;=$DX49,    BU$19&lt;=($DY49+$DI$17)  ))   ,$DW49,  "")</f>
        <v/>
      </c>
      <c r="BV49" s="106" t="str">
        <f aca="false">IF(    OR(   AND($C49=10000000,    $A$17&lt;=BV$19,      ($A$17+$DI$17)&gt;BV$19    ),   AND($C49&lt;&gt;10000000,  BV$19&gt;=$DX49,    BV$19&lt;=($DY49+$DI$17)  ))   ,$DW49,  "")</f>
        <v/>
      </c>
      <c r="BW49" s="106" t="str">
        <f aca="false">IF(    OR(   AND($C49=10000000,    $A$17&lt;=BW$19,      ($A$17+$DI$17)&gt;BW$19    ),   AND($C49&lt;&gt;10000000,  BW$19&gt;=$DX49,    BW$19&lt;=($DY49+$DI$17)  ))   ,$DW49,  "")</f>
        <v/>
      </c>
      <c r="BX49" s="106" t="str">
        <f aca="false">IF(    OR(   AND($C49=10000000,    $A$17&lt;=BX$19,      ($A$17+$DI$17)&gt;BX$19    ),   AND($C49&lt;&gt;10000000,  BX$19&gt;=$DX49,    BX$19&lt;=($DY49+$DI$17)  ))   ,$DW49,  "")</f>
        <v/>
      </c>
      <c r="BY49" s="106" t="str">
        <f aca="false">IF(    OR(   AND($C49=10000000,    $A$17&lt;=BY$19,      ($A$17+$DI$17)&gt;BY$19    ),   AND($C49&lt;&gt;10000000,  BY$19&gt;=$DX49,    BY$19&lt;=($DY49+$DI$17)  ))   ,$DW49,  "")</f>
        <v/>
      </c>
      <c r="BZ49" s="106" t="str">
        <f aca="false">IF(    OR(   AND($C49=10000000,    $A$17&lt;=BZ$19,      ($A$17+$DI$17)&gt;BZ$19    ),   AND($C49&lt;&gt;10000000,  BZ$19&gt;=$DX49,    BZ$19&lt;=($DY49+$DI$17)  ))   ,$DW49,  "")</f>
        <v/>
      </c>
      <c r="CA49" s="106" t="str">
        <f aca="false">IF(    OR(   AND($C49=10000000,    $A$17&lt;=CA$19,      ($A$17+$DI$17)&gt;CA$19    ),   AND($C49&lt;&gt;10000000,  CA$19&gt;=$DX49,    CA$19&lt;=($DY49+$DI$17)  ))   ,$DW49,  "")</f>
        <v/>
      </c>
      <c r="CB49" s="106" t="str">
        <f aca="false">IF(    OR(   AND($C49=10000000,    $A$17&lt;=CB$19,      ($A$17+$DI$17)&gt;CB$19    ),   AND($C49&lt;&gt;10000000,  CB$19&gt;=$DX49,    CB$19&lt;=($DY49+$DI$17)  ))   ,$DW49,  "")</f>
        <v/>
      </c>
      <c r="CC49" s="106" t="str">
        <f aca="false">IF(    OR(   AND($C49=10000000,    $A$17&lt;=CC$19,      ($A$17+$DI$17)&gt;CC$19    ),   AND($C49&lt;&gt;10000000,  CC$19&gt;=$DX49,    CC$19&lt;=($DY49+$DI$17)  ))   ,$DW49,  "")</f>
        <v/>
      </c>
      <c r="CD49" s="106" t="str">
        <f aca="false">IF(    OR(   AND($C49=10000000,    $A$17&lt;=CD$19,      ($A$17+$DI$17)&gt;CD$19    ),   AND($C49&lt;&gt;10000000,  CD$19&gt;=$DX49,    CD$19&lt;=($DY49+$DI$17)  ))   ,$DW49,  "")</f>
        <v/>
      </c>
      <c r="CE49" s="106" t="str">
        <f aca="false">IF(    OR(   AND($C49=10000000,    $A$17&lt;=CE$19,      ($A$17+$DI$17)&gt;CE$19    ),   AND($C49&lt;&gt;10000000,  CE$19&gt;=$DX49,    CE$19&lt;=($DY49+$DI$17)  ))   ,$DW49,  "")</f>
        <v/>
      </c>
      <c r="CF49" s="106" t="str">
        <f aca="false">IF(    OR(   AND($C49=10000000,    $A$17&lt;=CF$19,      ($A$17+$DI$17)&gt;CF$19    ),   AND($C49&lt;&gt;10000000,  CF$19&gt;=$DX49,    CF$19&lt;=($DY49+$DI$17)  ))   ,$DW49,  "")</f>
        <v/>
      </c>
      <c r="CG49" s="106" t="str">
        <f aca="false">IF(    OR(   AND($C49=10000000,    $A$17&lt;=CG$19,      ($A$17+$DI$17)&gt;CG$19    ),   AND($C49&lt;&gt;10000000,  CG$19&gt;=$DX49,    CG$19&lt;=($DY49+$DI$17)  ))   ,$DW49,  "")</f>
        <v/>
      </c>
      <c r="CH49" s="106" t="str">
        <f aca="false">IF(    OR(   AND($C49=10000000,    $A$17&lt;=CH$19,      ($A$17+$DI$17)&gt;CH$19    ),   AND($C49&lt;&gt;10000000,  CH$19&gt;=$DX49,    CH$19&lt;=($DY49+$DI$17)  ))   ,$DW49,  "")</f>
        <v/>
      </c>
      <c r="CI49" s="106" t="str">
        <f aca="false">IF(    OR(   AND($C49=10000000,    $A$17&lt;=CI$19,      ($A$17+$DI$17)&gt;CI$19    ),   AND($C49&lt;&gt;10000000,  CI$19&gt;=$DX49,    CI$19&lt;=($DY49+$DI$17)  ))   ,$DW49,  "")</f>
        <v/>
      </c>
      <c r="CJ49" s="106" t="str">
        <f aca="false">IF(    OR(   AND($C49=10000000,    $A$17&lt;=CJ$19,      ($A$17+$DI$17)&gt;CJ$19    ),   AND($C49&lt;&gt;10000000,  CJ$19&gt;=$DX49,    CJ$19&lt;=($DY49+$DI$17)  ))   ,$DW49,  "")</f>
        <v/>
      </c>
      <c r="CK49" s="106" t="str">
        <f aca="false">IF(    OR(   AND($C49=10000000,    $A$17&lt;=CK$19,      ($A$17+$DI$17)&gt;CK$19    ),   AND($C49&lt;&gt;10000000,  CK$19&gt;=$DX49,    CK$19&lt;=($DY49+$DI$17)  ))   ,$DW49,  "")</f>
        <v/>
      </c>
      <c r="CL49" s="106" t="str">
        <f aca="false">IF(    OR(   AND($C49=10000000,    $A$17&lt;=CL$19,      ($A$17+$DI$17)&gt;CL$19    ),   AND($C49&lt;&gt;10000000,  CL$19&gt;=$DX49,    CL$19&lt;=($DY49+$DI$17)  ))   ,$DW49,  "")</f>
        <v/>
      </c>
      <c r="CM49" s="106" t="str">
        <f aca="false">IF(    OR(   AND($C49=10000000,    $A$17&lt;=CM$19,      ($A$17+$DI$17)&gt;CM$19    ),   AND($C49&lt;&gt;10000000,  CM$19&gt;=$DX49,    CM$19&lt;=($DY49+$DI$17)  ))   ,$DW49,  "")</f>
        <v/>
      </c>
      <c r="CN49" s="106" t="str">
        <f aca="false">IF(    OR(   AND($C49=10000000,    $A$17&lt;=CN$19,      ($A$17+$DI$17)&gt;CN$19    ),   AND($C49&lt;&gt;10000000,  CN$19&gt;=$DX49,    CN$19&lt;=($DY49+$DI$17)  ))   ,$DW49,  "")</f>
        <v/>
      </c>
      <c r="CO49" s="106" t="str">
        <f aca="false">IF(    OR(   AND($C49=10000000,    $A$17&lt;=CO$19,      ($A$17+$DI$17)&gt;CO$19    ),   AND($C49&lt;&gt;10000000,  CO$19&gt;=$DX49,    CO$19&lt;=($DY49+$DI$17)  ))   ,$DW49,  "")</f>
        <v/>
      </c>
      <c r="CP49" s="106" t="str">
        <f aca="false">IF(    OR(   AND($C49=10000000,    $A$17&lt;=CP$19,      ($A$17+$DI$17)&gt;CP$19    ),   AND($C49&lt;&gt;10000000,  CP$19&gt;=$DX49,    CP$19&lt;=($DY49+$DI$17)  ))   ,$DW49,  "")</f>
        <v/>
      </c>
      <c r="CQ49" s="106" t="str">
        <f aca="false">IF(    OR(   AND($C49=10000000,    $A$17&lt;=CQ$19,      ($A$17+$DI$17)&gt;CQ$19    ),   AND($C49&lt;&gt;10000000,  CQ$19&gt;=$DX49,    CQ$19&lt;=($DY49+$DI$17)  ))   ,$DW49,  "")</f>
        <v/>
      </c>
      <c r="CR49" s="106" t="str">
        <f aca="false">IF(    OR(   AND($C49=10000000,    $A$17&lt;=CR$19,      ($A$17+$DI$17)&gt;CR$19    ),   AND($C49&lt;&gt;10000000,  CR$19&gt;=$DX49,    CR$19&lt;=($DY49+$DI$17)  ))   ,$DW49,  "")</f>
        <v/>
      </c>
      <c r="CS49" s="106" t="str">
        <f aca="false">IF(    OR(   AND($C49=10000000,    $A$17&lt;=CS$19,      ($A$17+$DI$17)&gt;CS$19    ),   AND($C49&lt;&gt;10000000,  CS$19&gt;=$DX49,    CS$19&lt;=($DY49+$DI$17)  ))   ,$DW49,  "")</f>
        <v/>
      </c>
      <c r="CT49" s="106" t="str">
        <f aca="false">IF(    OR(   AND($C49=10000000,    $A$17&lt;=CT$19,      ($A$17+$DI$17)&gt;CT$19    ),   AND($C49&lt;&gt;10000000,  CT$19&gt;=$DX49,    CT$19&lt;=($DY49+$DI$17)  ))   ,$DW49,  "")</f>
        <v/>
      </c>
      <c r="CU49" s="106" t="str">
        <f aca="false">IF(    OR(   AND($C49=10000000,    $A$17&lt;=CU$19,      ($A$17+$DI$17)&gt;CU$19    ),   AND($C49&lt;&gt;10000000,  CU$19&gt;=$DX49,    CU$19&lt;=($DY49+$DI$17)  ))   ,$DW49,  "")</f>
        <v/>
      </c>
      <c r="CV49" s="106" t="str">
        <f aca="false">IF(    OR(   AND($C49=10000000,    $A$17&lt;=CV$19,      ($A$17+$DI$17)&gt;CV$19    ),   AND($C49&lt;&gt;10000000,  CV$19&gt;=$DX49,    CV$19&lt;=($DY49+$DI$17)  ))   ,$DW49,  "")</f>
        <v/>
      </c>
      <c r="CW49" s="106" t="str">
        <f aca="false">IF(    OR(   AND($C49=10000000,    $A$17&lt;=CW$19,      ($A$17+$DI$17)&gt;CW$19    ),   AND($C49&lt;&gt;10000000,  CW$19&gt;=$DX49,    CW$19&lt;=($DY49+$DI$17)  ))   ,$DW49,  "")</f>
        <v/>
      </c>
      <c r="CX49" s="106" t="str">
        <f aca="false">IF(    OR(   AND($C49=10000000,    $A$17&lt;=CX$19,      ($A$17+$DI$17)&gt;CX$19    ),   AND($C49&lt;&gt;10000000,  CX$19&gt;=$DX49,    CX$19&lt;=($DY49+$DI$17)  ))   ,$DW49,  "")</f>
        <v/>
      </c>
      <c r="CY49" s="106" t="str">
        <f aca="false">IF(    OR(   AND($C49=10000000,    $A$17&lt;=CY$19,      ($A$17+$DI$17)&gt;CY$19    ),   AND($C49&lt;&gt;10000000,  CY$19&gt;=$DX49,    CY$19&lt;=($DY49+$DI$17)  ))   ,$DW49,  "")</f>
        <v/>
      </c>
      <c r="CZ49" s="106" t="str">
        <f aca="false">IF(    OR(   AND($C49=10000000,    $A$17&lt;=CZ$19,      ($A$17+$DI$17)&gt;CZ$19    ),   AND($C49&lt;&gt;10000000,  CZ$19&gt;=$DX49,    CZ$19&lt;=($DY49+$DI$17)  ))   ,$DW49,  "")</f>
        <v/>
      </c>
      <c r="DA49" s="106" t="str">
        <f aca="false">IF(    OR(   AND($C49=10000000,    $A$17&lt;=DA$19,      ($A$17+$DI$17)&gt;DA$19    ),   AND($C49&lt;&gt;10000000,  DA$19&gt;=$DX49,    DA$19&lt;=($DY49+$DI$17)  ))   ,$DW49,  "")</f>
        <v/>
      </c>
      <c r="DB49" s="106" t="str">
        <f aca="false">IF(    OR(   AND($C49=10000000,    $A$17&lt;=DB$19,      ($A$17+$DI$17)&gt;DB$19    ),   AND($C49&lt;&gt;10000000,  DB$19&gt;=$DX49,    DB$19&lt;=($DY49+$DI$17)  ))   ,$DW49,  "")</f>
        <v/>
      </c>
      <c r="DC49" s="106" t="str">
        <f aca="false">IF(    OR(   AND($C49=10000000,    $A$17&lt;=DC$19,      ($A$17+$DI$17)&gt;DC$19    ),   AND($C49&lt;&gt;10000000,  DC$19&gt;=$DX49,    DC$19&lt;=($DY49+$DI$17)  ))   ,$DW49,  "")</f>
        <v/>
      </c>
      <c r="DD49" s="106" t="str">
        <f aca="false">IF(    OR(   AND($C49=10000000,    $A$17&lt;=DD$19,      ($A$17+$DI$17)&gt;DD$19    ),   AND($C49&lt;&gt;10000000,  DD$19&gt;=$DX49,    DD$19&lt;=($DY49+$DI$17)  ))   ,$DW49,  "")</f>
        <v/>
      </c>
      <c r="DE49" s="106" t="str">
        <f aca="false">IF(    OR(   AND($C49=10000000,    $A$17&lt;=DE$19,      ($A$17+$DI$17)&gt;DE$19    ),   AND($C49&lt;&gt;10000000,  DE$19&gt;=$DX49,    DE$19&lt;=($DY49+$DI$17)  ))   ,$DW49,  "")</f>
        <v/>
      </c>
      <c r="DF49" s="106" t="str">
        <f aca="false">IF(    OR(   AND($C49=10000000,    $A$17&lt;=DF$19,      ($A$17+$DI$17)&gt;DF$19    ),   AND($C49&lt;&gt;10000000,  DF$19&gt;=$DX49,    DF$19&lt;=($DY49+$DI$17)  ))   ,$DW49,  "")</f>
        <v/>
      </c>
      <c r="DG49" s="106" t="str">
        <f aca="false">IF(    OR(   AND($C49=10000000,    $A$17&lt;=DG$19,      ($A$17+$DI$17)&gt;DG$19    ),   AND($C49&lt;&gt;10000000,  DG$19&gt;=$DX49,    DG$19&lt;=($DY49+$DI$17)  ))   ,$DW49,  "")</f>
        <v/>
      </c>
      <c r="DH49" s="106" t="str">
        <f aca="false">IF(    OR(   AND($C49=10000000,    $A$17&lt;=DH$19,      ($A$17+$DI$17)&gt;DH$19    ),   AND($C49&lt;&gt;10000000,  DH$19&gt;=$DX49,    DH$19&lt;=($DY49+$DI$17)  ))   ,$DW49,  "")</f>
        <v/>
      </c>
      <c r="DI49" s="106" t="str">
        <f aca="false">IF(    OR(   AND($C49=10000000,    $A$17&lt;=DI$19,      ($A$17+$DI$17)&gt;DI$19    ),   AND($C49&lt;&gt;10000000,  DI$19&gt;=$DX49,    DI$19&lt;=($DY49+$DI$17)  ))   ,$DW49,  "")</f>
        <v/>
      </c>
      <c r="DJ49" s="74" t="str">
        <f aca="false">IF(BC49="","",IF(ISERROR(FIND(CHAR(10),BC49,1)),BC49,LEFT(BC49,FIND(CHAR(10),BC49,1))))</f>
        <v/>
      </c>
      <c r="DK49" s="61" t="str">
        <f aca="false">IF(BC49="","",IFERROR(RIGHT(BC49,LEN(BC49)-FIND("@@@",SUBSTITUTE(BC49,CHAR(10),"@@@",LEN(BC49)-LEN(SUBSTITUTE(BC49,CHAR(10),""))),1)),BC49))</f>
        <v/>
      </c>
      <c r="DL49" s="61" t="str">
        <f aca="false">IF(BD49="","",IFERROR(RIGHT(BD49,LEN(BD49)-FIND("@@@",SUBSTITUTE(BD49,CHAR(10),"@@@",LEN(BD49)-LEN(SUBSTITUTE(BD49,CHAR(10),""))),1)),BD49))</f>
        <v/>
      </c>
      <c r="DM49" s="107" t="str">
        <f aca="false">IFERROR(DATE(("20"&amp;MID(DJ49,7,2))*1,MID(DJ49,4,2)*1,MID(DJ49,1,2)*1),"none")</f>
        <v>none</v>
      </c>
      <c r="DN49" s="107" t="str">
        <f aca="false">IFERROR(DATE(("20"&amp;MID(DK49,7,2))*1,MID(DK49,4,2)*1,MID(DK49,1,2)*1),"none")</f>
        <v>none</v>
      </c>
      <c r="DO49" s="107" t="n">
        <f aca="false">IF(DM49&lt;&gt;"none",DM49,DATE(1900,1,1))</f>
        <v>2</v>
      </c>
      <c r="DP49" s="107" t="n">
        <f aca="false">IF(DN49&lt;&gt;"none",DN49,DO49)</f>
        <v>2</v>
      </c>
      <c r="DQ49" s="108" t="n">
        <f aca="false">_xlfn.DAYS($A$17,DO49)</f>
        <v>46319</v>
      </c>
      <c r="DR49" s="108" t="n">
        <f aca="false">_xlfn.DAYS($A$17, DP49)</f>
        <v>46319</v>
      </c>
      <c r="DS49" s="60" t="n">
        <f aca="false">IF(DP49&lt;&gt;"",INT(DR49/7),0)</f>
        <v>6617</v>
      </c>
      <c r="DT49" s="108" t="n">
        <f aca="false">IF(N49="Overdue",_xlfn.DAYS($A$17,AM49),0)</f>
        <v>0</v>
      </c>
      <c r="DU49" s="108" t="n">
        <f aca="false">IF(AI49="Project",_xlfn.DAYS(AM49,$A$17),0)</f>
        <v>0</v>
      </c>
      <c r="DV49" s="60" t="str">
        <f aca="false">IFERROR(INDEX(Static!$D$5:$E$13,MATCH(AI49,Static!$D$5:$D$13,0),2),"")</f>
        <v/>
      </c>
      <c r="DW49" s="60" t="str">
        <f aca="false">IF(C49=10000000,"Red",IF(OR(C49=11000000,C49=12000000),"Black",IF(C49=11100000,"Dark",IF(AND(C49=12100000,N49="Completed"),"Green",IF(AND(C49=12100000,N49="Overdue"),"Red",IF(C49=12100000,"Dark",IF(AND(C49=12110000,N49="Overdue"),"LightRed",IF(AND(C49=12110000,N49="Completed"),"LightGreen",IF(OR(C49=11110000,C49=12110000),"Light",IF(AND(C49=12111000,N49="Overdue"),"SoftRed",IF(AND(C49=12111000,N49="Completed"),"SoftGreen",IF(OR(C49=11111000,C49=12111000),"Grey",""))))))))))))</f>
        <v/>
      </c>
      <c r="DX49" s="58" t="n">
        <f aca="false">IF(AL49&lt;&gt;"",AL49,$BJ$19)</f>
        <v>45658</v>
      </c>
      <c r="DY49" s="58" t="n">
        <f aca="false">IF(AM49&lt;&gt;"",AM49,$DI$19)</f>
        <v>46387</v>
      </c>
      <c r="DZ49" s="62" t="s">
        <v>364</v>
      </c>
    </row>
    <row r="50" customFormat="false" ht="14.15" hidden="false" customHeight="true" outlineLevel="0" collapsed="false">
      <c r="A50" s="54"/>
      <c r="B50" s="61" t="n">
        <f aca="false">AI50</f>
        <v>0</v>
      </c>
      <c r="C50" s="60" t="n">
        <f aca="false">IFERROR(INDEX(Static!$D$5:$F$13,MATCH(AI50,Static!$D$5:$D$13,0),3),90000000)</f>
        <v>90000000</v>
      </c>
      <c r="D50" s="60" t="str">
        <f aca="false">MID(C50,2,1)</f>
        <v>0</v>
      </c>
      <c r="E50" s="61" t="str">
        <f aca="false">AC50</f>
        <v/>
      </c>
      <c r="F50" s="60" t="n">
        <f aca="false">IF(B50="Venture",0,IF(OR(B50="Project",B50="Stream",B50="Action"),AL50,0))</f>
        <v>0</v>
      </c>
      <c r="G50" s="60" t="n">
        <f aca="false">AT50</f>
        <v>0</v>
      </c>
      <c r="H50" s="60" t="n">
        <f aca="false">IF(B50="Venture",0,IFERROR(INDEX($E$20:$F$55,MATCH(G50,$E$20:$E$55,0),2),0))</f>
        <v>0</v>
      </c>
      <c r="I50" s="60" t="str">
        <f aca="false">IF(B50="Venture",0,IFERROR(INDEX($E$20:$G$55,MATCH(G50,$E$20:$E$55,0),3),""))</f>
        <v/>
      </c>
      <c r="J50" s="60" t="n">
        <f aca="false">IF(B50="Venture",0,IFERROR(INDEX($E$20:$H$55,MATCH(G50,$E$20:$E$55,0),4),0))</f>
        <v>0</v>
      </c>
      <c r="K50" s="60" t="n">
        <f aca="false">IF(B50="Venture",0,IFERROR(INDEX($E$20:$G$55,MATCH(I50,$E$20:$E$55,0),3),""))</f>
        <v>0</v>
      </c>
      <c r="L50" s="60" t="n">
        <f aca="false">IF(C50="Venture",0,IFERROR(INDEX($E$20:$G$55,MATCH(J50,$E$20:$E$55,0),4),0))</f>
        <v>0</v>
      </c>
      <c r="M50" s="60" t="str">
        <f aca="false">IF(N50="Completed","Completed","Ongoing")</f>
        <v>Ongoing</v>
      </c>
      <c r="N50" s="60" t="n">
        <f aca="false">IF(OR(AI50="Venture",AI50="Routine",AI50="Run Goal", AI50="Chg Goal", AI50=""),AI50,IF(AO50&lt;&gt;"","Completed",IF(AN50&lt;&gt;"","Pending",IF(AND(AM50&lt;&gt;"",$A$17&gt;AM50),"Overdue",IF($A$17&gt;AL50,"Started","Open")))))</f>
        <v>0</v>
      </c>
      <c r="O50" s="59" t="n">
        <f aca="false">((LEN($BD50)-LEN(SUBSTITUTE($BD50,CHAR(10)&amp;". ","")))/3)+IF(LEFT(TRIM($BD50),2)=". ",1,0)</f>
        <v>0</v>
      </c>
      <c r="P50" s="59" t="n">
        <f aca="false">((LEN($BD50)-LEN(SUBSTITUTE($BD50,CHAR(10)&amp;"/ ","")))/3)+IF(LEFT(TRIM($BD50),2)="/ ",1,0)</f>
        <v>0</v>
      </c>
      <c r="Q50" s="59" t="n">
        <f aca="false">((LEN($BD50)-LEN(SUBSTITUTE($BD50,CHAR(10)&amp;"~ ","")))/3)+IF(LEFT(TRIM($BD50),2)="~ ",1,0)</f>
        <v>0</v>
      </c>
      <c r="R50" s="59" t="n">
        <f aca="false">((LEN($BD50)-LEN(SUBSTITUTE($BD50,CHAR(10)&amp;"! ","")))/3)+IF(LEFT(TRIM($BD50),2)="! ",1,0)</f>
        <v>0</v>
      </c>
      <c r="S50" s="59" t="n">
        <f aca="false">((LEN($BD50)-LEN(SUBSTITUTE($BD50,CHAR(10)&amp;"x ","")))/3)+IF(LEFT(TRIM($BD50),2)="x ",1,0)</f>
        <v>0</v>
      </c>
      <c r="T50" s="59" t="n">
        <f aca="false">SUM(O50:S50)</f>
        <v>0</v>
      </c>
      <c r="U50" s="60" t="n">
        <f aca="false">IF(OR($B50="Drill",$B50="Action"),$AP50,0)</f>
        <v>0</v>
      </c>
      <c r="V50" s="60" t="n">
        <f aca="false">IF(OR($B50="Sub",$B50="Stream"),$AP50+SUMIFS($AP$20:$AP$55,$G$20:$G$55,$E50),0)</f>
        <v>0</v>
      </c>
      <c r="W50" s="60" t="n">
        <f aca="false">IF(OR($B50="Routine",$B50="Project"),$AP50+SUMIFS($V$20:$V$55,$G$20:$G$55,$E50),0)</f>
        <v>0</v>
      </c>
      <c r="X50" s="60" t="n">
        <f aca="false">IF($B50="Venture",$AP50+SUMIFS($W$20:$W$55,$G$20:$G$55,$E50),0)</f>
        <v>0</v>
      </c>
      <c r="Y50" s="60" t="n">
        <f aca="false">IF(OR($B50="Drill",$B50="Action"),$AQ50,0)</f>
        <v>0</v>
      </c>
      <c r="Z50" s="60" t="n">
        <f aca="false">IF(OR($B50="Sub",$B50="Stream"),$AQ50+SUMIFS($AQ$20:$AQ$55,$G$20:$G$55,$E50),0)</f>
        <v>0</v>
      </c>
      <c r="AA50" s="60" t="n">
        <f aca="false">IF(OR($B50="Routine",$B50="Project"),$AQ50+SUMIFS($Z$20:$Z$55,$G$20:$G$55,$E50),0)</f>
        <v>0</v>
      </c>
      <c r="AB50" s="60" t="n">
        <f aca="false">IF($B50="Venture",$AQ50+SUMIFS($AA$20:$AA$55,$G$20:$G$55,$E50),0)</f>
        <v>0</v>
      </c>
      <c r="AC50" s="60" t="str">
        <f aca="false">IF(AI50="Venture",AJ50,AI50&amp;AJ50)</f>
        <v/>
      </c>
      <c r="AD50" s="61" t="str">
        <f aca="false">"  -  "&amp;IF(E50="","ZZZ",D50&amp;AF50&amp;IF(OR(B50="Run Goal",B50="Chg Goal", B50="Venture"),F50&amp;E50,IF(OR(B50="Routine",B50="Project"),H50&amp;G50&amp;F50&amp;E50,  IF(OR(B50="Sub",B50="Stream"),J50&amp;I50&amp;H50&amp;G50&amp;F50&amp;E50,IF(OR(B50="Drill",B50="Action"),L50&amp;K50&amp;J50&amp;I50&amp;H50&amp;G50&amp;F50&amp;E50,     "") )    )))</f>
        <v>  -  ZZZ</v>
      </c>
      <c r="AE50" s="60" t="str">
        <f aca="false">IF(AND(AN50="",AO50=""),"Y","N")</f>
        <v>Y</v>
      </c>
      <c r="AF50" s="99" t="str">
        <f aca="false">IF(OR(AG50="Y",AG50="Y"),AG50,IF(DN50="none","N",IF(DN50&gt;($A$17-WEEKDAY($A$17,2)-(7*$AF$18)),"Y","N")))</f>
        <v>N</v>
      </c>
      <c r="AG50" s="100"/>
      <c r="AH50" s="101"/>
      <c r="AI50" s="62"/>
      <c r="AJ50" s="64"/>
      <c r="AK50" s="64"/>
      <c r="AL50" s="70"/>
      <c r="AM50" s="70"/>
      <c r="AN50" s="70"/>
      <c r="AO50" s="70"/>
      <c r="AP50" s="102"/>
      <c r="AQ50" s="102"/>
      <c r="AR50" s="62"/>
      <c r="AS50" s="62"/>
      <c r="AT50" s="62"/>
      <c r="AU50" s="62"/>
      <c r="AV50" s="62"/>
      <c r="AW50" s="62"/>
      <c r="AX50" s="62"/>
      <c r="AY50" s="62"/>
      <c r="AZ50" s="62"/>
      <c r="BA50" s="62"/>
      <c r="BB50" s="54"/>
      <c r="BC50" s="54"/>
      <c r="BD50" s="54"/>
      <c r="BE50" s="60" t="n">
        <f aca="false">SUM(O50:R50)</f>
        <v>0</v>
      </c>
      <c r="BF50" s="66" t="n">
        <f aca="false">IF(AJ50="",1,IF(T50&lt;&gt;0,(P50*0.5+S50)/T50,1))</f>
        <v>1</v>
      </c>
      <c r="BG50" s="69" t="str">
        <f aca="false">IF(AI50="","",IF(AI50="Venture",X50,IF(OR(AI50="Chg Goal",AI50="RUn Goal"),W50,IF(OR(AI50="ROutine",AI50="Project"),W50,IF(OR(AI50="Sub",AI50="Stream"),V50,IF(OR(AI50="Drill",AI50="Action"),U50,0))))))</f>
        <v/>
      </c>
      <c r="BH50" s="69" t="str">
        <f aca="false">IF(AI50="","",IF(AI50="Venture",AB50,IF(OR(AI50="Chg Goal",AI50="RUn Goal"),AA50,IF(OR(AI50="ROutine",AI50="Project"),AA50,IF(OR(AI50="Sub",AI50="Stream"),Z50,IF(OR(AI50="Drill",AI50="Action"),Y50,0))))))</f>
        <v/>
      </c>
      <c r="BI50" s="104" t="str">
        <f aca="false">IF(AJ50="","",IF(OR(BG50=0, BG50=""),0,BH50/BG50))</f>
        <v/>
      </c>
      <c r="BJ50" s="105" t="str">
        <f aca="false">IF(    OR(   AND($C50=10000000,    BJ$19&gt;=$A$17,      BJ$19 &lt;($A$17+$DI$17)   ),   AND($C50&lt;&gt;10000000,  BJ$19&gt;=$DX50,    BJ$19&lt;=($DY50+$DI$17)  ))   ,$DW50,  "")</f>
        <v/>
      </c>
      <c r="BK50" s="106" t="str">
        <f aca="false">IF(    OR(   AND($C50=10000000,    $A$17&lt;=BK$19,      ($A$17+$DI$17)&gt;BK$19    ),   AND($C50&lt;&gt;10000000,  BK$19&gt;=$DX50,    BK$19&lt;=($DY50+$DI$17)  ))   ,$DW50,  "")</f>
        <v/>
      </c>
      <c r="BL50" s="106" t="str">
        <f aca="false">IF(    OR(   AND($C50=10000000,    $A$17&lt;=BL$19,      ($A$17+$DI$17)&gt;BL$19    ),   AND($C50&lt;&gt;10000000,  BL$19&gt;=$DX50,    BL$19&lt;=($DY50+$DI$17)  ))   ,$DW50,  "")</f>
        <v/>
      </c>
      <c r="BM50" s="106" t="str">
        <f aca="false">IF(    OR(   AND($C50=10000000,    $A$17&lt;=BM$19,      ($A$17+$DI$17)&gt;BM$19    ),   AND($C50&lt;&gt;10000000,  BM$19&gt;=$DX50,    BM$19&lt;=($DY50+$DI$17)  ))   ,$DW50,  "")</f>
        <v/>
      </c>
      <c r="BN50" s="106" t="str">
        <f aca="false">IF(    OR(   AND($C50=10000000,    $A$17&lt;=BN$19,      ($A$17+$DI$17)&gt;BN$19    ),   AND($C50&lt;&gt;10000000,  BN$19&gt;=$DX50,    BN$19&lt;=($DY50+$DI$17)  ))   ,$DW50,  "")</f>
        <v/>
      </c>
      <c r="BO50" s="106" t="str">
        <f aca="false">IF(    OR(   AND($C50=10000000,    $A$17&lt;=BO$19,      ($A$17+$DI$17)&gt;BO$19    ),   AND($C50&lt;&gt;10000000,  BO$19&gt;=$DX50,    BO$19&lt;=($DY50+$DI$17)  ))   ,$DW50,  "")</f>
        <v/>
      </c>
      <c r="BP50" s="106" t="str">
        <f aca="false">IF(    OR(   AND($C50=10000000,    $A$17&lt;=BP$19,      ($A$17+$DI$17)&gt;BP$19    ),   AND($C50&lt;&gt;10000000,  BP$19&gt;=$DX50,    BP$19&lt;=($DY50+$DI$17)  ))   ,$DW50,  "")</f>
        <v/>
      </c>
      <c r="BQ50" s="106" t="str">
        <f aca="false">IF(    OR(   AND($C50=10000000,    $A$17&lt;=BQ$19,      ($A$17+$DI$17)&gt;BQ$19    ),   AND($C50&lt;&gt;10000000,  BQ$19&gt;=$DX50,    BQ$19&lt;=($DY50+$DI$17)  ))   ,$DW50,  "")</f>
        <v/>
      </c>
      <c r="BR50" s="106" t="str">
        <f aca="false">IF(    OR(   AND($C50=10000000,    $A$17&lt;=BR$19,      ($A$17+$DI$17)&gt;BR$19    ),   AND($C50&lt;&gt;10000000,  BR$19&gt;=$DX50,    BR$19&lt;=($DY50+$DI$17)  ))   ,$DW50,  "")</f>
        <v/>
      </c>
      <c r="BS50" s="106" t="str">
        <f aca="false">IF(    OR(   AND($C50=10000000,    $A$17&lt;=BS$19,      ($A$17+$DI$17)&gt;BS$19    ),   AND($C50&lt;&gt;10000000,  BS$19&gt;=$DX50,    BS$19&lt;=($DY50+$DI$17)  ))   ,$DW50,  "")</f>
        <v/>
      </c>
      <c r="BT50" s="106" t="str">
        <f aca="false">IF(    OR(   AND($C50=10000000,    $A$17&lt;=BT$19,      ($A$17+$DI$17)&gt;BT$19    ),   AND($C50&lt;&gt;10000000,  BT$19&gt;=$DX50,    BT$19&lt;=($DY50+$DI$17)  ))   ,$DW50,  "")</f>
        <v/>
      </c>
      <c r="BU50" s="106" t="str">
        <f aca="false">IF(    OR(   AND($C50=10000000,    $A$17&lt;=BU$19,      ($A$17+$DI$17)&gt;BU$19    ),   AND($C50&lt;&gt;10000000,  BU$19&gt;=$DX50,    BU$19&lt;=($DY50+$DI$17)  ))   ,$DW50,  "")</f>
        <v/>
      </c>
      <c r="BV50" s="106" t="str">
        <f aca="false">IF(    OR(   AND($C50=10000000,    $A$17&lt;=BV$19,      ($A$17+$DI$17)&gt;BV$19    ),   AND($C50&lt;&gt;10000000,  BV$19&gt;=$DX50,    BV$19&lt;=($DY50+$DI$17)  ))   ,$DW50,  "")</f>
        <v/>
      </c>
      <c r="BW50" s="106" t="str">
        <f aca="false">IF(    OR(   AND($C50=10000000,    $A$17&lt;=BW$19,      ($A$17+$DI$17)&gt;BW$19    ),   AND($C50&lt;&gt;10000000,  BW$19&gt;=$DX50,    BW$19&lt;=($DY50+$DI$17)  ))   ,$DW50,  "")</f>
        <v/>
      </c>
      <c r="BX50" s="106" t="str">
        <f aca="false">IF(    OR(   AND($C50=10000000,    $A$17&lt;=BX$19,      ($A$17+$DI$17)&gt;BX$19    ),   AND($C50&lt;&gt;10000000,  BX$19&gt;=$DX50,    BX$19&lt;=($DY50+$DI$17)  ))   ,$DW50,  "")</f>
        <v/>
      </c>
      <c r="BY50" s="106" t="str">
        <f aca="false">IF(    OR(   AND($C50=10000000,    $A$17&lt;=BY$19,      ($A$17+$DI$17)&gt;BY$19    ),   AND($C50&lt;&gt;10000000,  BY$19&gt;=$DX50,    BY$19&lt;=($DY50+$DI$17)  ))   ,$DW50,  "")</f>
        <v/>
      </c>
      <c r="BZ50" s="106" t="str">
        <f aca="false">IF(    OR(   AND($C50=10000000,    $A$17&lt;=BZ$19,      ($A$17+$DI$17)&gt;BZ$19    ),   AND($C50&lt;&gt;10000000,  BZ$19&gt;=$DX50,    BZ$19&lt;=($DY50+$DI$17)  ))   ,$DW50,  "")</f>
        <v/>
      </c>
      <c r="CA50" s="106" t="str">
        <f aca="false">IF(    OR(   AND($C50=10000000,    $A$17&lt;=CA$19,      ($A$17+$DI$17)&gt;CA$19    ),   AND($C50&lt;&gt;10000000,  CA$19&gt;=$DX50,    CA$19&lt;=($DY50+$DI$17)  ))   ,$DW50,  "")</f>
        <v/>
      </c>
      <c r="CB50" s="106" t="str">
        <f aca="false">IF(    OR(   AND($C50=10000000,    $A$17&lt;=CB$19,      ($A$17+$DI$17)&gt;CB$19    ),   AND($C50&lt;&gt;10000000,  CB$19&gt;=$DX50,    CB$19&lt;=($DY50+$DI$17)  ))   ,$DW50,  "")</f>
        <v/>
      </c>
      <c r="CC50" s="106" t="str">
        <f aca="false">IF(    OR(   AND($C50=10000000,    $A$17&lt;=CC$19,      ($A$17+$DI$17)&gt;CC$19    ),   AND($C50&lt;&gt;10000000,  CC$19&gt;=$DX50,    CC$19&lt;=($DY50+$DI$17)  ))   ,$DW50,  "")</f>
        <v/>
      </c>
      <c r="CD50" s="106" t="str">
        <f aca="false">IF(    OR(   AND($C50=10000000,    $A$17&lt;=CD$19,      ($A$17+$DI$17)&gt;CD$19    ),   AND($C50&lt;&gt;10000000,  CD$19&gt;=$DX50,    CD$19&lt;=($DY50+$DI$17)  ))   ,$DW50,  "")</f>
        <v/>
      </c>
      <c r="CE50" s="106" t="str">
        <f aca="false">IF(    OR(   AND($C50=10000000,    $A$17&lt;=CE$19,      ($A$17+$DI$17)&gt;CE$19    ),   AND($C50&lt;&gt;10000000,  CE$19&gt;=$DX50,    CE$19&lt;=($DY50+$DI$17)  ))   ,$DW50,  "")</f>
        <v/>
      </c>
      <c r="CF50" s="106" t="str">
        <f aca="false">IF(    OR(   AND($C50=10000000,    $A$17&lt;=CF$19,      ($A$17+$DI$17)&gt;CF$19    ),   AND($C50&lt;&gt;10000000,  CF$19&gt;=$DX50,    CF$19&lt;=($DY50+$DI$17)  ))   ,$DW50,  "")</f>
        <v/>
      </c>
      <c r="CG50" s="106" t="str">
        <f aca="false">IF(    OR(   AND($C50=10000000,    $A$17&lt;=CG$19,      ($A$17+$DI$17)&gt;CG$19    ),   AND($C50&lt;&gt;10000000,  CG$19&gt;=$DX50,    CG$19&lt;=($DY50+$DI$17)  ))   ,$DW50,  "")</f>
        <v/>
      </c>
      <c r="CH50" s="106" t="str">
        <f aca="false">IF(    OR(   AND($C50=10000000,    $A$17&lt;=CH$19,      ($A$17+$DI$17)&gt;CH$19    ),   AND($C50&lt;&gt;10000000,  CH$19&gt;=$DX50,    CH$19&lt;=($DY50+$DI$17)  ))   ,$DW50,  "")</f>
        <v/>
      </c>
      <c r="CI50" s="106" t="str">
        <f aca="false">IF(    OR(   AND($C50=10000000,    $A$17&lt;=CI$19,      ($A$17+$DI$17)&gt;CI$19    ),   AND($C50&lt;&gt;10000000,  CI$19&gt;=$DX50,    CI$19&lt;=($DY50+$DI$17)  ))   ,$DW50,  "")</f>
        <v/>
      </c>
      <c r="CJ50" s="106" t="str">
        <f aca="false">IF(    OR(   AND($C50=10000000,    $A$17&lt;=CJ$19,      ($A$17+$DI$17)&gt;CJ$19    ),   AND($C50&lt;&gt;10000000,  CJ$19&gt;=$DX50,    CJ$19&lt;=($DY50+$DI$17)  ))   ,$DW50,  "")</f>
        <v/>
      </c>
      <c r="CK50" s="106" t="str">
        <f aca="false">IF(    OR(   AND($C50=10000000,    $A$17&lt;=CK$19,      ($A$17+$DI$17)&gt;CK$19    ),   AND($C50&lt;&gt;10000000,  CK$19&gt;=$DX50,    CK$19&lt;=($DY50+$DI$17)  ))   ,$DW50,  "")</f>
        <v/>
      </c>
      <c r="CL50" s="106" t="str">
        <f aca="false">IF(    OR(   AND($C50=10000000,    $A$17&lt;=CL$19,      ($A$17+$DI$17)&gt;CL$19    ),   AND($C50&lt;&gt;10000000,  CL$19&gt;=$DX50,    CL$19&lt;=($DY50+$DI$17)  ))   ,$DW50,  "")</f>
        <v/>
      </c>
      <c r="CM50" s="106" t="str">
        <f aca="false">IF(    OR(   AND($C50=10000000,    $A$17&lt;=CM$19,      ($A$17+$DI$17)&gt;CM$19    ),   AND($C50&lt;&gt;10000000,  CM$19&gt;=$DX50,    CM$19&lt;=($DY50+$DI$17)  ))   ,$DW50,  "")</f>
        <v/>
      </c>
      <c r="CN50" s="106" t="str">
        <f aca="false">IF(    OR(   AND($C50=10000000,    $A$17&lt;=CN$19,      ($A$17+$DI$17)&gt;CN$19    ),   AND($C50&lt;&gt;10000000,  CN$19&gt;=$DX50,    CN$19&lt;=($DY50+$DI$17)  ))   ,$DW50,  "")</f>
        <v/>
      </c>
      <c r="CO50" s="106" t="str">
        <f aca="false">IF(    OR(   AND($C50=10000000,    $A$17&lt;=CO$19,      ($A$17+$DI$17)&gt;CO$19    ),   AND($C50&lt;&gt;10000000,  CO$19&gt;=$DX50,    CO$19&lt;=($DY50+$DI$17)  ))   ,$DW50,  "")</f>
        <v/>
      </c>
      <c r="CP50" s="106" t="str">
        <f aca="false">IF(    OR(   AND($C50=10000000,    $A$17&lt;=CP$19,      ($A$17+$DI$17)&gt;CP$19    ),   AND($C50&lt;&gt;10000000,  CP$19&gt;=$DX50,    CP$19&lt;=($DY50+$DI$17)  ))   ,$DW50,  "")</f>
        <v/>
      </c>
      <c r="CQ50" s="106" t="str">
        <f aca="false">IF(    OR(   AND($C50=10000000,    $A$17&lt;=CQ$19,      ($A$17+$DI$17)&gt;CQ$19    ),   AND($C50&lt;&gt;10000000,  CQ$19&gt;=$DX50,    CQ$19&lt;=($DY50+$DI$17)  ))   ,$DW50,  "")</f>
        <v/>
      </c>
      <c r="CR50" s="106" t="str">
        <f aca="false">IF(    OR(   AND($C50=10000000,    $A$17&lt;=CR$19,      ($A$17+$DI$17)&gt;CR$19    ),   AND($C50&lt;&gt;10000000,  CR$19&gt;=$DX50,    CR$19&lt;=($DY50+$DI$17)  ))   ,$DW50,  "")</f>
        <v/>
      </c>
      <c r="CS50" s="106" t="str">
        <f aca="false">IF(    OR(   AND($C50=10000000,    $A$17&lt;=CS$19,      ($A$17+$DI$17)&gt;CS$19    ),   AND($C50&lt;&gt;10000000,  CS$19&gt;=$DX50,    CS$19&lt;=($DY50+$DI$17)  ))   ,$DW50,  "")</f>
        <v/>
      </c>
      <c r="CT50" s="106" t="str">
        <f aca="false">IF(    OR(   AND($C50=10000000,    $A$17&lt;=CT$19,      ($A$17+$DI$17)&gt;CT$19    ),   AND($C50&lt;&gt;10000000,  CT$19&gt;=$DX50,    CT$19&lt;=($DY50+$DI$17)  ))   ,$DW50,  "")</f>
        <v/>
      </c>
      <c r="CU50" s="106" t="str">
        <f aca="false">IF(    OR(   AND($C50=10000000,    $A$17&lt;=CU$19,      ($A$17+$DI$17)&gt;CU$19    ),   AND($C50&lt;&gt;10000000,  CU$19&gt;=$DX50,    CU$19&lt;=($DY50+$DI$17)  ))   ,$DW50,  "")</f>
        <v/>
      </c>
      <c r="CV50" s="106" t="str">
        <f aca="false">IF(    OR(   AND($C50=10000000,    $A$17&lt;=CV$19,      ($A$17+$DI$17)&gt;CV$19    ),   AND($C50&lt;&gt;10000000,  CV$19&gt;=$DX50,    CV$19&lt;=($DY50+$DI$17)  ))   ,$DW50,  "")</f>
        <v/>
      </c>
      <c r="CW50" s="106" t="str">
        <f aca="false">IF(    OR(   AND($C50=10000000,    $A$17&lt;=CW$19,      ($A$17+$DI$17)&gt;CW$19    ),   AND($C50&lt;&gt;10000000,  CW$19&gt;=$DX50,    CW$19&lt;=($DY50+$DI$17)  ))   ,$DW50,  "")</f>
        <v/>
      </c>
      <c r="CX50" s="106" t="str">
        <f aca="false">IF(    OR(   AND($C50=10000000,    $A$17&lt;=CX$19,      ($A$17+$DI$17)&gt;CX$19    ),   AND($C50&lt;&gt;10000000,  CX$19&gt;=$DX50,    CX$19&lt;=($DY50+$DI$17)  ))   ,$DW50,  "")</f>
        <v/>
      </c>
      <c r="CY50" s="106" t="str">
        <f aca="false">IF(    OR(   AND($C50=10000000,    $A$17&lt;=CY$19,      ($A$17+$DI$17)&gt;CY$19    ),   AND($C50&lt;&gt;10000000,  CY$19&gt;=$DX50,    CY$19&lt;=($DY50+$DI$17)  ))   ,$DW50,  "")</f>
        <v/>
      </c>
      <c r="CZ50" s="106" t="str">
        <f aca="false">IF(    OR(   AND($C50=10000000,    $A$17&lt;=CZ$19,      ($A$17+$DI$17)&gt;CZ$19    ),   AND($C50&lt;&gt;10000000,  CZ$19&gt;=$DX50,    CZ$19&lt;=($DY50+$DI$17)  ))   ,$DW50,  "")</f>
        <v/>
      </c>
      <c r="DA50" s="106" t="str">
        <f aca="false">IF(    OR(   AND($C50=10000000,    $A$17&lt;=DA$19,      ($A$17+$DI$17)&gt;DA$19    ),   AND($C50&lt;&gt;10000000,  DA$19&gt;=$DX50,    DA$19&lt;=($DY50+$DI$17)  ))   ,$DW50,  "")</f>
        <v/>
      </c>
      <c r="DB50" s="106" t="str">
        <f aca="false">IF(    OR(   AND($C50=10000000,    $A$17&lt;=DB$19,      ($A$17+$DI$17)&gt;DB$19    ),   AND($C50&lt;&gt;10000000,  DB$19&gt;=$DX50,    DB$19&lt;=($DY50+$DI$17)  ))   ,$DW50,  "")</f>
        <v/>
      </c>
      <c r="DC50" s="106" t="str">
        <f aca="false">IF(    OR(   AND($C50=10000000,    $A$17&lt;=DC$19,      ($A$17+$DI$17)&gt;DC$19    ),   AND($C50&lt;&gt;10000000,  DC$19&gt;=$DX50,    DC$19&lt;=($DY50+$DI$17)  ))   ,$DW50,  "")</f>
        <v/>
      </c>
      <c r="DD50" s="106" t="str">
        <f aca="false">IF(    OR(   AND($C50=10000000,    $A$17&lt;=DD$19,      ($A$17+$DI$17)&gt;DD$19    ),   AND($C50&lt;&gt;10000000,  DD$19&gt;=$DX50,    DD$19&lt;=($DY50+$DI$17)  ))   ,$DW50,  "")</f>
        <v/>
      </c>
      <c r="DE50" s="106" t="str">
        <f aca="false">IF(    OR(   AND($C50=10000000,    $A$17&lt;=DE$19,      ($A$17+$DI$17)&gt;DE$19    ),   AND($C50&lt;&gt;10000000,  DE$19&gt;=$DX50,    DE$19&lt;=($DY50+$DI$17)  ))   ,$DW50,  "")</f>
        <v/>
      </c>
      <c r="DF50" s="106" t="str">
        <f aca="false">IF(    OR(   AND($C50=10000000,    $A$17&lt;=DF$19,      ($A$17+$DI$17)&gt;DF$19    ),   AND($C50&lt;&gt;10000000,  DF$19&gt;=$DX50,    DF$19&lt;=($DY50+$DI$17)  ))   ,$DW50,  "")</f>
        <v/>
      </c>
      <c r="DG50" s="106" t="str">
        <f aca="false">IF(    OR(   AND($C50=10000000,    $A$17&lt;=DG$19,      ($A$17+$DI$17)&gt;DG$19    ),   AND($C50&lt;&gt;10000000,  DG$19&gt;=$DX50,    DG$19&lt;=($DY50+$DI$17)  ))   ,$DW50,  "")</f>
        <v/>
      </c>
      <c r="DH50" s="106" t="str">
        <f aca="false">IF(    OR(   AND($C50=10000000,    $A$17&lt;=DH$19,      ($A$17+$DI$17)&gt;DH$19    ),   AND($C50&lt;&gt;10000000,  DH$19&gt;=$DX50,    DH$19&lt;=($DY50+$DI$17)  ))   ,$DW50,  "")</f>
        <v/>
      </c>
      <c r="DI50" s="106" t="str">
        <f aca="false">IF(    OR(   AND($C50=10000000,    $A$17&lt;=DI$19,      ($A$17+$DI$17)&gt;DI$19    ),   AND($C50&lt;&gt;10000000,  DI$19&gt;=$DX50,    DI$19&lt;=($DY50+$DI$17)  ))   ,$DW50,  "")</f>
        <v/>
      </c>
      <c r="DJ50" s="74" t="str">
        <f aca="false">IF(BC50="","",IF(ISERROR(FIND(CHAR(10),BC50,1)),BC50,LEFT(BC50,FIND(CHAR(10),BC50,1))))</f>
        <v/>
      </c>
      <c r="DK50" s="61" t="str">
        <f aca="false">IF(BC50="","",IFERROR(RIGHT(BC50,LEN(BC50)-FIND("@@@",SUBSTITUTE(BC50,CHAR(10),"@@@",LEN(BC50)-LEN(SUBSTITUTE(BC50,CHAR(10),""))),1)),BC50))</f>
        <v/>
      </c>
      <c r="DL50" s="61" t="str">
        <f aca="false">IF(BD50="","",IFERROR(RIGHT(BD50,LEN(BD50)-FIND("@@@",SUBSTITUTE(BD50,CHAR(10),"@@@",LEN(BD50)-LEN(SUBSTITUTE(BD50,CHAR(10),""))),1)),BD50))</f>
        <v/>
      </c>
      <c r="DM50" s="107" t="str">
        <f aca="false">IFERROR(DATE(("20"&amp;MID(DJ50,7,2))*1,MID(DJ50,4,2)*1,MID(DJ50,1,2)*1),"none")</f>
        <v>none</v>
      </c>
      <c r="DN50" s="107" t="str">
        <f aca="false">IFERROR(DATE(("20"&amp;MID(DK50,7,2))*1,MID(DK50,4,2)*1,MID(DK50,1,2)*1),"none")</f>
        <v>none</v>
      </c>
      <c r="DO50" s="107" t="n">
        <f aca="false">IF(DM50&lt;&gt;"none",DM50,DATE(1900,1,1))</f>
        <v>2</v>
      </c>
      <c r="DP50" s="107" t="n">
        <f aca="false">IF(DN50&lt;&gt;"none",DN50,DO50)</f>
        <v>2</v>
      </c>
      <c r="DQ50" s="108" t="n">
        <f aca="false">_xlfn.DAYS($A$17,DO50)</f>
        <v>46319</v>
      </c>
      <c r="DR50" s="108" t="n">
        <f aca="false">_xlfn.DAYS($A$17, DP50)</f>
        <v>46319</v>
      </c>
      <c r="DS50" s="60" t="n">
        <f aca="false">IF(DP50&lt;&gt;"",INT(DR50/7),0)</f>
        <v>6617</v>
      </c>
      <c r="DT50" s="108" t="n">
        <f aca="false">IF(N50="Overdue",_xlfn.DAYS($A$17,AM50),0)</f>
        <v>0</v>
      </c>
      <c r="DU50" s="108" t="n">
        <f aca="false">IF(AI50="Project",_xlfn.DAYS(AM50,$A$17),0)</f>
        <v>0</v>
      </c>
      <c r="DV50" s="60" t="str">
        <f aca="false">IFERROR(INDEX(Static!$D$5:$E$13,MATCH(AI50,Static!$D$5:$D$13,0),2),"")</f>
        <v/>
      </c>
      <c r="DW50" s="60" t="str">
        <f aca="false">IF(C50=10000000,"Red",IF(OR(C50=11000000,C50=12000000),"Black",IF(C50=11100000,"Dark",IF(AND(C50=12100000,N50="Completed"),"Green",IF(AND(C50=12100000,N50="Overdue"),"Red",IF(C50=12100000,"Dark",IF(AND(C50=12110000,N50="Overdue"),"LightRed",IF(AND(C50=12110000,N50="Completed"),"LightGreen",IF(OR(C50=11110000,C50=12110000),"Light",IF(AND(C50=12111000,N50="Overdue"),"SoftRed",IF(AND(C50=12111000,N50="Completed"),"SoftGreen",IF(OR(C50=11111000,C50=12111000),"Grey",""))))))))))))</f>
        <v/>
      </c>
      <c r="DX50" s="58" t="n">
        <f aca="false">IF(AL50&lt;&gt;"",AL50,$BJ$19)</f>
        <v>45658</v>
      </c>
      <c r="DY50" s="58" t="n">
        <f aca="false">IF(AM50&lt;&gt;"",AM50,$DI$19)</f>
        <v>46387</v>
      </c>
      <c r="DZ50" s="62" t="s">
        <v>364</v>
      </c>
    </row>
    <row r="51" customFormat="false" ht="14.15" hidden="false" customHeight="true" outlineLevel="0" collapsed="false">
      <c r="A51" s="54"/>
      <c r="B51" s="61" t="n">
        <f aca="false">AI51</f>
        <v>0</v>
      </c>
      <c r="C51" s="60" t="n">
        <f aca="false">IFERROR(INDEX(Static!$D$5:$F$13,MATCH(AI51,Static!$D$5:$D$13,0),3),90000000)</f>
        <v>90000000</v>
      </c>
      <c r="D51" s="60" t="str">
        <f aca="false">MID(C51,2,1)</f>
        <v>0</v>
      </c>
      <c r="E51" s="61" t="str">
        <f aca="false">AC51</f>
        <v/>
      </c>
      <c r="F51" s="60" t="n">
        <f aca="false">IF(B51="Venture",0,IF(OR(B51="Project",B51="Stream",B51="Action"),AL51,0))</f>
        <v>0</v>
      </c>
      <c r="G51" s="60" t="n">
        <f aca="false">AT51</f>
        <v>0</v>
      </c>
      <c r="H51" s="60" t="n">
        <f aca="false">IF(B51="Venture",0,IFERROR(INDEX($E$20:$F$55,MATCH(G51,$E$20:$E$55,0),2),0))</f>
        <v>0</v>
      </c>
      <c r="I51" s="60" t="str">
        <f aca="false">IF(B51="Venture",0,IFERROR(INDEX($E$20:$G$55,MATCH(G51,$E$20:$E$55,0),3),""))</f>
        <v/>
      </c>
      <c r="J51" s="60" t="n">
        <f aca="false">IF(B51="Venture",0,IFERROR(INDEX($E$20:$H$55,MATCH(G51,$E$20:$E$55,0),4),0))</f>
        <v>0</v>
      </c>
      <c r="K51" s="60" t="n">
        <f aca="false">IF(B51="Venture",0,IFERROR(INDEX($E$20:$G$55,MATCH(I51,$E$20:$E$55,0),3),""))</f>
        <v>0</v>
      </c>
      <c r="L51" s="60" t="n">
        <f aca="false">IF(C51="Venture",0,IFERROR(INDEX($E$20:$G$55,MATCH(J51,$E$20:$E$55,0),4),0))</f>
        <v>0</v>
      </c>
      <c r="M51" s="60" t="str">
        <f aca="false">IF(N51="Completed","Completed","Ongoing")</f>
        <v>Ongoing</v>
      </c>
      <c r="N51" s="60" t="n">
        <f aca="false">IF(OR(AI51="Venture",AI51="Routine",AI51="Run Goal", AI51="Chg Goal", AI51=""),AI51,IF(AO51&lt;&gt;"","Completed",IF(AN51&lt;&gt;"","Pending",IF(AND(AM51&lt;&gt;"",$A$17&gt;AM51),"Overdue",IF($A$17&gt;AL51,"Started","Open")))))</f>
        <v>0</v>
      </c>
      <c r="O51" s="59" t="n">
        <f aca="false">((LEN($BD51)-LEN(SUBSTITUTE($BD51,CHAR(10)&amp;". ","")))/3)+IF(LEFT(TRIM($BD51),2)=". ",1,0)</f>
        <v>0</v>
      </c>
      <c r="P51" s="59" t="n">
        <f aca="false">((LEN($BD51)-LEN(SUBSTITUTE($BD51,CHAR(10)&amp;"/ ","")))/3)+IF(LEFT(TRIM($BD51),2)="/ ",1,0)</f>
        <v>0</v>
      </c>
      <c r="Q51" s="59" t="n">
        <f aca="false">((LEN($BD51)-LEN(SUBSTITUTE($BD51,CHAR(10)&amp;"~ ","")))/3)+IF(LEFT(TRIM($BD51),2)="~ ",1,0)</f>
        <v>0</v>
      </c>
      <c r="R51" s="59" t="n">
        <f aca="false">((LEN($BD51)-LEN(SUBSTITUTE($BD51,CHAR(10)&amp;"! ","")))/3)+IF(LEFT(TRIM($BD51),2)="! ",1,0)</f>
        <v>0</v>
      </c>
      <c r="S51" s="59" t="n">
        <f aca="false">((LEN($BD51)-LEN(SUBSTITUTE($BD51,CHAR(10)&amp;"x ","")))/3)+IF(LEFT(TRIM($BD51),2)="x ",1,0)</f>
        <v>0</v>
      </c>
      <c r="T51" s="59" t="n">
        <f aca="false">SUM(O51:S51)</f>
        <v>0</v>
      </c>
      <c r="U51" s="60" t="n">
        <f aca="false">IF(OR($B51="Drill",$B51="Action"),$AP51,0)</f>
        <v>0</v>
      </c>
      <c r="V51" s="60" t="n">
        <f aca="false">IF(OR($B51="Sub",$B51="Stream"),$AP51+SUMIFS($AP$20:$AP$55,$G$20:$G$55,$E51),0)</f>
        <v>0</v>
      </c>
      <c r="W51" s="60" t="n">
        <f aca="false">IF(OR($B51="Routine",$B51="Project"),$AP51+SUMIFS($V$20:$V$55,$G$20:$G$55,$E51),0)</f>
        <v>0</v>
      </c>
      <c r="X51" s="60" t="n">
        <f aca="false">IF($B51="Venture",$AP51+SUMIFS($W$20:$W$55,$G$20:$G$55,$E51),0)</f>
        <v>0</v>
      </c>
      <c r="Y51" s="60" t="n">
        <f aca="false">IF(OR($B51="Drill",$B51="Action"),$AQ51,0)</f>
        <v>0</v>
      </c>
      <c r="Z51" s="60" t="n">
        <f aca="false">IF(OR($B51="Sub",$B51="Stream"),$AQ51+SUMIFS($AQ$20:$AQ$55,$G$20:$G$55,$E51),0)</f>
        <v>0</v>
      </c>
      <c r="AA51" s="60" t="n">
        <f aca="false">IF(OR($B51="Routine",$B51="Project"),$AQ51+SUMIFS($Z$20:$Z$55,$G$20:$G$55,$E51),0)</f>
        <v>0</v>
      </c>
      <c r="AB51" s="60" t="n">
        <f aca="false">IF($B51="Venture",$AQ51+SUMIFS($AA$20:$AA$55,$G$20:$G$55,$E51),0)</f>
        <v>0</v>
      </c>
      <c r="AC51" s="60" t="str">
        <f aca="false">IF(AI51="Venture",AJ51,AI51&amp;AJ51)</f>
        <v/>
      </c>
      <c r="AD51" s="61" t="str">
        <f aca="false">"  -  "&amp;IF(E51="","ZZZ",D51&amp;AF51&amp;IF(OR(B51="Run Goal",B51="Chg Goal", B51="Venture"),F51&amp;E51,IF(OR(B51="Routine",B51="Project"),H51&amp;G51&amp;F51&amp;E51,  IF(OR(B51="Sub",B51="Stream"),J51&amp;I51&amp;H51&amp;G51&amp;F51&amp;E51,IF(OR(B51="Drill",B51="Action"),L51&amp;K51&amp;J51&amp;I51&amp;H51&amp;G51&amp;F51&amp;E51,     "") )    )))</f>
        <v>  -  ZZZ</v>
      </c>
      <c r="AE51" s="60" t="str">
        <f aca="false">IF(AND(AN51="",AO51=""),"Y","N")</f>
        <v>Y</v>
      </c>
      <c r="AF51" s="99" t="str">
        <f aca="false">IF(OR(AG51="Y",AG51="Y"),AG51,IF(DN51="none","N",IF(DN51&gt;($A$17-WEEKDAY($A$17,2)-(7*$AF$18)),"Y","N")))</f>
        <v>N</v>
      </c>
      <c r="AG51" s="100"/>
      <c r="AH51" s="101"/>
      <c r="AI51" s="62"/>
      <c r="AJ51" s="64"/>
      <c r="AK51" s="64"/>
      <c r="AL51" s="70"/>
      <c r="AM51" s="70"/>
      <c r="AN51" s="70"/>
      <c r="AO51" s="70"/>
      <c r="AP51" s="102"/>
      <c r="AQ51" s="102"/>
      <c r="AR51" s="62"/>
      <c r="AS51" s="62"/>
      <c r="AT51" s="62"/>
      <c r="AU51" s="62"/>
      <c r="AV51" s="62"/>
      <c r="AW51" s="62"/>
      <c r="AX51" s="62"/>
      <c r="AY51" s="62"/>
      <c r="AZ51" s="62"/>
      <c r="BA51" s="62"/>
      <c r="BB51" s="54"/>
      <c r="BC51" s="54"/>
      <c r="BD51" s="54"/>
      <c r="BE51" s="60" t="n">
        <f aca="false">SUM(O51:R51)</f>
        <v>0</v>
      </c>
      <c r="BF51" s="66" t="n">
        <f aca="false">IF(AJ51="",1,IF(T51&lt;&gt;0,(P51*0.5+S51)/T51,1))</f>
        <v>1</v>
      </c>
      <c r="BG51" s="69" t="str">
        <f aca="false">IF(AI51="","",IF(AI51="Venture",X51,IF(OR(AI51="Chg Goal",AI51="RUn Goal"),W51,IF(OR(AI51="ROutine",AI51="Project"),W51,IF(OR(AI51="Sub",AI51="Stream"),V51,IF(OR(AI51="Drill",AI51="Action"),U51,0))))))</f>
        <v/>
      </c>
      <c r="BH51" s="69" t="str">
        <f aca="false">IF(AI51="","",IF(AI51="Venture",AB51,IF(OR(AI51="Chg Goal",AI51="RUn Goal"),AA51,IF(OR(AI51="ROutine",AI51="Project"),AA51,IF(OR(AI51="Sub",AI51="Stream"),Z51,IF(OR(AI51="Drill",AI51="Action"),Y51,0))))))</f>
        <v/>
      </c>
      <c r="BI51" s="104" t="str">
        <f aca="false">IF(AJ51="","",IF(OR(BG51=0, BG51=""),0,BH51/BG51))</f>
        <v/>
      </c>
      <c r="BJ51" s="105" t="str">
        <f aca="false">IF(    OR(   AND($C51=10000000,    BJ$19&gt;=$A$17,      BJ$19 &lt;($A$17+$DI$17)   ),   AND($C51&lt;&gt;10000000,  BJ$19&gt;=$DX51,    BJ$19&lt;=($DY51+$DI$17)  ))   ,$DW51,  "")</f>
        <v/>
      </c>
      <c r="BK51" s="106" t="str">
        <f aca="false">IF(    OR(   AND($C51=10000000,    $A$17&lt;=BK$19,      ($A$17+$DI$17)&gt;BK$19    ),   AND($C51&lt;&gt;10000000,  BK$19&gt;=$DX51,    BK$19&lt;=($DY51+$DI$17)  ))   ,$DW51,  "")</f>
        <v/>
      </c>
      <c r="BL51" s="106" t="str">
        <f aca="false">IF(    OR(   AND($C51=10000000,    $A$17&lt;=BL$19,      ($A$17+$DI$17)&gt;BL$19    ),   AND($C51&lt;&gt;10000000,  BL$19&gt;=$DX51,    BL$19&lt;=($DY51+$DI$17)  ))   ,$DW51,  "")</f>
        <v/>
      </c>
      <c r="BM51" s="106" t="str">
        <f aca="false">IF(    OR(   AND($C51=10000000,    $A$17&lt;=BM$19,      ($A$17+$DI$17)&gt;BM$19    ),   AND($C51&lt;&gt;10000000,  BM$19&gt;=$DX51,    BM$19&lt;=($DY51+$DI$17)  ))   ,$DW51,  "")</f>
        <v/>
      </c>
      <c r="BN51" s="106" t="str">
        <f aca="false">IF(    OR(   AND($C51=10000000,    $A$17&lt;=BN$19,      ($A$17+$DI$17)&gt;BN$19    ),   AND($C51&lt;&gt;10000000,  BN$19&gt;=$DX51,    BN$19&lt;=($DY51+$DI$17)  ))   ,$DW51,  "")</f>
        <v/>
      </c>
      <c r="BO51" s="106" t="str">
        <f aca="false">IF(    OR(   AND($C51=10000000,    $A$17&lt;=BO$19,      ($A$17+$DI$17)&gt;BO$19    ),   AND($C51&lt;&gt;10000000,  BO$19&gt;=$DX51,    BO$19&lt;=($DY51+$DI$17)  ))   ,$DW51,  "")</f>
        <v/>
      </c>
      <c r="BP51" s="106" t="str">
        <f aca="false">IF(    OR(   AND($C51=10000000,    $A$17&lt;=BP$19,      ($A$17+$DI$17)&gt;BP$19    ),   AND($C51&lt;&gt;10000000,  BP$19&gt;=$DX51,    BP$19&lt;=($DY51+$DI$17)  ))   ,$DW51,  "")</f>
        <v/>
      </c>
      <c r="BQ51" s="106" t="str">
        <f aca="false">IF(    OR(   AND($C51=10000000,    $A$17&lt;=BQ$19,      ($A$17+$DI$17)&gt;BQ$19    ),   AND($C51&lt;&gt;10000000,  BQ$19&gt;=$DX51,    BQ$19&lt;=($DY51+$DI$17)  ))   ,$DW51,  "")</f>
        <v/>
      </c>
      <c r="BR51" s="106" t="str">
        <f aca="false">IF(    OR(   AND($C51=10000000,    $A$17&lt;=BR$19,      ($A$17+$DI$17)&gt;BR$19    ),   AND($C51&lt;&gt;10000000,  BR$19&gt;=$DX51,    BR$19&lt;=($DY51+$DI$17)  ))   ,$DW51,  "")</f>
        <v/>
      </c>
      <c r="BS51" s="106" t="str">
        <f aca="false">IF(    OR(   AND($C51=10000000,    $A$17&lt;=BS$19,      ($A$17+$DI$17)&gt;BS$19    ),   AND($C51&lt;&gt;10000000,  BS$19&gt;=$DX51,    BS$19&lt;=($DY51+$DI$17)  ))   ,$DW51,  "")</f>
        <v/>
      </c>
      <c r="BT51" s="106" t="str">
        <f aca="false">IF(    OR(   AND($C51=10000000,    $A$17&lt;=BT$19,      ($A$17+$DI$17)&gt;BT$19    ),   AND($C51&lt;&gt;10000000,  BT$19&gt;=$DX51,    BT$19&lt;=($DY51+$DI$17)  ))   ,$DW51,  "")</f>
        <v/>
      </c>
      <c r="BU51" s="106" t="str">
        <f aca="false">IF(    OR(   AND($C51=10000000,    $A$17&lt;=BU$19,      ($A$17+$DI$17)&gt;BU$19    ),   AND($C51&lt;&gt;10000000,  BU$19&gt;=$DX51,    BU$19&lt;=($DY51+$DI$17)  ))   ,$DW51,  "")</f>
        <v/>
      </c>
      <c r="BV51" s="106" t="str">
        <f aca="false">IF(    OR(   AND($C51=10000000,    $A$17&lt;=BV$19,      ($A$17+$DI$17)&gt;BV$19    ),   AND($C51&lt;&gt;10000000,  BV$19&gt;=$DX51,    BV$19&lt;=($DY51+$DI$17)  ))   ,$DW51,  "")</f>
        <v/>
      </c>
      <c r="BW51" s="106" t="str">
        <f aca="false">IF(    OR(   AND($C51=10000000,    $A$17&lt;=BW$19,      ($A$17+$DI$17)&gt;BW$19    ),   AND($C51&lt;&gt;10000000,  BW$19&gt;=$DX51,    BW$19&lt;=($DY51+$DI$17)  ))   ,$DW51,  "")</f>
        <v/>
      </c>
      <c r="BX51" s="106" t="str">
        <f aca="false">IF(    OR(   AND($C51=10000000,    $A$17&lt;=BX$19,      ($A$17+$DI$17)&gt;BX$19    ),   AND($C51&lt;&gt;10000000,  BX$19&gt;=$DX51,    BX$19&lt;=($DY51+$DI$17)  ))   ,$DW51,  "")</f>
        <v/>
      </c>
      <c r="BY51" s="106" t="str">
        <f aca="false">IF(    OR(   AND($C51=10000000,    $A$17&lt;=BY$19,      ($A$17+$DI$17)&gt;BY$19    ),   AND($C51&lt;&gt;10000000,  BY$19&gt;=$DX51,    BY$19&lt;=($DY51+$DI$17)  ))   ,$DW51,  "")</f>
        <v/>
      </c>
      <c r="BZ51" s="106" t="str">
        <f aca="false">IF(    OR(   AND($C51=10000000,    $A$17&lt;=BZ$19,      ($A$17+$DI$17)&gt;BZ$19    ),   AND($C51&lt;&gt;10000000,  BZ$19&gt;=$DX51,    BZ$19&lt;=($DY51+$DI$17)  ))   ,$DW51,  "")</f>
        <v/>
      </c>
      <c r="CA51" s="106" t="str">
        <f aca="false">IF(    OR(   AND($C51=10000000,    $A$17&lt;=CA$19,      ($A$17+$DI$17)&gt;CA$19    ),   AND($C51&lt;&gt;10000000,  CA$19&gt;=$DX51,    CA$19&lt;=($DY51+$DI$17)  ))   ,$DW51,  "")</f>
        <v/>
      </c>
      <c r="CB51" s="106" t="str">
        <f aca="false">IF(    OR(   AND($C51=10000000,    $A$17&lt;=CB$19,      ($A$17+$DI$17)&gt;CB$19    ),   AND($C51&lt;&gt;10000000,  CB$19&gt;=$DX51,    CB$19&lt;=($DY51+$DI$17)  ))   ,$DW51,  "")</f>
        <v/>
      </c>
      <c r="CC51" s="106" t="str">
        <f aca="false">IF(    OR(   AND($C51=10000000,    $A$17&lt;=CC$19,      ($A$17+$DI$17)&gt;CC$19    ),   AND($C51&lt;&gt;10000000,  CC$19&gt;=$DX51,    CC$19&lt;=($DY51+$DI$17)  ))   ,$DW51,  "")</f>
        <v/>
      </c>
      <c r="CD51" s="106" t="str">
        <f aca="false">IF(    OR(   AND($C51=10000000,    $A$17&lt;=CD$19,      ($A$17+$DI$17)&gt;CD$19    ),   AND($C51&lt;&gt;10000000,  CD$19&gt;=$DX51,    CD$19&lt;=($DY51+$DI$17)  ))   ,$DW51,  "")</f>
        <v/>
      </c>
      <c r="CE51" s="106" t="str">
        <f aca="false">IF(    OR(   AND($C51=10000000,    $A$17&lt;=CE$19,      ($A$17+$DI$17)&gt;CE$19    ),   AND($C51&lt;&gt;10000000,  CE$19&gt;=$DX51,    CE$19&lt;=($DY51+$DI$17)  ))   ,$DW51,  "")</f>
        <v/>
      </c>
      <c r="CF51" s="106" t="str">
        <f aca="false">IF(    OR(   AND($C51=10000000,    $A$17&lt;=CF$19,      ($A$17+$DI$17)&gt;CF$19    ),   AND($C51&lt;&gt;10000000,  CF$19&gt;=$DX51,    CF$19&lt;=($DY51+$DI$17)  ))   ,$DW51,  "")</f>
        <v/>
      </c>
      <c r="CG51" s="106" t="str">
        <f aca="false">IF(    OR(   AND($C51=10000000,    $A$17&lt;=CG$19,      ($A$17+$DI$17)&gt;CG$19    ),   AND($C51&lt;&gt;10000000,  CG$19&gt;=$DX51,    CG$19&lt;=($DY51+$DI$17)  ))   ,$DW51,  "")</f>
        <v/>
      </c>
      <c r="CH51" s="106" t="str">
        <f aca="false">IF(    OR(   AND($C51=10000000,    $A$17&lt;=CH$19,      ($A$17+$DI$17)&gt;CH$19    ),   AND($C51&lt;&gt;10000000,  CH$19&gt;=$DX51,    CH$19&lt;=($DY51+$DI$17)  ))   ,$DW51,  "")</f>
        <v/>
      </c>
      <c r="CI51" s="106" t="str">
        <f aca="false">IF(    OR(   AND($C51=10000000,    $A$17&lt;=CI$19,      ($A$17+$DI$17)&gt;CI$19    ),   AND($C51&lt;&gt;10000000,  CI$19&gt;=$DX51,    CI$19&lt;=($DY51+$DI$17)  ))   ,$DW51,  "")</f>
        <v/>
      </c>
      <c r="CJ51" s="106" t="str">
        <f aca="false">IF(    OR(   AND($C51=10000000,    $A$17&lt;=CJ$19,      ($A$17+$DI$17)&gt;CJ$19    ),   AND($C51&lt;&gt;10000000,  CJ$19&gt;=$DX51,    CJ$19&lt;=($DY51+$DI$17)  ))   ,$DW51,  "")</f>
        <v/>
      </c>
      <c r="CK51" s="106" t="str">
        <f aca="false">IF(    OR(   AND($C51=10000000,    $A$17&lt;=CK$19,      ($A$17+$DI$17)&gt;CK$19    ),   AND($C51&lt;&gt;10000000,  CK$19&gt;=$DX51,    CK$19&lt;=($DY51+$DI$17)  ))   ,$DW51,  "")</f>
        <v/>
      </c>
      <c r="CL51" s="106" t="str">
        <f aca="false">IF(    OR(   AND($C51=10000000,    $A$17&lt;=CL$19,      ($A$17+$DI$17)&gt;CL$19    ),   AND($C51&lt;&gt;10000000,  CL$19&gt;=$DX51,    CL$19&lt;=($DY51+$DI$17)  ))   ,$DW51,  "")</f>
        <v/>
      </c>
      <c r="CM51" s="106" t="str">
        <f aca="false">IF(    OR(   AND($C51=10000000,    $A$17&lt;=CM$19,      ($A$17+$DI$17)&gt;CM$19    ),   AND($C51&lt;&gt;10000000,  CM$19&gt;=$DX51,    CM$19&lt;=($DY51+$DI$17)  ))   ,$DW51,  "")</f>
        <v/>
      </c>
      <c r="CN51" s="106" t="str">
        <f aca="false">IF(    OR(   AND($C51=10000000,    $A$17&lt;=CN$19,      ($A$17+$DI$17)&gt;CN$19    ),   AND($C51&lt;&gt;10000000,  CN$19&gt;=$DX51,    CN$19&lt;=($DY51+$DI$17)  ))   ,$DW51,  "")</f>
        <v/>
      </c>
      <c r="CO51" s="106" t="str">
        <f aca="false">IF(    OR(   AND($C51=10000000,    $A$17&lt;=CO$19,      ($A$17+$DI$17)&gt;CO$19    ),   AND($C51&lt;&gt;10000000,  CO$19&gt;=$DX51,    CO$19&lt;=($DY51+$DI$17)  ))   ,$DW51,  "")</f>
        <v/>
      </c>
      <c r="CP51" s="106" t="str">
        <f aca="false">IF(    OR(   AND($C51=10000000,    $A$17&lt;=CP$19,      ($A$17+$DI$17)&gt;CP$19    ),   AND($C51&lt;&gt;10000000,  CP$19&gt;=$DX51,    CP$19&lt;=($DY51+$DI$17)  ))   ,$DW51,  "")</f>
        <v/>
      </c>
      <c r="CQ51" s="106" t="str">
        <f aca="false">IF(    OR(   AND($C51=10000000,    $A$17&lt;=CQ$19,      ($A$17+$DI$17)&gt;CQ$19    ),   AND($C51&lt;&gt;10000000,  CQ$19&gt;=$DX51,    CQ$19&lt;=($DY51+$DI$17)  ))   ,$DW51,  "")</f>
        <v/>
      </c>
      <c r="CR51" s="106" t="str">
        <f aca="false">IF(    OR(   AND($C51=10000000,    $A$17&lt;=CR$19,      ($A$17+$DI$17)&gt;CR$19    ),   AND($C51&lt;&gt;10000000,  CR$19&gt;=$DX51,    CR$19&lt;=($DY51+$DI$17)  ))   ,$DW51,  "")</f>
        <v/>
      </c>
      <c r="CS51" s="106" t="str">
        <f aca="false">IF(    OR(   AND($C51=10000000,    $A$17&lt;=CS$19,      ($A$17+$DI$17)&gt;CS$19    ),   AND($C51&lt;&gt;10000000,  CS$19&gt;=$DX51,    CS$19&lt;=($DY51+$DI$17)  ))   ,$DW51,  "")</f>
        <v/>
      </c>
      <c r="CT51" s="106" t="str">
        <f aca="false">IF(    OR(   AND($C51=10000000,    $A$17&lt;=CT$19,      ($A$17+$DI$17)&gt;CT$19    ),   AND($C51&lt;&gt;10000000,  CT$19&gt;=$DX51,    CT$19&lt;=($DY51+$DI$17)  ))   ,$DW51,  "")</f>
        <v/>
      </c>
      <c r="CU51" s="106" t="str">
        <f aca="false">IF(    OR(   AND($C51=10000000,    $A$17&lt;=CU$19,      ($A$17+$DI$17)&gt;CU$19    ),   AND($C51&lt;&gt;10000000,  CU$19&gt;=$DX51,    CU$19&lt;=($DY51+$DI$17)  ))   ,$DW51,  "")</f>
        <v/>
      </c>
      <c r="CV51" s="106" t="str">
        <f aca="false">IF(    OR(   AND($C51=10000000,    $A$17&lt;=CV$19,      ($A$17+$DI$17)&gt;CV$19    ),   AND($C51&lt;&gt;10000000,  CV$19&gt;=$DX51,    CV$19&lt;=($DY51+$DI$17)  ))   ,$DW51,  "")</f>
        <v/>
      </c>
      <c r="CW51" s="106" t="str">
        <f aca="false">IF(    OR(   AND($C51=10000000,    $A$17&lt;=CW$19,      ($A$17+$DI$17)&gt;CW$19    ),   AND($C51&lt;&gt;10000000,  CW$19&gt;=$DX51,    CW$19&lt;=($DY51+$DI$17)  ))   ,$DW51,  "")</f>
        <v/>
      </c>
      <c r="CX51" s="106" t="str">
        <f aca="false">IF(    OR(   AND($C51=10000000,    $A$17&lt;=CX$19,      ($A$17+$DI$17)&gt;CX$19    ),   AND($C51&lt;&gt;10000000,  CX$19&gt;=$DX51,    CX$19&lt;=($DY51+$DI$17)  ))   ,$DW51,  "")</f>
        <v/>
      </c>
      <c r="CY51" s="106" t="str">
        <f aca="false">IF(    OR(   AND($C51=10000000,    $A$17&lt;=CY$19,      ($A$17+$DI$17)&gt;CY$19    ),   AND($C51&lt;&gt;10000000,  CY$19&gt;=$DX51,    CY$19&lt;=($DY51+$DI$17)  ))   ,$DW51,  "")</f>
        <v/>
      </c>
      <c r="CZ51" s="106" t="str">
        <f aca="false">IF(    OR(   AND($C51=10000000,    $A$17&lt;=CZ$19,      ($A$17+$DI$17)&gt;CZ$19    ),   AND($C51&lt;&gt;10000000,  CZ$19&gt;=$DX51,    CZ$19&lt;=($DY51+$DI$17)  ))   ,$DW51,  "")</f>
        <v/>
      </c>
      <c r="DA51" s="106" t="str">
        <f aca="false">IF(    OR(   AND($C51=10000000,    $A$17&lt;=DA$19,      ($A$17+$DI$17)&gt;DA$19    ),   AND($C51&lt;&gt;10000000,  DA$19&gt;=$DX51,    DA$19&lt;=($DY51+$DI$17)  ))   ,$DW51,  "")</f>
        <v/>
      </c>
      <c r="DB51" s="106" t="str">
        <f aca="false">IF(    OR(   AND($C51=10000000,    $A$17&lt;=DB$19,      ($A$17+$DI$17)&gt;DB$19    ),   AND($C51&lt;&gt;10000000,  DB$19&gt;=$DX51,    DB$19&lt;=($DY51+$DI$17)  ))   ,$DW51,  "")</f>
        <v/>
      </c>
      <c r="DC51" s="106" t="str">
        <f aca="false">IF(    OR(   AND($C51=10000000,    $A$17&lt;=DC$19,      ($A$17+$DI$17)&gt;DC$19    ),   AND($C51&lt;&gt;10000000,  DC$19&gt;=$DX51,    DC$19&lt;=($DY51+$DI$17)  ))   ,$DW51,  "")</f>
        <v/>
      </c>
      <c r="DD51" s="106" t="str">
        <f aca="false">IF(    OR(   AND($C51=10000000,    $A$17&lt;=DD$19,      ($A$17+$DI$17)&gt;DD$19    ),   AND($C51&lt;&gt;10000000,  DD$19&gt;=$DX51,    DD$19&lt;=($DY51+$DI$17)  ))   ,$DW51,  "")</f>
        <v/>
      </c>
      <c r="DE51" s="106" t="str">
        <f aca="false">IF(    OR(   AND($C51=10000000,    $A$17&lt;=DE$19,      ($A$17+$DI$17)&gt;DE$19    ),   AND($C51&lt;&gt;10000000,  DE$19&gt;=$DX51,    DE$19&lt;=($DY51+$DI$17)  ))   ,$DW51,  "")</f>
        <v/>
      </c>
      <c r="DF51" s="106" t="str">
        <f aca="false">IF(    OR(   AND($C51=10000000,    $A$17&lt;=DF$19,      ($A$17+$DI$17)&gt;DF$19    ),   AND($C51&lt;&gt;10000000,  DF$19&gt;=$DX51,    DF$19&lt;=($DY51+$DI$17)  ))   ,$DW51,  "")</f>
        <v/>
      </c>
      <c r="DG51" s="106" t="str">
        <f aca="false">IF(    OR(   AND($C51=10000000,    $A$17&lt;=DG$19,      ($A$17+$DI$17)&gt;DG$19    ),   AND($C51&lt;&gt;10000000,  DG$19&gt;=$DX51,    DG$19&lt;=($DY51+$DI$17)  ))   ,$DW51,  "")</f>
        <v/>
      </c>
      <c r="DH51" s="106" t="str">
        <f aca="false">IF(    OR(   AND($C51=10000000,    $A$17&lt;=DH$19,      ($A$17+$DI$17)&gt;DH$19    ),   AND($C51&lt;&gt;10000000,  DH$19&gt;=$DX51,    DH$19&lt;=($DY51+$DI$17)  ))   ,$DW51,  "")</f>
        <v/>
      </c>
      <c r="DI51" s="106" t="str">
        <f aca="false">IF(    OR(   AND($C51=10000000,    $A$17&lt;=DI$19,      ($A$17+$DI$17)&gt;DI$19    ),   AND($C51&lt;&gt;10000000,  DI$19&gt;=$DX51,    DI$19&lt;=($DY51+$DI$17)  ))   ,$DW51,  "")</f>
        <v/>
      </c>
      <c r="DJ51" s="74" t="str">
        <f aca="false">IF(BC51="","",IF(ISERROR(FIND(CHAR(10),BC51,1)),BC51,LEFT(BC51,FIND(CHAR(10),BC51,1))))</f>
        <v/>
      </c>
      <c r="DK51" s="61" t="str">
        <f aca="false">IF(BC51="","",IFERROR(RIGHT(BC51,LEN(BC51)-FIND("@@@",SUBSTITUTE(BC51,CHAR(10),"@@@",LEN(BC51)-LEN(SUBSTITUTE(BC51,CHAR(10),""))),1)),BC51))</f>
        <v/>
      </c>
      <c r="DL51" s="61" t="str">
        <f aca="false">IF(BD51="","",IFERROR(RIGHT(BD51,LEN(BD51)-FIND("@@@",SUBSTITUTE(BD51,CHAR(10),"@@@",LEN(BD51)-LEN(SUBSTITUTE(BD51,CHAR(10),""))),1)),BD51))</f>
        <v/>
      </c>
      <c r="DM51" s="107" t="str">
        <f aca="false">IFERROR(DATE(("20"&amp;MID(DJ51,7,2))*1,MID(DJ51,4,2)*1,MID(DJ51,1,2)*1),"none")</f>
        <v>none</v>
      </c>
      <c r="DN51" s="107" t="str">
        <f aca="false">IFERROR(DATE(("20"&amp;MID(DK51,7,2))*1,MID(DK51,4,2)*1,MID(DK51,1,2)*1),"none")</f>
        <v>none</v>
      </c>
      <c r="DO51" s="107" t="n">
        <f aca="false">IF(DM51&lt;&gt;"none",DM51,DATE(1900,1,1))</f>
        <v>2</v>
      </c>
      <c r="DP51" s="107" t="n">
        <f aca="false">IF(DN51&lt;&gt;"none",DN51,DO51)</f>
        <v>2</v>
      </c>
      <c r="DQ51" s="108" t="n">
        <f aca="false">_xlfn.DAYS($A$17,DO51)</f>
        <v>46319</v>
      </c>
      <c r="DR51" s="108" t="n">
        <f aca="false">_xlfn.DAYS($A$17, DP51)</f>
        <v>46319</v>
      </c>
      <c r="DS51" s="60" t="n">
        <f aca="false">IF(DP51&lt;&gt;"",INT(DR51/7),0)</f>
        <v>6617</v>
      </c>
      <c r="DT51" s="108" t="n">
        <f aca="false">IF(N51="Overdue",_xlfn.DAYS($A$17,AM51),0)</f>
        <v>0</v>
      </c>
      <c r="DU51" s="108" t="n">
        <f aca="false">IF(AI51="Project",_xlfn.DAYS(AM51,$A$17),0)</f>
        <v>0</v>
      </c>
      <c r="DV51" s="60" t="str">
        <f aca="false">IFERROR(INDEX(Static!$D$5:$E$13,MATCH(AI51,Static!$D$5:$D$13,0),2),"")</f>
        <v/>
      </c>
      <c r="DW51" s="60" t="str">
        <f aca="false">IF(C51=10000000,"Red",IF(OR(C51=11000000,C51=12000000),"Black",IF(C51=11100000,"Dark",IF(AND(C51=12100000,N51="Completed"),"Green",IF(AND(C51=12100000,N51="Overdue"),"Red",IF(C51=12100000,"Dark",IF(AND(C51=12110000,N51="Overdue"),"LightRed",IF(AND(C51=12110000,N51="Completed"),"LightGreen",IF(OR(C51=11110000,C51=12110000),"Light",IF(AND(C51=12111000,N51="Overdue"),"SoftRed",IF(AND(C51=12111000,N51="Completed"),"SoftGreen",IF(OR(C51=11111000,C51=12111000),"Grey",""))))))))))))</f>
        <v/>
      </c>
      <c r="DX51" s="58" t="n">
        <f aca="false">IF(AL51&lt;&gt;"",AL51,$BJ$19)</f>
        <v>45658</v>
      </c>
      <c r="DY51" s="58" t="n">
        <f aca="false">IF(AM51&lt;&gt;"",AM51,$DI$19)</f>
        <v>46387</v>
      </c>
      <c r="DZ51" s="62" t="s">
        <v>364</v>
      </c>
    </row>
    <row r="52" customFormat="false" ht="14.15" hidden="false" customHeight="true" outlineLevel="0" collapsed="false">
      <c r="A52" s="54"/>
      <c r="B52" s="61" t="n">
        <f aca="false">AI52</f>
        <v>0</v>
      </c>
      <c r="C52" s="60" t="n">
        <f aca="false">IFERROR(INDEX(Static!$D$5:$F$13,MATCH(AI52,Static!$D$5:$D$13,0),3),90000000)</f>
        <v>90000000</v>
      </c>
      <c r="D52" s="60" t="str">
        <f aca="false">MID(C52,2,1)</f>
        <v>0</v>
      </c>
      <c r="E52" s="61" t="str">
        <f aca="false">AC52</f>
        <v/>
      </c>
      <c r="F52" s="60" t="n">
        <f aca="false">IF(B52="Venture",0,IF(OR(B52="Project",B52="Stream",B52="Action"),AL52,0))</f>
        <v>0</v>
      </c>
      <c r="G52" s="60" t="n">
        <f aca="false">AT52</f>
        <v>0</v>
      </c>
      <c r="H52" s="60" t="n">
        <f aca="false">IF(B52="Venture",0,IFERROR(INDEX($E$20:$F$55,MATCH(G52,$E$20:$E$55,0),2),0))</f>
        <v>0</v>
      </c>
      <c r="I52" s="60" t="str">
        <f aca="false">IF(B52="Venture",0,IFERROR(INDEX($E$20:$G$55,MATCH(G52,$E$20:$E$55,0),3),""))</f>
        <v/>
      </c>
      <c r="J52" s="60" t="n">
        <f aca="false">IF(B52="Venture",0,IFERROR(INDEX($E$20:$H$55,MATCH(G52,$E$20:$E$55,0),4),0))</f>
        <v>0</v>
      </c>
      <c r="K52" s="60" t="n">
        <f aca="false">IF(B52="Venture",0,IFERROR(INDEX($E$20:$G$55,MATCH(I52,$E$20:$E$55,0),3),""))</f>
        <v>0</v>
      </c>
      <c r="L52" s="60" t="n">
        <f aca="false">IF(C52="Venture",0,IFERROR(INDEX($E$20:$G$55,MATCH(J52,$E$20:$E$55,0),4),0))</f>
        <v>0</v>
      </c>
      <c r="M52" s="60" t="str">
        <f aca="false">IF(N52="Completed","Completed","Ongoing")</f>
        <v>Ongoing</v>
      </c>
      <c r="N52" s="60" t="n">
        <f aca="false">IF(OR(AI52="Venture",AI52="Routine",AI52="Run Goal", AI52="Chg Goal", AI52=""),AI52,IF(AO52&lt;&gt;"","Completed",IF(AN52&lt;&gt;"","Pending",IF(AND(AM52&lt;&gt;"",$A$17&gt;AM52),"Overdue",IF($A$17&gt;AL52,"Started","Open")))))</f>
        <v>0</v>
      </c>
      <c r="O52" s="59" t="n">
        <f aca="false">((LEN($BD52)-LEN(SUBSTITUTE($BD52,CHAR(10)&amp;". ","")))/3)+IF(LEFT(TRIM($BD52),2)=". ",1,0)</f>
        <v>0</v>
      </c>
      <c r="P52" s="59" t="n">
        <f aca="false">((LEN($BD52)-LEN(SUBSTITUTE($BD52,CHAR(10)&amp;"/ ","")))/3)+IF(LEFT(TRIM($BD52),2)="/ ",1,0)</f>
        <v>0</v>
      </c>
      <c r="Q52" s="59" t="n">
        <f aca="false">((LEN($BD52)-LEN(SUBSTITUTE($BD52,CHAR(10)&amp;"~ ","")))/3)+IF(LEFT(TRIM($BD52),2)="~ ",1,0)</f>
        <v>0</v>
      </c>
      <c r="R52" s="59" t="n">
        <f aca="false">((LEN($BD52)-LEN(SUBSTITUTE($BD52,CHAR(10)&amp;"! ","")))/3)+IF(LEFT(TRIM($BD52),2)="! ",1,0)</f>
        <v>0</v>
      </c>
      <c r="S52" s="59" t="n">
        <f aca="false">((LEN($BD52)-LEN(SUBSTITUTE($BD52,CHAR(10)&amp;"x ","")))/3)+IF(LEFT(TRIM($BD52),2)="x ",1,0)</f>
        <v>0</v>
      </c>
      <c r="T52" s="59" t="n">
        <f aca="false">SUM(O52:S52)</f>
        <v>0</v>
      </c>
      <c r="U52" s="60" t="n">
        <f aca="false">IF(OR($B52="Drill",$B52="Action"),$AP52,0)</f>
        <v>0</v>
      </c>
      <c r="V52" s="60" t="n">
        <f aca="false">IF(OR($B52="Sub",$B52="Stream"),$AP52+SUMIFS($AP$20:$AP$55,$G$20:$G$55,$E52),0)</f>
        <v>0</v>
      </c>
      <c r="W52" s="60" t="n">
        <f aca="false">IF(OR($B52="Routine",$B52="Project"),$AP52+SUMIFS($V$20:$V$55,$G$20:$G$55,$E52),0)</f>
        <v>0</v>
      </c>
      <c r="X52" s="60" t="n">
        <f aca="false">IF($B52="Venture",$AP52+SUMIFS($W$20:$W$55,$G$20:$G$55,$E52),0)</f>
        <v>0</v>
      </c>
      <c r="Y52" s="60" t="n">
        <f aca="false">IF(OR($B52="Drill",$B52="Action"),$AQ52,0)</f>
        <v>0</v>
      </c>
      <c r="Z52" s="60" t="n">
        <f aca="false">IF(OR($B52="Sub",$B52="Stream"),$AQ52+SUMIFS($AQ$20:$AQ$55,$G$20:$G$55,$E52),0)</f>
        <v>0</v>
      </c>
      <c r="AA52" s="60" t="n">
        <f aca="false">IF(OR($B52="Routine",$B52="Project"),$AQ52+SUMIFS($Z$20:$Z$55,$G$20:$G$55,$E52),0)</f>
        <v>0</v>
      </c>
      <c r="AB52" s="60" t="n">
        <f aca="false">IF($B52="Venture",$AQ52+SUMIFS($AA$20:$AA$55,$G$20:$G$55,$E52),0)</f>
        <v>0</v>
      </c>
      <c r="AC52" s="60" t="str">
        <f aca="false">IF(AI52="Venture",AJ52,AI52&amp;AJ52)</f>
        <v/>
      </c>
      <c r="AD52" s="61" t="str">
        <f aca="false">"  -  "&amp;IF(E52="","ZZZ",D52&amp;AF52&amp;IF(OR(B52="Run Goal",B52="Chg Goal", B52="Venture"),F52&amp;E52,IF(OR(B52="Routine",B52="Project"),H52&amp;G52&amp;F52&amp;E52,  IF(OR(B52="Sub",B52="Stream"),J52&amp;I52&amp;H52&amp;G52&amp;F52&amp;E52,IF(OR(B52="Drill",B52="Action"),L52&amp;K52&amp;J52&amp;I52&amp;H52&amp;G52&amp;F52&amp;E52,     "") )    )))</f>
        <v>  -  ZZZ</v>
      </c>
      <c r="AE52" s="60" t="str">
        <f aca="false">IF(AND(AN52="",AO52=""),"Y","N")</f>
        <v>Y</v>
      </c>
      <c r="AF52" s="99" t="str">
        <f aca="false">IF(OR(AG52="Y",AG52="Y"),AG52,IF(DN52="none","N",IF(DN52&gt;($A$17-WEEKDAY($A$17,2)-(7*$AF$18)),"Y","N")))</f>
        <v>N</v>
      </c>
      <c r="AG52" s="100"/>
      <c r="AH52" s="101"/>
      <c r="AI52" s="62"/>
      <c r="AJ52" s="64"/>
      <c r="AK52" s="64"/>
      <c r="AL52" s="70"/>
      <c r="AM52" s="70"/>
      <c r="AN52" s="70"/>
      <c r="AO52" s="70"/>
      <c r="AP52" s="102"/>
      <c r="AQ52" s="102"/>
      <c r="AR52" s="62"/>
      <c r="AS52" s="62"/>
      <c r="AT52" s="62"/>
      <c r="AU52" s="62"/>
      <c r="AV52" s="62"/>
      <c r="AW52" s="62"/>
      <c r="AX52" s="62"/>
      <c r="AY52" s="62"/>
      <c r="AZ52" s="62"/>
      <c r="BA52" s="62"/>
      <c r="BB52" s="54"/>
      <c r="BC52" s="54"/>
      <c r="BD52" s="54"/>
      <c r="BE52" s="60" t="n">
        <f aca="false">SUM(O52:R52)</f>
        <v>0</v>
      </c>
      <c r="BF52" s="66" t="n">
        <f aca="false">IF(AJ52="",1,IF(T52&lt;&gt;0,(P52*0.5+S52)/T52,1))</f>
        <v>1</v>
      </c>
      <c r="BG52" s="69" t="str">
        <f aca="false">IF(AI52="","",IF(AI52="Venture",X52,IF(OR(AI52="Chg Goal",AI52="RUn Goal"),W52,IF(OR(AI52="ROutine",AI52="Project"),W52,IF(OR(AI52="Sub",AI52="Stream"),V52,IF(OR(AI52="Drill",AI52="Action"),U52,0))))))</f>
        <v/>
      </c>
      <c r="BH52" s="69" t="str">
        <f aca="false">IF(AI52="","",IF(AI52="Venture",AB52,IF(OR(AI52="Chg Goal",AI52="RUn Goal"),AA52,IF(OR(AI52="ROutine",AI52="Project"),AA52,IF(OR(AI52="Sub",AI52="Stream"),Z52,IF(OR(AI52="Drill",AI52="Action"),Y52,0))))))</f>
        <v/>
      </c>
      <c r="BI52" s="104" t="str">
        <f aca="false">IF(AJ52="","",IF(OR(BG52=0, BG52=""),0,BH52/BG52))</f>
        <v/>
      </c>
      <c r="BJ52" s="105" t="str">
        <f aca="false">IF(    OR(   AND($C52=10000000,    BJ$19&gt;=$A$17,      BJ$19 &lt;($A$17+$DI$17)   ),   AND($C52&lt;&gt;10000000,  BJ$19&gt;=$DX52,    BJ$19&lt;=($DY52+$DI$17)  ))   ,$DW52,  "")</f>
        <v/>
      </c>
      <c r="BK52" s="106" t="str">
        <f aca="false">IF(    OR(   AND($C52=10000000,    $A$17&lt;=BK$19,      ($A$17+$DI$17)&gt;BK$19    ),   AND($C52&lt;&gt;10000000,  BK$19&gt;=$DX52,    BK$19&lt;=($DY52+$DI$17)  ))   ,$DW52,  "")</f>
        <v/>
      </c>
      <c r="BL52" s="106" t="str">
        <f aca="false">IF(    OR(   AND($C52=10000000,    $A$17&lt;=BL$19,      ($A$17+$DI$17)&gt;BL$19    ),   AND($C52&lt;&gt;10000000,  BL$19&gt;=$DX52,    BL$19&lt;=($DY52+$DI$17)  ))   ,$DW52,  "")</f>
        <v/>
      </c>
      <c r="BM52" s="106" t="str">
        <f aca="false">IF(    OR(   AND($C52=10000000,    $A$17&lt;=BM$19,      ($A$17+$DI$17)&gt;BM$19    ),   AND($C52&lt;&gt;10000000,  BM$19&gt;=$DX52,    BM$19&lt;=($DY52+$DI$17)  ))   ,$DW52,  "")</f>
        <v/>
      </c>
      <c r="BN52" s="106" t="str">
        <f aca="false">IF(    OR(   AND($C52=10000000,    $A$17&lt;=BN$19,      ($A$17+$DI$17)&gt;BN$19    ),   AND($C52&lt;&gt;10000000,  BN$19&gt;=$DX52,    BN$19&lt;=($DY52+$DI$17)  ))   ,$DW52,  "")</f>
        <v/>
      </c>
      <c r="BO52" s="106" t="str">
        <f aca="false">IF(    OR(   AND($C52=10000000,    $A$17&lt;=BO$19,      ($A$17+$DI$17)&gt;BO$19    ),   AND($C52&lt;&gt;10000000,  BO$19&gt;=$DX52,    BO$19&lt;=($DY52+$DI$17)  ))   ,$DW52,  "")</f>
        <v/>
      </c>
      <c r="BP52" s="106" t="str">
        <f aca="false">IF(    OR(   AND($C52=10000000,    $A$17&lt;=BP$19,      ($A$17+$DI$17)&gt;BP$19    ),   AND($C52&lt;&gt;10000000,  BP$19&gt;=$DX52,    BP$19&lt;=($DY52+$DI$17)  ))   ,$DW52,  "")</f>
        <v/>
      </c>
      <c r="BQ52" s="106" t="str">
        <f aca="false">IF(    OR(   AND($C52=10000000,    $A$17&lt;=BQ$19,      ($A$17+$DI$17)&gt;BQ$19    ),   AND($C52&lt;&gt;10000000,  BQ$19&gt;=$DX52,    BQ$19&lt;=($DY52+$DI$17)  ))   ,$DW52,  "")</f>
        <v/>
      </c>
      <c r="BR52" s="106" t="str">
        <f aca="false">IF(    OR(   AND($C52=10000000,    $A$17&lt;=BR$19,      ($A$17+$DI$17)&gt;BR$19    ),   AND($C52&lt;&gt;10000000,  BR$19&gt;=$DX52,    BR$19&lt;=($DY52+$DI$17)  ))   ,$DW52,  "")</f>
        <v/>
      </c>
      <c r="BS52" s="106" t="str">
        <f aca="false">IF(    OR(   AND($C52=10000000,    $A$17&lt;=BS$19,      ($A$17+$DI$17)&gt;BS$19    ),   AND($C52&lt;&gt;10000000,  BS$19&gt;=$DX52,    BS$19&lt;=($DY52+$DI$17)  ))   ,$DW52,  "")</f>
        <v/>
      </c>
      <c r="BT52" s="106" t="str">
        <f aca="false">IF(    OR(   AND($C52=10000000,    $A$17&lt;=BT$19,      ($A$17+$DI$17)&gt;BT$19    ),   AND($C52&lt;&gt;10000000,  BT$19&gt;=$DX52,    BT$19&lt;=($DY52+$DI$17)  ))   ,$DW52,  "")</f>
        <v/>
      </c>
      <c r="BU52" s="106" t="str">
        <f aca="false">IF(    OR(   AND($C52=10000000,    $A$17&lt;=BU$19,      ($A$17+$DI$17)&gt;BU$19    ),   AND($C52&lt;&gt;10000000,  BU$19&gt;=$DX52,    BU$19&lt;=($DY52+$DI$17)  ))   ,$DW52,  "")</f>
        <v/>
      </c>
      <c r="BV52" s="106" t="str">
        <f aca="false">IF(    OR(   AND($C52=10000000,    $A$17&lt;=BV$19,      ($A$17+$DI$17)&gt;BV$19    ),   AND($C52&lt;&gt;10000000,  BV$19&gt;=$DX52,    BV$19&lt;=($DY52+$DI$17)  ))   ,$DW52,  "")</f>
        <v/>
      </c>
      <c r="BW52" s="106" t="str">
        <f aca="false">IF(    OR(   AND($C52=10000000,    $A$17&lt;=BW$19,      ($A$17+$DI$17)&gt;BW$19    ),   AND($C52&lt;&gt;10000000,  BW$19&gt;=$DX52,    BW$19&lt;=($DY52+$DI$17)  ))   ,$DW52,  "")</f>
        <v/>
      </c>
      <c r="BX52" s="106" t="str">
        <f aca="false">IF(    OR(   AND($C52=10000000,    $A$17&lt;=BX$19,      ($A$17+$DI$17)&gt;BX$19    ),   AND($C52&lt;&gt;10000000,  BX$19&gt;=$DX52,    BX$19&lt;=($DY52+$DI$17)  ))   ,$DW52,  "")</f>
        <v/>
      </c>
      <c r="BY52" s="106" t="str">
        <f aca="false">IF(    OR(   AND($C52=10000000,    $A$17&lt;=BY$19,      ($A$17+$DI$17)&gt;BY$19    ),   AND($C52&lt;&gt;10000000,  BY$19&gt;=$DX52,    BY$19&lt;=($DY52+$DI$17)  ))   ,$DW52,  "")</f>
        <v/>
      </c>
      <c r="BZ52" s="106" t="str">
        <f aca="false">IF(    OR(   AND($C52=10000000,    $A$17&lt;=BZ$19,      ($A$17+$DI$17)&gt;BZ$19    ),   AND($C52&lt;&gt;10000000,  BZ$19&gt;=$DX52,    BZ$19&lt;=($DY52+$DI$17)  ))   ,$DW52,  "")</f>
        <v/>
      </c>
      <c r="CA52" s="106" t="str">
        <f aca="false">IF(    OR(   AND($C52=10000000,    $A$17&lt;=CA$19,      ($A$17+$DI$17)&gt;CA$19    ),   AND($C52&lt;&gt;10000000,  CA$19&gt;=$DX52,    CA$19&lt;=($DY52+$DI$17)  ))   ,$DW52,  "")</f>
        <v/>
      </c>
      <c r="CB52" s="106" t="str">
        <f aca="false">IF(    OR(   AND($C52=10000000,    $A$17&lt;=CB$19,      ($A$17+$DI$17)&gt;CB$19    ),   AND($C52&lt;&gt;10000000,  CB$19&gt;=$DX52,    CB$19&lt;=($DY52+$DI$17)  ))   ,$DW52,  "")</f>
        <v/>
      </c>
      <c r="CC52" s="106" t="str">
        <f aca="false">IF(    OR(   AND($C52=10000000,    $A$17&lt;=CC$19,      ($A$17+$DI$17)&gt;CC$19    ),   AND($C52&lt;&gt;10000000,  CC$19&gt;=$DX52,    CC$19&lt;=($DY52+$DI$17)  ))   ,$DW52,  "")</f>
        <v/>
      </c>
      <c r="CD52" s="106" t="str">
        <f aca="false">IF(    OR(   AND($C52=10000000,    $A$17&lt;=CD$19,      ($A$17+$DI$17)&gt;CD$19    ),   AND($C52&lt;&gt;10000000,  CD$19&gt;=$DX52,    CD$19&lt;=($DY52+$DI$17)  ))   ,$DW52,  "")</f>
        <v/>
      </c>
      <c r="CE52" s="106" t="str">
        <f aca="false">IF(    OR(   AND($C52=10000000,    $A$17&lt;=CE$19,      ($A$17+$DI$17)&gt;CE$19    ),   AND($C52&lt;&gt;10000000,  CE$19&gt;=$DX52,    CE$19&lt;=($DY52+$DI$17)  ))   ,$DW52,  "")</f>
        <v/>
      </c>
      <c r="CF52" s="106" t="str">
        <f aca="false">IF(    OR(   AND($C52=10000000,    $A$17&lt;=CF$19,      ($A$17+$DI$17)&gt;CF$19    ),   AND($C52&lt;&gt;10000000,  CF$19&gt;=$DX52,    CF$19&lt;=($DY52+$DI$17)  ))   ,$DW52,  "")</f>
        <v/>
      </c>
      <c r="CG52" s="106" t="str">
        <f aca="false">IF(    OR(   AND($C52=10000000,    $A$17&lt;=CG$19,      ($A$17+$DI$17)&gt;CG$19    ),   AND($C52&lt;&gt;10000000,  CG$19&gt;=$DX52,    CG$19&lt;=($DY52+$DI$17)  ))   ,$DW52,  "")</f>
        <v/>
      </c>
      <c r="CH52" s="106" t="str">
        <f aca="false">IF(    OR(   AND($C52=10000000,    $A$17&lt;=CH$19,      ($A$17+$DI$17)&gt;CH$19    ),   AND($C52&lt;&gt;10000000,  CH$19&gt;=$DX52,    CH$19&lt;=($DY52+$DI$17)  ))   ,$DW52,  "")</f>
        <v/>
      </c>
      <c r="CI52" s="106" t="str">
        <f aca="false">IF(    OR(   AND($C52=10000000,    $A$17&lt;=CI$19,      ($A$17+$DI$17)&gt;CI$19    ),   AND($C52&lt;&gt;10000000,  CI$19&gt;=$DX52,    CI$19&lt;=($DY52+$DI$17)  ))   ,$DW52,  "")</f>
        <v/>
      </c>
      <c r="CJ52" s="106" t="str">
        <f aca="false">IF(    OR(   AND($C52=10000000,    $A$17&lt;=CJ$19,      ($A$17+$DI$17)&gt;CJ$19    ),   AND($C52&lt;&gt;10000000,  CJ$19&gt;=$DX52,    CJ$19&lt;=($DY52+$DI$17)  ))   ,$DW52,  "")</f>
        <v/>
      </c>
      <c r="CK52" s="106" t="str">
        <f aca="false">IF(    OR(   AND($C52=10000000,    $A$17&lt;=CK$19,      ($A$17+$DI$17)&gt;CK$19    ),   AND($C52&lt;&gt;10000000,  CK$19&gt;=$DX52,    CK$19&lt;=($DY52+$DI$17)  ))   ,$DW52,  "")</f>
        <v/>
      </c>
      <c r="CL52" s="106" t="str">
        <f aca="false">IF(    OR(   AND($C52=10000000,    $A$17&lt;=CL$19,      ($A$17+$DI$17)&gt;CL$19    ),   AND($C52&lt;&gt;10000000,  CL$19&gt;=$DX52,    CL$19&lt;=($DY52+$DI$17)  ))   ,$DW52,  "")</f>
        <v/>
      </c>
      <c r="CM52" s="106" t="str">
        <f aca="false">IF(    OR(   AND($C52=10000000,    $A$17&lt;=CM$19,      ($A$17+$DI$17)&gt;CM$19    ),   AND($C52&lt;&gt;10000000,  CM$19&gt;=$DX52,    CM$19&lt;=($DY52+$DI$17)  ))   ,$DW52,  "")</f>
        <v/>
      </c>
      <c r="CN52" s="106" t="str">
        <f aca="false">IF(    OR(   AND($C52=10000000,    $A$17&lt;=CN$19,      ($A$17+$DI$17)&gt;CN$19    ),   AND($C52&lt;&gt;10000000,  CN$19&gt;=$DX52,    CN$19&lt;=($DY52+$DI$17)  ))   ,$DW52,  "")</f>
        <v/>
      </c>
      <c r="CO52" s="106" t="str">
        <f aca="false">IF(    OR(   AND($C52=10000000,    $A$17&lt;=CO$19,      ($A$17+$DI$17)&gt;CO$19    ),   AND($C52&lt;&gt;10000000,  CO$19&gt;=$DX52,    CO$19&lt;=($DY52+$DI$17)  ))   ,$DW52,  "")</f>
        <v/>
      </c>
      <c r="CP52" s="106" t="str">
        <f aca="false">IF(    OR(   AND($C52=10000000,    $A$17&lt;=CP$19,      ($A$17+$DI$17)&gt;CP$19    ),   AND($C52&lt;&gt;10000000,  CP$19&gt;=$DX52,    CP$19&lt;=($DY52+$DI$17)  ))   ,$DW52,  "")</f>
        <v/>
      </c>
      <c r="CQ52" s="106" t="str">
        <f aca="false">IF(    OR(   AND($C52=10000000,    $A$17&lt;=CQ$19,      ($A$17+$DI$17)&gt;CQ$19    ),   AND($C52&lt;&gt;10000000,  CQ$19&gt;=$DX52,    CQ$19&lt;=($DY52+$DI$17)  ))   ,$DW52,  "")</f>
        <v/>
      </c>
      <c r="CR52" s="106" t="str">
        <f aca="false">IF(    OR(   AND($C52=10000000,    $A$17&lt;=CR$19,      ($A$17+$DI$17)&gt;CR$19    ),   AND($C52&lt;&gt;10000000,  CR$19&gt;=$DX52,    CR$19&lt;=($DY52+$DI$17)  ))   ,$DW52,  "")</f>
        <v/>
      </c>
      <c r="CS52" s="106" t="str">
        <f aca="false">IF(    OR(   AND($C52=10000000,    $A$17&lt;=CS$19,      ($A$17+$DI$17)&gt;CS$19    ),   AND($C52&lt;&gt;10000000,  CS$19&gt;=$DX52,    CS$19&lt;=($DY52+$DI$17)  ))   ,$DW52,  "")</f>
        <v/>
      </c>
      <c r="CT52" s="106" t="str">
        <f aca="false">IF(    OR(   AND($C52=10000000,    $A$17&lt;=CT$19,      ($A$17+$DI$17)&gt;CT$19    ),   AND($C52&lt;&gt;10000000,  CT$19&gt;=$DX52,    CT$19&lt;=($DY52+$DI$17)  ))   ,$DW52,  "")</f>
        <v/>
      </c>
      <c r="CU52" s="106" t="str">
        <f aca="false">IF(    OR(   AND($C52=10000000,    $A$17&lt;=CU$19,      ($A$17+$DI$17)&gt;CU$19    ),   AND($C52&lt;&gt;10000000,  CU$19&gt;=$DX52,    CU$19&lt;=($DY52+$DI$17)  ))   ,$DW52,  "")</f>
        <v/>
      </c>
      <c r="CV52" s="106" t="str">
        <f aca="false">IF(    OR(   AND($C52=10000000,    $A$17&lt;=CV$19,      ($A$17+$DI$17)&gt;CV$19    ),   AND($C52&lt;&gt;10000000,  CV$19&gt;=$DX52,    CV$19&lt;=($DY52+$DI$17)  ))   ,$DW52,  "")</f>
        <v/>
      </c>
      <c r="CW52" s="106" t="str">
        <f aca="false">IF(    OR(   AND($C52=10000000,    $A$17&lt;=CW$19,      ($A$17+$DI$17)&gt;CW$19    ),   AND($C52&lt;&gt;10000000,  CW$19&gt;=$DX52,    CW$19&lt;=($DY52+$DI$17)  ))   ,$DW52,  "")</f>
        <v/>
      </c>
      <c r="CX52" s="106" t="str">
        <f aca="false">IF(    OR(   AND($C52=10000000,    $A$17&lt;=CX$19,      ($A$17+$DI$17)&gt;CX$19    ),   AND($C52&lt;&gt;10000000,  CX$19&gt;=$DX52,    CX$19&lt;=($DY52+$DI$17)  ))   ,$DW52,  "")</f>
        <v/>
      </c>
      <c r="CY52" s="106" t="str">
        <f aca="false">IF(    OR(   AND($C52=10000000,    $A$17&lt;=CY$19,      ($A$17+$DI$17)&gt;CY$19    ),   AND($C52&lt;&gt;10000000,  CY$19&gt;=$DX52,    CY$19&lt;=($DY52+$DI$17)  ))   ,$DW52,  "")</f>
        <v/>
      </c>
      <c r="CZ52" s="106" t="str">
        <f aca="false">IF(    OR(   AND($C52=10000000,    $A$17&lt;=CZ$19,      ($A$17+$DI$17)&gt;CZ$19    ),   AND($C52&lt;&gt;10000000,  CZ$19&gt;=$DX52,    CZ$19&lt;=($DY52+$DI$17)  ))   ,$DW52,  "")</f>
        <v/>
      </c>
      <c r="DA52" s="106" t="str">
        <f aca="false">IF(    OR(   AND($C52=10000000,    $A$17&lt;=DA$19,      ($A$17+$DI$17)&gt;DA$19    ),   AND($C52&lt;&gt;10000000,  DA$19&gt;=$DX52,    DA$19&lt;=($DY52+$DI$17)  ))   ,$DW52,  "")</f>
        <v/>
      </c>
      <c r="DB52" s="106" t="str">
        <f aca="false">IF(    OR(   AND($C52=10000000,    $A$17&lt;=DB$19,      ($A$17+$DI$17)&gt;DB$19    ),   AND($C52&lt;&gt;10000000,  DB$19&gt;=$DX52,    DB$19&lt;=($DY52+$DI$17)  ))   ,$DW52,  "")</f>
        <v/>
      </c>
      <c r="DC52" s="106" t="str">
        <f aca="false">IF(    OR(   AND($C52=10000000,    $A$17&lt;=DC$19,      ($A$17+$DI$17)&gt;DC$19    ),   AND($C52&lt;&gt;10000000,  DC$19&gt;=$DX52,    DC$19&lt;=($DY52+$DI$17)  ))   ,$DW52,  "")</f>
        <v/>
      </c>
      <c r="DD52" s="106" t="str">
        <f aca="false">IF(    OR(   AND($C52=10000000,    $A$17&lt;=DD$19,      ($A$17+$DI$17)&gt;DD$19    ),   AND($C52&lt;&gt;10000000,  DD$19&gt;=$DX52,    DD$19&lt;=($DY52+$DI$17)  ))   ,$DW52,  "")</f>
        <v/>
      </c>
      <c r="DE52" s="106" t="str">
        <f aca="false">IF(    OR(   AND($C52=10000000,    $A$17&lt;=DE$19,      ($A$17+$DI$17)&gt;DE$19    ),   AND($C52&lt;&gt;10000000,  DE$19&gt;=$DX52,    DE$19&lt;=($DY52+$DI$17)  ))   ,$DW52,  "")</f>
        <v/>
      </c>
      <c r="DF52" s="106" t="str">
        <f aca="false">IF(    OR(   AND($C52=10000000,    $A$17&lt;=DF$19,      ($A$17+$DI$17)&gt;DF$19    ),   AND($C52&lt;&gt;10000000,  DF$19&gt;=$DX52,    DF$19&lt;=($DY52+$DI$17)  ))   ,$DW52,  "")</f>
        <v/>
      </c>
      <c r="DG52" s="106" t="str">
        <f aca="false">IF(    OR(   AND($C52=10000000,    $A$17&lt;=DG$19,      ($A$17+$DI$17)&gt;DG$19    ),   AND($C52&lt;&gt;10000000,  DG$19&gt;=$DX52,    DG$19&lt;=($DY52+$DI$17)  ))   ,$DW52,  "")</f>
        <v/>
      </c>
      <c r="DH52" s="106" t="str">
        <f aca="false">IF(    OR(   AND($C52=10000000,    $A$17&lt;=DH$19,      ($A$17+$DI$17)&gt;DH$19    ),   AND($C52&lt;&gt;10000000,  DH$19&gt;=$DX52,    DH$19&lt;=($DY52+$DI$17)  ))   ,$DW52,  "")</f>
        <v/>
      </c>
      <c r="DI52" s="106" t="str">
        <f aca="false">IF(    OR(   AND($C52=10000000,    $A$17&lt;=DI$19,      ($A$17+$DI$17)&gt;DI$19    ),   AND($C52&lt;&gt;10000000,  DI$19&gt;=$DX52,    DI$19&lt;=($DY52+$DI$17)  ))   ,$DW52,  "")</f>
        <v/>
      </c>
      <c r="DJ52" s="74" t="str">
        <f aca="false">IF(BC52="","",IF(ISERROR(FIND(CHAR(10),BC52,1)),BC52,LEFT(BC52,FIND(CHAR(10),BC52,1))))</f>
        <v/>
      </c>
      <c r="DK52" s="61" t="str">
        <f aca="false">IF(BC52="","",IFERROR(RIGHT(BC52,LEN(BC52)-FIND("@@@",SUBSTITUTE(BC52,CHAR(10),"@@@",LEN(BC52)-LEN(SUBSTITUTE(BC52,CHAR(10),""))),1)),BC52))</f>
        <v/>
      </c>
      <c r="DL52" s="61" t="str">
        <f aca="false">IF(BD52="","",IFERROR(RIGHT(BD52,LEN(BD52)-FIND("@@@",SUBSTITUTE(BD52,CHAR(10),"@@@",LEN(BD52)-LEN(SUBSTITUTE(BD52,CHAR(10),""))),1)),BD52))</f>
        <v/>
      </c>
      <c r="DM52" s="107" t="str">
        <f aca="false">IFERROR(DATE(("20"&amp;MID(DJ52,7,2))*1,MID(DJ52,4,2)*1,MID(DJ52,1,2)*1),"none")</f>
        <v>none</v>
      </c>
      <c r="DN52" s="107" t="str">
        <f aca="false">IFERROR(DATE(("20"&amp;MID(DK52,7,2))*1,MID(DK52,4,2)*1,MID(DK52,1,2)*1),"none")</f>
        <v>none</v>
      </c>
      <c r="DO52" s="107" t="n">
        <f aca="false">IF(DM52&lt;&gt;"none",DM52,DATE(1900,1,1))</f>
        <v>2</v>
      </c>
      <c r="DP52" s="107" t="n">
        <f aca="false">IF(DN52&lt;&gt;"none",DN52,DO52)</f>
        <v>2</v>
      </c>
      <c r="DQ52" s="108" t="n">
        <f aca="false">_xlfn.DAYS($A$17,DO52)</f>
        <v>46319</v>
      </c>
      <c r="DR52" s="108" t="n">
        <f aca="false">_xlfn.DAYS($A$17, DP52)</f>
        <v>46319</v>
      </c>
      <c r="DS52" s="60" t="n">
        <f aca="false">IF(DP52&lt;&gt;"",INT(DR52/7),0)</f>
        <v>6617</v>
      </c>
      <c r="DT52" s="108" t="n">
        <f aca="false">IF(N52="Overdue",_xlfn.DAYS($A$17,AM52),0)</f>
        <v>0</v>
      </c>
      <c r="DU52" s="108" t="n">
        <f aca="false">IF(AI52="Project",_xlfn.DAYS(AM52,$A$17),0)</f>
        <v>0</v>
      </c>
      <c r="DV52" s="60" t="str">
        <f aca="false">IFERROR(INDEX(Static!$D$5:$E$13,MATCH(AI52,Static!$D$5:$D$13,0),2),"")</f>
        <v/>
      </c>
      <c r="DW52" s="60" t="str">
        <f aca="false">IF(C52=10000000,"Red",IF(OR(C52=11000000,C52=12000000),"Black",IF(C52=11100000,"Dark",IF(AND(C52=12100000,N52="Completed"),"Green",IF(AND(C52=12100000,N52="Overdue"),"Red",IF(C52=12100000,"Dark",IF(AND(C52=12110000,N52="Overdue"),"LightRed",IF(AND(C52=12110000,N52="Completed"),"LightGreen",IF(OR(C52=11110000,C52=12110000),"Light",IF(AND(C52=12111000,N52="Overdue"),"SoftRed",IF(AND(C52=12111000,N52="Completed"),"SoftGreen",IF(OR(C52=11111000,C52=12111000),"Grey",""))))))))))))</f>
        <v/>
      </c>
      <c r="DX52" s="58" t="n">
        <f aca="false">IF(AL52&lt;&gt;"",AL52,$BJ$19)</f>
        <v>45658</v>
      </c>
      <c r="DY52" s="58" t="n">
        <f aca="false">IF(AM52&lt;&gt;"",AM52,$DI$19)</f>
        <v>46387</v>
      </c>
      <c r="DZ52" s="62" t="s">
        <v>364</v>
      </c>
    </row>
    <row r="53" customFormat="false" ht="14.15" hidden="false" customHeight="true" outlineLevel="0" collapsed="false">
      <c r="A53" s="54"/>
      <c r="B53" s="61" t="n">
        <f aca="false">AI53</f>
        <v>0</v>
      </c>
      <c r="C53" s="60" t="n">
        <f aca="false">IFERROR(INDEX(Static!$D$5:$F$13,MATCH(AI53,Static!$D$5:$D$13,0),3),90000000)</f>
        <v>90000000</v>
      </c>
      <c r="D53" s="60" t="str">
        <f aca="false">MID(C53,2,1)</f>
        <v>0</v>
      </c>
      <c r="E53" s="61" t="str">
        <f aca="false">AC53</f>
        <v/>
      </c>
      <c r="F53" s="60" t="n">
        <f aca="false">IF(B53="Venture",0,IF(OR(B53="Project",B53="Stream",B53="Action"),AL53,0))</f>
        <v>0</v>
      </c>
      <c r="G53" s="60" t="n">
        <f aca="false">AT53</f>
        <v>0</v>
      </c>
      <c r="H53" s="60" t="n">
        <f aca="false">IF(B53="Venture",0,IFERROR(INDEX($E$20:$F$55,MATCH(G53,$E$20:$E$55,0),2),0))</f>
        <v>0</v>
      </c>
      <c r="I53" s="60" t="str">
        <f aca="false">IF(B53="Venture",0,IFERROR(INDEX($E$20:$G$55,MATCH(G53,$E$20:$E$55,0),3),""))</f>
        <v/>
      </c>
      <c r="J53" s="60" t="n">
        <f aca="false">IF(B53="Venture",0,IFERROR(INDEX($E$20:$H$55,MATCH(G53,$E$20:$E$55,0),4),0))</f>
        <v>0</v>
      </c>
      <c r="K53" s="60" t="n">
        <f aca="false">IF(B53="Venture",0,IFERROR(INDEX($E$20:$G$55,MATCH(I53,$E$20:$E$55,0),3),""))</f>
        <v>0</v>
      </c>
      <c r="L53" s="60" t="n">
        <f aca="false">IF(C53="Venture",0,IFERROR(INDEX($E$20:$G$55,MATCH(J53,$E$20:$E$55,0),4),0))</f>
        <v>0</v>
      </c>
      <c r="M53" s="60" t="str">
        <f aca="false">IF(N53="Completed","Completed","Ongoing")</f>
        <v>Ongoing</v>
      </c>
      <c r="N53" s="60" t="n">
        <f aca="false">IF(OR(AI53="Venture",AI53="Routine",AI53="Run Goal", AI53="Chg Goal", AI53=""),AI53,IF(AO53&lt;&gt;"","Completed",IF(AN53&lt;&gt;"","Pending",IF(AND(AM53&lt;&gt;"",$A$17&gt;AM53),"Overdue",IF($A$17&gt;AL53,"Started","Open")))))</f>
        <v>0</v>
      </c>
      <c r="O53" s="59" t="n">
        <f aca="false">((LEN($BD53)-LEN(SUBSTITUTE($BD53,CHAR(10)&amp;". ","")))/3)+IF(LEFT(TRIM($BD53),2)=". ",1,0)</f>
        <v>0</v>
      </c>
      <c r="P53" s="59" t="n">
        <f aca="false">((LEN($BD53)-LEN(SUBSTITUTE($BD53,CHAR(10)&amp;"/ ","")))/3)+IF(LEFT(TRIM($BD53),2)="/ ",1,0)</f>
        <v>0</v>
      </c>
      <c r="Q53" s="59" t="n">
        <f aca="false">((LEN($BD53)-LEN(SUBSTITUTE($BD53,CHAR(10)&amp;"~ ","")))/3)+IF(LEFT(TRIM($BD53),2)="~ ",1,0)</f>
        <v>0</v>
      </c>
      <c r="R53" s="59" t="n">
        <f aca="false">((LEN($BD53)-LEN(SUBSTITUTE($BD53,CHAR(10)&amp;"! ","")))/3)+IF(LEFT(TRIM($BD53),2)="! ",1,0)</f>
        <v>0</v>
      </c>
      <c r="S53" s="59" t="n">
        <f aca="false">((LEN($BD53)-LEN(SUBSTITUTE($BD53,CHAR(10)&amp;"x ","")))/3)+IF(LEFT(TRIM($BD53),2)="x ",1,0)</f>
        <v>0</v>
      </c>
      <c r="T53" s="59" t="n">
        <f aca="false">SUM(O53:S53)</f>
        <v>0</v>
      </c>
      <c r="U53" s="60" t="n">
        <f aca="false">IF(OR($B53="Drill",$B53="Action"),$AP53,0)</f>
        <v>0</v>
      </c>
      <c r="V53" s="60" t="n">
        <f aca="false">IF(OR($B53="Sub",$B53="Stream"),$AP53+SUMIFS($AP$20:$AP$55,$G$20:$G$55,$E53),0)</f>
        <v>0</v>
      </c>
      <c r="W53" s="60" t="n">
        <f aca="false">IF(OR($B53="Routine",$B53="Project"),$AP53+SUMIFS($V$20:$V$55,$G$20:$G$55,$E53),0)</f>
        <v>0</v>
      </c>
      <c r="X53" s="60" t="n">
        <f aca="false">IF($B53="Venture",$AP53+SUMIFS($W$20:$W$55,$G$20:$G$55,$E53),0)</f>
        <v>0</v>
      </c>
      <c r="Y53" s="60" t="n">
        <f aca="false">IF(OR($B53="Drill",$B53="Action"),$AQ53,0)</f>
        <v>0</v>
      </c>
      <c r="Z53" s="60" t="n">
        <f aca="false">IF(OR($B53="Sub",$B53="Stream"),$AQ53+SUMIFS($AQ$20:$AQ$55,$G$20:$G$55,$E53),0)</f>
        <v>0</v>
      </c>
      <c r="AA53" s="60" t="n">
        <f aca="false">IF(OR($B53="Routine",$B53="Project"),$AQ53+SUMIFS($Z$20:$Z$55,$G$20:$G$55,$E53),0)</f>
        <v>0</v>
      </c>
      <c r="AB53" s="60" t="n">
        <f aca="false">IF($B53="Venture",$AQ53+SUMIFS($AA$20:$AA$55,$G$20:$G$55,$E53),0)</f>
        <v>0</v>
      </c>
      <c r="AC53" s="60" t="str">
        <f aca="false">IF(AI53="Venture",AJ53,AI53&amp;AJ53)</f>
        <v/>
      </c>
      <c r="AD53" s="61" t="str">
        <f aca="false">"  -  "&amp;IF(E53="","ZZZ",D53&amp;AF53&amp;IF(OR(B53="Run Goal",B53="Chg Goal", B53="Venture"),F53&amp;E53,IF(OR(B53="Routine",B53="Project"),H53&amp;G53&amp;F53&amp;E53,  IF(OR(B53="Sub",B53="Stream"),J53&amp;I53&amp;H53&amp;G53&amp;F53&amp;E53,IF(OR(B53="Drill",B53="Action"),L53&amp;K53&amp;J53&amp;I53&amp;H53&amp;G53&amp;F53&amp;E53,     "") )    )))</f>
        <v>  -  ZZZ</v>
      </c>
      <c r="AE53" s="60" t="str">
        <f aca="false">IF(AND(AN53="",AO53=""),"Y","N")</f>
        <v>Y</v>
      </c>
      <c r="AF53" s="99" t="str">
        <f aca="false">IF(OR(AG53="Y",AG53="Y"),AG53,IF(DN53="none","N",IF(DN53&gt;($A$17-WEEKDAY($A$17,2)-(7*$AF$18)),"Y","N")))</f>
        <v>N</v>
      </c>
      <c r="AG53" s="100"/>
      <c r="AH53" s="101"/>
      <c r="AI53" s="62"/>
      <c r="AJ53" s="64"/>
      <c r="AK53" s="64"/>
      <c r="AL53" s="70"/>
      <c r="AM53" s="70"/>
      <c r="AN53" s="70"/>
      <c r="AO53" s="70"/>
      <c r="AP53" s="102"/>
      <c r="AQ53" s="102"/>
      <c r="AR53" s="62"/>
      <c r="AS53" s="62"/>
      <c r="AT53" s="62"/>
      <c r="AU53" s="62"/>
      <c r="AV53" s="62"/>
      <c r="AW53" s="62"/>
      <c r="AX53" s="62"/>
      <c r="AY53" s="62"/>
      <c r="AZ53" s="62"/>
      <c r="BA53" s="62"/>
      <c r="BB53" s="54"/>
      <c r="BC53" s="54"/>
      <c r="BD53" s="54"/>
      <c r="BE53" s="60" t="n">
        <f aca="false">SUM(O53:R53)</f>
        <v>0</v>
      </c>
      <c r="BF53" s="66" t="n">
        <f aca="false">IF(AJ53="",1,IF(T53&lt;&gt;0,(P53*0.5+S53)/T53,1))</f>
        <v>1</v>
      </c>
      <c r="BG53" s="69" t="str">
        <f aca="false">IF(AI53="","",IF(AI53="Venture",X53,IF(OR(AI53="Chg Goal",AI53="RUn Goal"),W53,IF(OR(AI53="ROutine",AI53="Project"),W53,IF(OR(AI53="Sub",AI53="Stream"),V53,IF(OR(AI53="Drill",AI53="Action"),U53,0))))))</f>
        <v/>
      </c>
      <c r="BH53" s="69" t="str">
        <f aca="false">IF(AI53="","",IF(AI53="Venture",AB53,IF(OR(AI53="Chg Goal",AI53="RUn Goal"),AA53,IF(OR(AI53="ROutine",AI53="Project"),AA53,IF(OR(AI53="Sub",AI53="Stream"),Z53,IF(OR(AI53="Drill",AI53="Action"),Y53,0))))))</f>
        <v/>
      </c>
      <c r="BI53" s="104" t="str">
        <f aca="false">IF(AJ53="","",IF(OR(BG53=0, BG53=""),0,BH53/BG53))</f>
        <v/>
      </c>
      <c r="BJ53" s="105" t="str">
        <f aca="false">IF(    OR(   AND($C53=10000000,    BJ$19&gt;=$A$17,      BJ$19 &lt;($A$17+$DI$17)   ),   AND($C53&lt;&gt;10000000,  BJ$19&gt;=$DX53,    BJ$19&lt;=($DY53+$DI$17)  ))   ,$DW53,  "")</f>
        <v/>
      </c>
      <c r="BK53" s="106" t="str">
        <f aca="false">IF(    OR(   AND($C53=10000000,    $A$17&lt;=BK$19,      ($A$17+$DI$17)&gt;BK$19    ),   AND($C53&lt;&gt;10000000,  BK$19&gt;=$DX53,    BK$19&lt;=($DY53+$DI$17)  ))   ,$DW53,  "")</f>
        <v/>
      </c>
      <c r="BL53" s="106" t="str">
        <f aca="false">IF(    OR(   AND($C53=10000000,    $A$17&lt;=BL$19,      ($A$17+$DI$17)&gt;BL$19    ),   AND($C53&lt;&gt;10000000,  BL$19&gt;=$DX53,    BL$19&lt;=($DY53+$DI$17)  ))   ,$DW53,  "")</f>
        <v/>
      </c>
      <c r="BM53" s="106" t="str">
        <f aca="false">IF(    OR(   AND($C53=10000000,    $A$17&lt;=BM$19,      ($A$17+$DI$17)&gt;BM$19    ),   AND($C53&lt;&gt;10000000,  BM$19&gt;=$DX53,    BM$19&lt;=($DY53+$DI$17)  ))   ,$DW53,  "")</f>
        <v/>
      </c>
      <c r="BN53" s="106" t="str">
        <f aca="false">IF(    OR(   AND($C53=10000000,    $A$17&lt;=BN$19,      ($A$17+$DI$17)&gt;BN$19    ),   AND($C53&lt;&gt;10000000,  BN$19&gt;=$DX53,    BN$19&lt;=($DY53+$DI$17)  ))   ,$DW53,  "")</f>
        <v/>
      </c>
      <c r="BO53" s="106" t="str">
        <f aca="false">IF(    OR(   AND($C53=10000000,    $A$17&lt;=BO$19,      ($A$17+$DI$17)&gt;BO$19    ),   AND($C53&lt;&gt;10000000,  BO$19&gt;=$DX53,    BO$19&lt;=($DY53+$DI$17)  ))   ,$DW53,  "")</f>
        <v/>
      </c>
      <c r="BP53" s="106" t="str">
        <f aca="false">IF(    OR(   AND($C53=10000000,    $A$17&lt;=BP$19,      ($A$17+$DI$17)&gt;BP$19    ),   AND($C53&lt;&gt;10000000,  BP$19&gt;=$DX53,    BP$19&lt;=($DY53+$DI$17)  ))   ,$DW53,  "")</f>
        <v/>
      </c>
      <c r="BQ53" s="106" t="str">
        <f aca="false">IF(    OR(   AND($C53=10000000,    $A$17&lt;=BQ$19,      ($A$17+$DI$17)&gt;BQ$19    ),   AND($C53&lt;&gt;10000000,  BQ$19&gt;=$DX53,    BQ$19&lt;=($DY53+$DI$17)  ))   ,$DW53,  "")</f>
        <v/>
      </c>
      <c r="BR53" s="106" t="str">
        <f aca="false">IF(    OR(   AND($C53=10000000,    $A$17&lt;=BR$19,      ($A$17+$DI$17)&gt;BR$19    ),   AND($C53&lt;&gt;10000000,  BR$19&gt;=$DX53,    BR$19&lt;=($DY53+$DI$17)  ))   ,$DW53,  "")</f>
        <v/>
      </c>
      <c r="BS53" s="106" t="str">
        <f aca="false">IF(    OR(   AND($C53=10000000,    $A$17&lt;=BS$19,      ($A$17+$DI$17)&gt;BS$19    ),   AND($C53&lt;&gt;10000000,  BS$19&gt;=$DX53,    BS$19&lt;=($DY53+$DI$17)  ))   ,$DW53,  "")</f>
        <v/>
      </c>
      <c r="BT53" s="106" t="str">
        <f aca="false">IF(    OR(   AND($C53=10000000,    $A$17&lt;=BT$19,      ($A$17+$DI$17)&gt;BT$19    ),   AND($C53&lt;&gt;10000000,  BT$19&gt;=$DX53,    BT$19&lt;=($DY53+$DI$17)  ))   ,$DW53,  "")</f>
        <v/>
      </c>
      <c r="BU53" s="106" t="str">
        <f aca="false">IF(    OR(   AND($C53=10000000,    $A$17&lt;=BU$19,      ($A$17+$DI$17)&gt;BU$19    ),   AND($C53&lt;&gt;10000000,  BU$19&gt;=$DX53,    BU$19&lt;=($DY53+$DI$17)  ))   ,$DW53,  "")</f>
        <v/>
      </c>
      <c r="BV53" s="106" t="str">
        <f aca="false">IF(    OR(   AND($C53=10000000,    $A$17&lt;=BV$19,      ($A$17+$DI$17)&gt;BV$19    ),   AND($C53&lt;&gt;10000000,  BV$19&gt;=$DX53,    BV$19&lt;=($DY53+$DI$17)  ))   ,$DW53,  "")</f>
        <v/>
      </c>
      <c r="BW53" s="106" t="str">
        <f aca="false">IF(    OR(   AND($C53=10000000,    $A$17&lt;=BW$19,      ($A$17+$DI$17)&gt;BW$19    ),   AND($C53&lt;&gt;10000000,  BW$19&gt;=$DX53,    BW$19&lt;=($DY53+$DI$17)  ))   ,$DW53,  "")</f>
        <v/>
      </c>
      <c r="BX53" s="106" t="str">
        <f aca="false">IF(    OR(   AND($C53=10000000,    $A$17&lt;=BX$19,      ($A$17+$DI$17)&gt;BX$19    ),   AND($C53&lt;&gt;10000000,  BX$19&gt;=$DX53,    BX$19&lt;=($DY53+$DI$17)  ))   ,$DW53,  "")</f>
        <v/>
      </c>
      <c r="BY53" s="106" t="str">
        <f aca="false">IF(    OR(   AND($C53=10000000,    $A$17&lt;=BY$19,      ($A$17+$DI$17)&gt;BY$19    ),   AND($C53&lt;&gt;10000000,  BY$19&gt;=$DX53,    BY$19&lt;=($DY53+$DI$17)  ))   ,$DW53,  "")</f>
        <v/>
      </c>
      <c r="BZ53" s="106" t="str">
        <f aca="false">IF(    OR(   AND($C53=10000000,    $A$17&lt;=BZ$19,      ($A$17+$DI$17)&gt;BZ$19    ),   AND($C53&lt;&gt;10000000,  BZ$19&gt;=$DX53,    BZ$19&lt;=($DY53+$DI$17)  ))   ,$DW53,  "")</f>
        <v/>
      </c>
      <c r="CA53" s="106" t="str">
        <f aca="false">IF(    OR(   AND($C53=10000000,    $A$17&lt;=CA$19,      ($A$17+$DI$17)&gt;CA$19    ),   AND($C53&lt;&gt;10000000,  CA$19&gt;=$DX53,    CA$19&lt;=($DY53+$DI$17)  ))   ,$DW53,  "")</f>
        <v/>
      </c>
      <c r="CB53" s="106" t="str">
        <f aca="false">IF(    OR(   AND($C53=10000000,    $A$17&lt;=CB$19,      ($A$17+$DI$17)&gt;CB$19    ),   AND($C53&lt;&gt;10000000,  CB$19&gt;=$DX53,    CB$19&lt;=($DY53+$DI$17)  ))   ,$DW53,  "")</f>
        <v/>
      </c>
      <c r="CC53" s="106" t="str">
        <f aca="false">IF(    OR(   AND($C53=10000000,    $A$17&lt;=CC$19,      ($A$17+$DI$17)&gt;CC$19    ),   AND($C53&lt;&gt;10000000,  CC$19&gt;=$DX53,    CC$19&lt;=($DY53+$DI$17)  ))   ,$DW53,  "")</f>
        <v/>
      </c>
      <c r="CD53" s="106" t="str">
        <f aca="false">IF(    OR(   AND($C53=10000000,    $A$17&lt;=CD$19,      ($A$17+$DI$17)&gt;CD$19    ),   AND($C53&lt;&gt;10000000,  CD$19&gt;=$DX53,    CD$19&lt;=($DY53+$DI$17)  ))   ,$DW53,  "")</f>
        <v/>
      </c>
      <c r="CE53" s="106" t="str">
        <f aca="false">IF(    OR(   AND($C53=10000000,    $A$17&lt;=CE$19,      ($A$17+$DI$17)&gt;CE$19    ),   AND($C53&lt;&gt;10000000,  CE$19&gt;=$DX53,    CE$19&lt;=($DY53+$DI$17)  ))   ,$DW53,  "")</f>
        <v/>
      </c>
      <c r="CF53" s="106" t="str">
        <f aca="false">IF(    OR(   AND($C53=10000000,    $A$17&lt;=CF$19,      ($A$17+$DI$17)&gt;CF$19    ),   AND($C53&lt;&gt;10000000,  CF$19&gt;=$DX53,    CF$19&lt;=($DY53+$DI$17)  ))   ,$DW53,  "")</f>
        <v/>
      </c>
      <c r="CG53" s="106" t="str">
        <f aca="false">IF(    OR(   AND($C53=10000000,    $A$17&lt;=CG$19,      ($A$17+$DI$17)&gt;CG$19    ),   AND($C53&lt;&gt;10000000,  CG$19&gt;=$DX53,    CG$19&lt;=($DY53+$DI$17)  ))   ,$DW53,  "")</f>
        <v/>
      </c>
      <c r="CH53" s="106" t="str">
        <f aca="false">IF(    OR(   AND($C53=10000000,    $A$17&lt;=CH$19,      ($A$17+$DI$17)&gt;CH$19    ),   AND($C53&lt;&gt;10000000,  CH$19&gt;=$DX53,    CH$19&lt;=($DY53+$DI$17)  ))   ,$DW53,  "")</f>
        <v/>
      </c>
      <c r="CI53" s="106" t="str">
        <f aca="false">IF(    OR(   AND($C53=10000000,    $A$17&lt;=CI$19,      ($A$17+$DI$17)&gt;CI$19    ),   AND($C53&lt;&gt;10000000,  CI$19&gt;=$DX53,    CI$19&lt;=($DY53+$DI$17)  ))   ,$DW53,  "")</f>
        <v/>
      </c>
      <c r="CJ53" s="106" t="str">
        <f aca="false">IF(    OR(   AND($C53=10000000,    $A$17&lt;=CJ$19,      ($A$17+$DI$17)&gt;CJ$19    ),   AND($C53&lt;&gt;10000000,  CJ$19&gt;=$DX53,    CJ$19&lt;=($DY53+$DI$17)  ))   ,$DW53,  "")</f>
        <v/>
      </c>
      <c r="CK53" s="106" t="str">
        <f aca="false">IF(    OR(   AND($C53=10000000,    $A$17&lt;=CK$19,      ($A$17+$DI$17)&gt;CK$19    ),   AND($C53&lt;&gt;10000000,  CK$19&gt;=$DX53,    CK$19&lt;=($DY53+$DI$17)  ))   ,$DW53,  "")</f>
        <v/>
      </c>
      <c r="CL53" s="106" t="str">
        <f aca="false">IF(    OR(   AND($C53=10000000,    $A$17&lt;=CL$19,      ($A$17+$DI$17)&gt;CL$19    ),   AND($C53&lt;&gt;10000000,  CL$19&gt;=$DX53,    CL$19&lt;=($DY53+$DI$17)  ))   ,$DW53,  "")</f>
        <v/>
      </c>
      <c r="CM53" s="106" t="str">
        <f aca="false">IF(    OR(   AND($C53=10000000,    $A$17&lt;=CM$19,      ($A$17+$DI$17)&gt;CM$19    ),   AND($C53&lt;&gt;10000000,  CM$19&gt;=$DX53,    CM$19&lt;=($DY53+$DI$17)  ))   ,$DW53,  "")</f>
        <v/>
      </c>
      <c r="CN53" s="106" t="str">
        <f aca="false">IF(    OR(   AND($C53=10000000,    $A$17&lt;=CN$19,      ($A$17+$DI$17)&gt;CN$19    ),   AND($C53&lt;&gt;10000000,  CN$19&gt;=$DX53,    CN$19&lt;=($DY53+$DI$17)  ))   ,$DW53,  "")</f>
        <v/>
      </c>
      <c r="CO53" s="106" t="str">
        <f aca="false">IF(    OR(   AND($C53=10000000,    $A$17&lt;=CO$19,      ($A$17+$DI$17)&gt;CO$19    ),   AND($C53&lt;&gt;10000000,  CO$19&gt;=$DX53,    CO$19&lt;=($DY53+$DI$17)  ))   ,$DW53,  "")</f>
        <v/>
      </c>
      <c r="CP53" s="106" t="str">
        <f aca="false">IF(    OR(   AND($C53=10000000,    $A$17&lt;=CP$19,      ($A$17+$DI$17)&gt;CP$19    ),   AND($C53&lt;&gt;10000000,  CP$19&gt;=$DX53,    CP$19&lt;=($DY53+$DI$17)  ))   ,$DW53,  "")</f>
        <v/>
      </c>
      <c r="CQ53" s="106" t="str">
        <f aca="false">IF(    OR(   AND($C53=10000000,    $A$17&lt;=CQ$19,      ($A$17+$DI$17)&gt;CQ$19    ),   AND($C53&lt;&gt;10000000,  CQ$19&gt;=$DX53,    CQ$19&lt;=($DY53+$DI$17)  ))   ,$DW53,  "")</f>
        <v/>
      </c>
      <c r="CR53" s="106" t="str">
        <f aca="false">IF(    OR(   AND($C53=10000000,    $A$17&lt;=CR$19,      ($A$17+$DI$17)&gt;CR$19    ),   AND($C53&lt;&gt;10000000,  CR$19&gt;=$DX53,    CR$19&lt;=($DY53+$DI$17)  ))   ,$DW53,  "")</f>
        <v/>
      </c>
      <c r="CS53" s="106" t="str">
        <f aca="false">IF(    OR(   AND($C53=10000000,    $A$17&lt;=CS$19,      ($A$17+$DI$17)&gt;CS$19    ),   AND($C53&lt;&gt;10000000,  CS$19&gt;=$DX53,    CS$19&lt;=($DY53+$DI$17)  ))   ,$DW53,  "")</f>
        <v/>
      </c>
      <c r="CT53" s="106" t="str">
        <f aca="false">IF(    OR(   AND($C53=10000000,    $A$17&lt;=CT$19,      ($A$17+$DI$17)&gt;CT$19    ),   AND($C53&lt;&gt;10000000,  CT$19&gt;=$DX53,    CT$19&lt;=($DY53+$DI$17)  ))   ,$DW53,  "")</f>
        <v/>
      </c>
      <c r="CU53" s="106" t="str">
        <f aca="false">IF(    OR(   AND($C53=10000000,    $A$17&lt;=CU$19,      ($A$17+$DI$17)&gt;CU$19    ),   AND($C53&lt;&gt;10000000,  CU$19&gt;=$DX53,    CU$19&lt;=($DY53+$DI$17)  ))   ,$DW53,  "")</f>
        <v/>
      </c>
      <c r="CV53" s="106" t="str">
        <f aca="false">IF(    OR(   AND($C53=10000000,    $A$17&lt;=CV$19,      ($A$17+$DI$17)&gt;CV$19    ),   AND($C53&lt;&gt;10000000,  CV$19&gt;=$DX53,    CV$19&lt;=($DY53+$DI$17)  ))   ,$DW53,  "")</f>
        <v/>
      </c>
      <c r="CW53" s="106" t="str">
        <f aca="false">IF(    OR(   AND($C53=10000000,    $A$17&lt;=CW$19,      ($A$17+$DI$17)&gt;CW$19    ),   AND($C53&lt;&gt;10000000,  CW$19&gt;=$DX53,    CW$19&lt;=($DY53+$DI$17)  ))   ,$DW53,  "")</f>
        <v/>
      </c>
      <c r="CX53" s="106" t="str">
        <f aca="false">IF(    OR(   AND($C53=10000000,    $A$17&lt;=CX$19,      ($A$17+$DI$17)&gt;CX$19    ),   AND($C53&lt;&gt;10000000,  CX$19&gt;=$DX53,    CX$19&lt;=($DY53+$DI$17)  ))   ,$DW53,  "")</f>
        <v/>
      </c>
      <c r="CY53" s="106" t="str">
        <f aca="false">IF(    OR(   AND($C53=10000000,    $A$17&lt;=CY$19,      ($A$17+$DI$17)&gt;CY$19    ),   AND($C53&lt;&gt;10000000,  CY$19&gt;=$DX53,    CY$19&lt;=($DY53+$DI$17)  ))   ,$DW53,  "")</f>
        <v/>
      </c>
      <c r="CZ53" s="106" t="str">
        <f aca="false">IF(    OR(   AND($C53=10000000,    $A$17&lt;=CZ$19,      ($A$17+$DI$17)&gt;CZ$19    ),   AND($C53&lt;&gt;10000000,  CZ$19&gt;=$DX53,    CZ$19&lt;=($DY53+$DI$17)  ))   ,$DW53,  "")</f>
        <v/>
      </c>
      <c r="DA53" s="106" t="str">
        <f aca="false">IF(    OR(   AND($C53=10000000,    $A$17&lt;=DA$19,      ($A$17+$DI$17)&gt;DA$19    ),   AND($C53&lt;&gt;10000000,  DA$19&gt;=$DX53,    DA$19&lt;=($DY53+$DI$17)  ))   ,$DW53,  "")</f>
        <v/>
      </c>
      <c r="DB53" s="106" t="str">
        <f aca="false">IF(    OR(   AND($C53=10000000,    $A$17&lt;=DB$19,      ($A$17+$DI$17)&gt;DB$19    ),   AND($C53&lt;&gt;10000000,  DB$19&gt;=$DX53,    DB$19&lt;=($DY53+$DI$17)  ))   ,$DW53,  "")</f>
        <v/>
      </c>
      <c r="DC53" s="106" t="str">
        <f aca="false">IF(    OR(   AND($C53=10000000,    $A$17&lt;=DC$19,      ($A$17+$DI$17)&gt;DC$19    ),   AND($C53&lt;&gt;10000000,  DC$19&gt;=$DX53,    DC$19&lt;=($DY53+$DI$17)  ))   ,$DW53,  "")</f>
        <v/>
      </c>
      <c r="DD53" s="106" t="str">
        <f aca="false">IF(    OR(   AND($C53=10000000,    $A$17&lt;=DD$19,      ($A$17+$DI$17)&gt;DD$19    ),   AND($C53&lt;&gt;10000000,  DD$19&gt;=$DX53,    DD$19&lt;=($DY53+$DI$17)  ))   ,$DW53,  "")</f>
        <v/>
      </c>
      <c r="DE53" s="106" t="str">
        <f aca="false">IF(    OR(   AND($C53=10000000,    $A$17&lt;=DE$19,      ($A$17+$DI$17)&gt;DE$19    ),   AND($C53&lt;&gt;10000000,  DE$19&gt;=$DX53,    DE$19&lt;=($DY53+$DI$17)  ))   ,$DW53,  "")</f>
        <v/>
      </c>
      <c r="DF53" s="106" t="str">
        <f aca="false">IF(    OR(   AND($C53=10000000,    $A$17&lt;=DF$19,      ($A$17+$DI$17)&gt;DF$19    ),   AND($C53&lt;&gt;10000000,  DF$19&gt;=$DX53,    DF$19&lt;=($DY53+$DI$17)  ))   ,$DW53,  "")</f>
        <v/>
      </c>
      <c r="DG53" s="106" t="str">
        <f aca="false">IF(    OR(   AND($C53=10000000,    $A$17&lt;=DG$19,      ($A$17+$DI$17)&gt;DG$19    ),   AND($C53&lt;&gt;10000000,  DG$19&gt;=$DX53,    DG$19&lt;=($DY53+$DI$17)  ))   ,$DW53,  "")</f>
        <v/>
      </c>
      <c r="DH53" s="106" t="str">
        <f aca="false">IF(    OR(   AND($C53=10000000,    $A$17&lt;=DH$19,      ($A$17+$DI$17)&gt;DH$19    ),   AND($C53&lt;&gt;10000000,  DH$19&gt;=$DX53,    DH$19&lt;=($DY53+$DI$17)  ))   ,$DW53,  "")</f>
        <v/>
      </c>
      <c r="DI53" s="106" t="str">
        <f aca="false">IF(    OR(   AND($C53=10000000,    $A$17&lt;=DI$19,      ($A$17+$DI$17)&gt;DI$19    ),   AND($C53&lt;&gt;10000000,  DI$19&gt;=$DX53,    DI$19&lt;=($DY53+$DI$17)  ))   ,$DW53,  "")</f>
        <v/>
      </c>
      <c r="DJ53" s="74" t="str">
        <f aca="false">IF(BC53="","",IF(ISERROR(FIND(CHAR(10),BC53,1)),BC53,LEFT(BC53,FIND(CHAR(10),BC53,1))))</f>
        <v/>
      </c>
      <c r="DK53" s="61" t="str">
        <f aca="false">IF(BC53="","",IFERROR(RIGHT(BC53,LEN(BC53)-FIND("@@@",SUBSTITUTE(BC53,CHAR(10),"@@@",LEN(BC53)-LEN(SUBSTITUTE(BC53,CHAR(10),""))),1)),BC53))</f>
        <v/>
      </c>
      <c r="DL53" s="61" t="str">
        <f aca="false">IF(BD53="","",IFERROR(RIGHT(BD53,LEN(BD53)-FIND("@@@",SUBSTITUTE(BD53,CHAR(10),"@@@",LEN(BD53)-LEN(SUBSTITUTE(BD53,CHAR(10),""))),1)),BD53))</f>
        <v/>
      </c>
      <c r="DM53" s="107" t="str">
        <f aca="false">IFERROR(DATE(("20"&amp;MID(DJ53,7,2))*1,MID(DJ53,4,2)*1,MID(DJ53,1,2)*1),"none")</f>
        <v>none</v>
      </c>
      <c r="DN53" s="107" t="str">
        <f aca="false">IFERROR(DATE(("20"&amp;MID(DK53,7,2))*1,MID(DK53,4,2)*1,MID(DK53,1,2)*1),"none")</f>
        <v>none</v>
      </c>
      <c r="DO53" s="107" t="n">
        <f aca="false">IF(DM53&lt;&gt;"none",DM53,DATE(1900,1,1))</f>
        <v>2</v>
      </c>
      <c r="DP53" s="107" t="n">
        <f aca="false">IF(DN53&lt;&gt;"none",DN53,DO53)</f>
        <v>2</v>
      </c>
      <c r="DQ53" s="108" t="n">
        <f aca="false">_xlfn.DAYS($A$17,DO53)</f>
        <v>46319</v>
      </c>
      <c r="DR53" s="108" t="n">
        <f aca="false">_xlfn.DAYS($A$17, DP53)</f>
        <v>46319</v>
      </c>
      <c r="DS53" s="60" t="n">
        <f aca="false">IF(DP53&lt;&gt;"",INT(DR53/7),0)</f>
        <v>6617</v>
      </c>
      <c r="DT53" s="108" t="n">
        <f aca="false">IF(N53="Overdue",_xlfn.DAYS($A$17,AM53),0)</f>
        <v>0</v>
      </c>
      <c r="DU53" s="108" t="n">
        <f aca="false">IF(AI53="Project",_xlfn.DAYS(AM53,$A$17),0)</f>
        <v>0</v>
      </c>
      <c r="DV53" s="60" t="str">
        <f aca="false">IFERROR(INDEX(Static!$D$5:$E$13,MATCH(AI53,Static!$D$5:$D$13,0),2),"")</f>
        <v/>
      </c>
      <c r="DW53" s="60" t="str">
        <f aca="false">IF(C53=10000000,"Red",IF(OR(C53=11000000,C53=12000000),"Black",IF(C53=11100000,"Dark",IF(AND(C53=12100000,N53="Completed"),"Green",IF(AND(C53=12100000,N53="Overdue"),"Red",IF(C53=12100000,"Dark",IF(AND(C53=12110000,N53="Overdue"),"LightRed",IF(AND(C53=12110000,N53="Completed"),"LightGreen",IF(OR(C53=11110000,C53=12110000),"Light",IF(AND(C53=12111000,N53="Overdue"),"SoftRed",IF(AND(C53=12111000,N53="Completed"),"SoftGreen",IF(OR(C53=11111000,C53=12111000),"Grey",""))))))))))))</f>
        <v/>
      </c>
      <c r="DX53" s="58" t="n">
        <f aca="false">IF(AL53&lt;&gt;"",AL53,$BJ$19)</f>
        <v>45658</v>
      </c>
      <c r="DY53" s="58" t="n">
        <f aca="false">IF(AM53&lt;&gt;"",AM53,$DI$19)</f>
        <v>46387</v>
      </c>
      <c r="DZ53" s="62" t="s">
        <v>364</v>
      </c>
    </row>
    <row r="54" customFormat="false" ht="14.15" hidden="false" customHeight="true" outlineLevel="0" collapsed="false">
      <c r="A54" s="54"/>
      <c r="B54" s="61" t="n">
        <f aca="false">AI54</f>
        <v>0</v>
      </c>
      <c r="C54" s="60" t="n">
        <f aca="false">IFERROR(INDEX(Static!$D$5:$F$13,MATCH(AI54,Static!$D$5:$D$13,0),3),90000000)</f>
        <v>90000000</v>
      </c>
      <c r="D54" s="60" t="str">
        <f aca="false">MID(C54,2,1)</f>
        <v>0</v>
      </c>
      <c r="E54" s="61" t="str">
        <f aca="false">AC54</f>
        <v/>
      </c>
      <c r="F54" s="60" t="n">
        <f aca="false">IF(B54="Venture",0,IF(OR(B54="Project",B54="Stream",B54="Action"),AL54,0))</f>
        <v>0</v>
      </c>
      <c r="G54" s="60" t="n">
        <f aca="false">AT54</f>
        <v>0</v>
      </c>
      <c r="H54" s="60" t="n">
        <f aca="false">IF(B54="Venture",0,IFERROR(INDEX($E$20:$F$55,MATCH(G54,$E$20:$E$55,0),2),0))</f>
        <v>0</v>
      </c>
      <c r="I54" s="60" t="str">
        <f aca="false">IF(B54="Venture",0,IFERROR(INDEX($E$20:$G$55,MATCH(G54,$E$20:$E$55,0),3),""))</f>
        <v/>
      </c>
      <c r="J54" s="60" t="n">
        <f aca="false">IF(B54="Venture",0,IFERROR(INDEX($E$20:$H$55,MATCH(G54,$E$20:$E$55,0),4),0))</f>
        <v>0</v>
      </c>
      <c r="K54" s="60" t="n">
        <f aca="false">IF(B54="Venture",0,IFERROR(INDEX($E$20:$G$55,MATCH(I54,$E$20:$E$55,0),3),""))</f>
        <v>0</v>
      </c>
      <c r="L54" s="60" t="n">
        <f aca="false">IF(C54="Venture",0,IFERROR(INDEX($E$20:$G$55,MATCH(J54,$E$20:$E$55,0),4),0))</f>
        <v>0</v>
      </c>
      <c r="M54" s="60" t="str">
        <f aca="false">IF(N54="Completed","Completed","Ongoing")</f>
        <v>Ongoing</v>
      </c>
      <c r="N54" s="60" t="n">
        <f aca="false">IF(OR(AI54="Venture",AI54="Routine",AI54="Run Goal", AI54="Chg Goal", AI54=""),AI54,IF(AO54&lt;&gt;"","Completed",IF(AN54&lt;&gt;"","Pending",IF(AND(AM54&lt;&gt;"",$A$17&gt;AM54),"Overdue",IF($A$17&gt;AL54,"Started","Open")))))</f>
        <v>0</v>
      </c>
      <c r="O54" s="59" t="n">
        <f aca="false">((LEN($BD54)-LEN(SUBSTITUTE($BD54,CHAR(10)&amp;". ","")))/3)+IF(LEFT(TRIM($BD54),2)=". ",1,0)</f>
        <v>0</v>
      </c>
      <c r="P54" s="59" t="n">
        <f aca="false">((LEN($BD54)-LEN(SUBSTITUTE($BD54,CHAR(10)&amp;"/ ","")))/3)+IF(LEFT(TRIM($BD54),2)="/ ",1,0)</f>
        <v>0</v>
      </c>
      <c r="Q54" s="59" t="n">
        <f aca="false">((LEN($BD54)-LEN(SUBSTITUTE($BD54,CHAR(10)&amp;"~ ","")))/3)+IF(LEFT(TRIM($BD54),2)="~ ",1,0)</f>
        <v>0</v>
      </c>
      <c r="R54" s="59" t="n">
        <f aca="false">((LEN($BD54)-LEN(SUBSTITUTE($BD54,CHAR(10)&amp;"! ","")))/3)+IF(LEFT(TRIM($BD54),2)="! ",1,0)</f>
        <v>0</v>
      </c>
      <c r="S54" s="59" t="n">
        <f aca="false">((LEN($BD54)-LEN(SUBSTITUTE($BD54,CHAR(10)&amp;"x ","")))/3)+IF(LEFT(TRIM($BD54),2)="x ",1,0)</f>
        <v>0</v>
      </c>
      <c r="T54" s="59" t="n">
        <f aca="false">SUM(O54:S54)</f>
        <v>0</v>
      </c>
      <c r="U54" s="60" t="n">
        <f aca="false">IF(OR($B54="Drill",$B54="Action"),$AP54,0)</f>
        <v>0</v>
      </c>
      <c r="V54" s="60" t="n">
        <f aca="false">IF(OR($B54="Sub",$B54="Stream"),$AP54+SUMIFS($AP$20:$AP$55,$G$20:$G$55,$E54),0)</f>
        <v>0</v>
      </c>
      <c r="W54" s="60" t="n">
        <f aca="false">IF(OR($B54="Routine",$B54="Project"),$AP54+SUMIFS($V$20:$V$55,$G$20:$G$55,$E54),0)</f>
        <v>0</v>
      </c>
      <c r="X54" s="60" t="n">
        <f aca="false">IF($B54="Venture",$AP54+SUMIFS($W$20:$W$55,$G$20:$G$55,$E54),0)</f>
        <v>0</v>
      </c>
      <c r="Y54" s="60" t="n">
        <f aca="false">IF(OR($B54="Drill",$B54="Action"),$AQ54,0)</f>
        <v>0</v>
      </c>
      <c r="Z54" s="60" t="n">
        <f aca="false">IF(OR($B54="Sub",$B54="Stream"),$AQ54+SUMIFS($AQ$20:$AQ$55,$G$20:$G$55,$E54),0)</f>
        <v>0</v>
      </c>
      <c r="AA54" s="60" t="n">
        <f aca="false">IF(OR($B54="Routine",$B54="Project"),$AQ54+SUMIFS($Z$20:$Z$55,$G$20:$G$55,$E54),0)</f>
        <v>0</v>
      </c>
      <c r="AB54" s="60" t="n">
        <f aca="false">IF($B54="Venture",$AQ54+SUMIFS($AA$20:$AA$55,$G$20:$G$55,$E54),0)</f>
        <v>0</v>
      </c>
      <c r="AC54" s="60" t="str">
        <f aca="false">IF(AI54="Venture",AJ54,AI54&amp;AJ54)</f>
        <v/>
      </c>
      <c r="AD54" s="61" t="str">
        <f aca="false">"  -  "&amp;IF(E54="","ZZZ",D54&amp;AF54&amp;IF(OR(B54="Run Goal",B54="Chg Goal", B54="Venture"),F54&amp;E54,IF(OR(B54="Routine",B54="Project"),H54&amp;G54&amp;F54&amp;E54,  IF(OR(B54="Sub",B54="Stream"),J54&amp;I54&amp;H54&amp;G54&amp;F54&amp;E54,IF(OR(B54="Drill",B54="Action"),L54&amp;K54&amp;J54&amp;I54&amp;H54&amp;G54&amp;F54&amp;E54,     "") )    )))</f>
        <v>  -  ZZZ</v>
      </c>
      <c r="AE54" s="60" t="str">
        <f aca="false">IF(AND(AN54="",AO54=""),"Y","N")</f>
        <v>Y</v>
      </c>
      <c r="AF54" s="99" t="str">
        <f aca="false">IF(OR(AG54="Y",AG54="Y"),AG54,IF(DN54="none","N",IF(DN54&gt;($A$17-WEEKDAY($A$17,2)-(7*$AF$18)),"Y","N")))</f>
        <v>N</v>
      </c>
      <c r="AG54" s="100"/>
      <c r="AH54" s="101"/>
      <c r="AI54" s="62"/>
      <c r="AJ54" s="64"/>
      <c r="AK54" s="64"/>
      <c r="AL54" s="70"/>
      <c r="AM54" s="70"/>
      <c r="AN54" s="70"/>
      <c r="AO54" s="70"/>
      <c r="AP54" s="102"/>
      <c r="AQ54" s="102"/>
      <c r="AR54" s="62"/>
      <c r="AS54" s="62"/>
      <c r="AT54" s="62"/>
      <c r="AU54" s="62"/>
      <c r="AV54" s="62"/>
      <c r="AW54" s="62"/>
      <c r="AX54" s="62"/>
      <c r="AY54" s="62"/>
      <c r="AZ54" s="62"/>
      <c r="BA54" s="62"/>
      <c r="BB54" s="54"/>
      <c r="BC54" s="54"/>
      <c r="BD54" s="54"/>
      <c r="BE54" s="60" t="n">
        <f aca="false">SUM(O54:R54)</f>
        <v>0</v>
      </c>
      <c r="BF54" s="66" t="n">
        <f aca="false">IF(AJ54="",1,IF(T54&lt;&gt;0,(P54*0.5+S54)/T54,1))</f>
        <v>1</v>
      </c>
      <c r="BG54" s="69" t="str">
        <f aca="false">IF(AI54="","",IF(AI54="Venture",X54,IF(OR(AI54="Chg Goal",AI54="RUn Goal"),W54,IF(OR(AI54="ROutine",AI54="Project"),W54,IF(OR(AI54="Sub",AI54="Stream"),V54,IF(OR(AI54="Drill",AI54="Action"),U54,0))))))</f>
        <v/>
      </c>
      <c r="BH54" s="69" t="str">
        <f aca="false">IF(AI54="","",IF(AI54="Venture",AB54,IF(OR(AI54="Chg Goal",AI54="RUn Goal"),AA54,IF(OR(AI54="ROutine",AI54="Project"),AA54,IF(OR(AI54="Sub",AI54="Stream"),Z54,IF(OR(AI54="Drill",AI54="Action"),Y54,0))))))</f>
        <v/>
      </c>
      <c r="BI54" s="104" t="str">
        <f aca="false">IF(AJ54="","",IF(OR(BG54=0, BG54=""),0,BH54/BG54))</f>
        <v/>
      </c>
      <c r="BJ54" s="105" t="str">
        <f aca="false">IF(    OR(   AND($C54=10000000,    BJ$19&gt;=$A$17,      BJ$19 &lt;($A$17+$DI$17)   ),   AND($C54&lt;&gt;10000000,  BJ$19&gt;=$DX54,    BJ$19&lt;=($DY54+$DI$17)  ))   ,$DW54,  "")</f>
        <v/>
      </c>
      <c r="BK54" s="106" t="str">
        <f aca="false">IF(    OR(   AND($C54=10000000,    $A$17&lt;=BK$19,      ($A$17+$DI$17)&gt;BK$19    ),   AND($C54&lt;&gt;10000000,  BK$19&gt;=$DX54,    BK$19&lt;=($DY54+$DI$17)  ))   ,$DW54,  "")</f>
        <v/>
      </c>
      <c r="BL54" s="106" t="str">
        <f aca="false">IF(    OR(   AND($C54=10000000,    $A$17&lt;=BL$19,      ($A$17+$DI$17)&gt;BL$19    ),   AND($C54&lt;&gt;10000000,  BL$19&gt;=$DX54,    BL$19&lt;=($DY54+$DI$17)  ))   ,$DW54,  "")</f>
        <v/>
      </c>
      <c r="BM54" s="106" t="str">
        <f aca="false">IF(    OR(   AND($C54=10000000,    $A$17&lt;=BM$19,      ($A$17+$DI$17)&gt;BM$19    ),   AND($C54&lt;&gt;10000000,  BM$19&gt;=$DX54,    BM$19&lt;=($DY54+$DI$17)  ))   ,$DW54,  "")</f>
        <v/>
      </c>
      <c r="BN54" s="106" t="str">
        <f aca="false">IF(    OR(   AND($C54=10000000,    $A$17&lt;=BN$19,      ($A$17+$DI$17)&gt;BN$19    ),   AND($C54&lt;&gt;10000000,  BN$19&gt;=$DX54,    BN$19&lt;=($DY54+$DI$17)  ))   ,$DW54,  "")</f>
        <v/>
      </c>
      <c r="BO54" s="106" t="str">
        <f aca="false">IF(    OR(   AND($C54=10000000,    $A$17&lt;=BO$19,      ($A$17+$DI$17)&gt;BO$19    ),   AND($C54&lt;&gt;10000000,  BO$19&gt;=$DX54,    BO$19&lt;=($DY54+$DI$17)  ))   ,$DW54,  "")</f>
        <v/>
      </c>
      <c r="BP54" s="106" t="str">
        <f aca="false">IF(    OR(   AND($C54=10000000,    $A$17&lt;=BP$19,      ($A$17+$DI$17)&gt;BP$19    ),   AND($C54&lt;&gt;10000000,  BP$19&gt;=$DX54,    BP$19&lt;=($DY54+$DI$17)  ))   ,$DW54,  "")</f>
        <v/>
      </c>
      <c r="BQ54" s="106" t="str">
        <f aca="false">IF(    OR(   AND($C54=10000000,    $A$17&lt;=BQ$19,      ($A$17+$DI$17)&gt;BQ$19    ),   AND($C54&lt;&gt;10000000,  BQ$19&gt;=$DX54,    BQ$19&lt;=($DY54+$DI$17)  ))   ,$DW54,  "")</f>
        <v/>
      </c>
      <c r="BR54" s="106" t="str">
        <f aca="false">IF(    OR(   AND($C54=10000000,    $A$17&lt;=BR$19,      ($A$17+$DI$17)&gt;BR$19    ),   AND($C54&lt;&gt;10000000,  BR$19&gt;=$DX54,    BR$19&lt;=($DY54+$DI$17)  ))   ,$DW54,  "")</f>
        <v/>
      </c>
      <c r="BS54" s="106" t="str">
        <f aca="false">IF(    OR(   AND($C54=10000000,    $A$17&lt;=BS$19,      ($A$17+$DI$17)&gt;BS$19    ),   AND($C54&lt;&gt;10000000,  BS$19&gt;=$DX54,    BS$19&lt;=($DY54+$DI$17)  ))   ,$DW54,  "")</f>
        <v/>
      </c>
      <c r="BT54" s="106" t="str">
        <f aca="false">IF(    OR(   AND($C54=10000000,    $A$17&lt;=BT$19,      ($A$17+$DI$17)&gt;BT$19    ),   AND($C54&lt;&gt;10000000,  BT$19&gt;=$DX54,    BT$19&lt;=($DY54+$DI$17)  ))   ,$DW54,  "")</f>
        <v/>
      </c>
      <c r="BU54" s="106" t="str">
        <f aca="false">IF(    OR(   AND($C54=10000000,    $A$17&lt;=BU$19,      ($A$17+$DI$17)&gt;BU$19    ),   AND($C54&lt;&gt;10000000,  BU$19&gt;=$DX54,    BU$19&lt;=($DY54+$DI$17)  ))   ,$DW54,  "")</f>
        <v/>
      </c>
      <c r="BV54" s="106" t="str">
        <f aca="false">IF(    OR(   AND($C54=10000000,    $A$17&lt;=BV$19,      ($A$17+$DI$17)&gt;BV$19    ),   AND($C54&lt;&gt;10000000,  BV$19&gt;=$DX54,    BV$19&lt;=($DY54+$DI$17)  ))   ,$DW54,  "")</f>
        <v/>
      </c>
      <c r="BW54" s="106" t="str">
        <f aca="false">IF(    OR(   AND($C54=10000000,    $A$17&lt;=BW$19,      ($A$17+$DI$17)&gt;BW$19    ),   AND($C54&lt;&gt;10000000,  BW$19&gt;=$DX54,    BW$19&lt;=($DY54+$DI$17)  ))   ,$DW54,  "")</f>
        <v/>
      </c>
      <c r="BX54" s="106" t="str">
        <f aca="false">IF(    OR(   AND($C54=10000000,    $A$17&lt;=BX$19,      ($A$17+$DI$17)&gt;BX$19    ),   AND($C54&lt;&gt;10000000,  BX$19&gt;=$DX54,    BX$19&lt;=($DY54+$DI$17)  ))   ,$DW54,  "")</f>
        <v/>
      </c>
      <c r="BY54" s="106" t="str">
        <f aca="false">IF(    OR(   AND($C54=10000000,    $A$17&lt;=BY$19,      ($A$17+$DI$17)&gt;BY$19    ),   AND($C54&lt;&gt;10000000,  BY$19&gt;=$DX54,    BY$19&lt;=($DY54+$DI$17)  ))   ,$DW54,  "")</f>
        <v/>
      </c>
      <c r="BZ54" s="106" t="str">
        <f aca="false">IF(    OR(   AND($C54=10000000,    $A$17&lt;=BZ$19,      ($A$17+$DI$17)&gt;BZ$19    ),   AND($C54&lt;&gt;10000000,  BZ$19&gt;=$DX54,    BZ$19&lt;=($DY54+$DI$17)  ))   ,$DW54,  "")</f>
        <v/>
      </c>
      <c r="CA54" s="106" t="str">
        <f aca="false">IF(    OR(   AND($C54=10000000,    $A$17&lt;=CA$19,      ($A$17+$DI$17)&gt;CA$19    ),   AND($C54&lt;&gt;10000000,  CA$19&gt;=$DX54,    CA$19&lt;=($DY54+$DI$17)  ))   ,$DW54,  "")</f>
        <v/>
      </c>
      <c r="CB54" s="106" t="str">
        <f aca="false">IF(    OR(   AND($C54=10000000,    $A$17&lt;=CB$19,      ($A$17+$DI$17)&gt;CB$19    ),   AND($C54&lt;&gt;10000000,  CB$19&gt;=$DX54,    CB$19&lt;=($DY54+$DI$17)  ))   ,$DW54,  "")</f>
        <v/>
      </c>
      <c r="CC54" s="106" t="str">
        <f aca="false">IF(    OR(   AND($C54=10000000,    $A$17&lt;=CC$19,      ($A$17+$DI$17)&gt;CC$19    ),   AND($C54&lt;&gt;10000000,  CC$19&gt;=$DX54,    CC$19&lt;=($DY54+$DI$17)  ))   ,$DW54,  "")</f>
        <v/>
      </c>
      <c r="CD54" s="106" t="str">
        <f aca="false">IF(    OR(   AND($C54=10000000,    $A$17&lt;=CD$19,      ($A$17+$DI$17)&gt;CD$19    ),   AND($C54&lt;&gt;10000000,  CD$19&gt;=$DX54,    CD$19&lt;=($DY54+$DI$17)  ))   ,$DW54,  "")</f>
        <v/>
      </c>
      <c r="CE54" s="106" t="str">
        <f aca="false">IF(    OR(   AND($C54=10000000,    $A$17&lt;=CE$19,      ($A$17+$DI$17)&gt;CE$19    ),   AND($C54&lt;&gt;10000000,  CE$19&gt;=$DX54,    CE$19&lt;=($DY54+$DI$17)  ))   ,$DW54,  "")</f>
        <v/>
      </c>
      <c r="CF54" s="106" t="str">
        <f aca="false">IF(    OR(   AND($C54=10000000,    $A$17&lt;=CF$19,      ($A$17+$DI$17)&gt;CF$19    ),   AND($C54&lt;&gt;10000000,  CF$19&gt;=$DX54,    CF$19&lt;=($DY54+$DI$17)  ))   ,$DW54,  "")</f>
        <v/>
      </c>
      <c r="CG54" s="106" t="str">
        <f aca="false">IF(    OR(   AND($C54=10000000,    $A$17&lt;=CG$19,      ($A$17+$DI$17)&gt;CG$19    ),   AND($C54&lt;&gt;10000000,  CG$19&gt;=$DX54,    CG$19&lt;=($DY54+$DI$17)  ))   ,$DW54,  "")</f>
        <v/>
      </c>
      <c r="CH54" s="106" t="str">
        <f aca="false">IF(    OR(   AND($C54=10000000,    $A$17&lt;=CH$19,      ($A$17+$DI$17)&gt;CH$19    ),   AND($C54&lt;&gt;10000000,  CH$19&gt;=$DX54,    CH$19&lt;=($DY54+$DI$17)  ))   ,$DW54,  "")</f>
        <v/>
      </c>
      <c r="CI54" s="106" t="str">
        <f aca="false">IF(    OR(   AND($C54=10000000,    $A$17&lt;=CI$19,      ($A$17+$DI$17)&gt;CI$19    ),   AND($C54&lt;&gt;10000000,  CI$19&gt;=$DX54,    CI$19&lt;=($DY54+$DI$17)  ))   ,$DW54,  "")</f>
        <v/>
      </c>
      <c r="CJ54" s="106" t="str">
        <f aca="false">IF(    OR(   AND($C54=10000000,    $A$17&lt;=CJ$19,      ($A$17+$DI$17)&gt;CJ$19    ),   AND($C54&lt;&gt;10000000,  CJ$19&gt;=$DX54,    CJ$19&lt;=($DY54+$DI$17)  ))   ,$DW54,  "")</f>
        <v/>
      </c>
      <c r="CK54" s="106" t="str">
        <f aca="false">IF(    OR(   AND($C54=10000000,    $A$17&lt;=CK$19,      ($A$17+$DI$17)&gt;CK$19    ),   AND($C54&lt;&gt;10000000,  CK$19&gt;=$DX54,    CK$19&lt;=($DY54+$DI$17)  ))   ,$DW54,  "")</f>
        <v/>
      </c>
      <c r="CL54" s="106" t="str">
        <f aca="false">IF(    OR(   AND($C54=10000000,    $A$17&lt;=CL$19,      ($A$17+$DI$17)&gt;CL$19    ),   AND($C54&lt;&gt;10000000,  CL$19&gt;=$DX54,    CL$19&lt;=($DY54+$DI$17)  ))   ,$DW54,  "")</f>
        <v/>
      </c>
      <c r="CM54" s="106" t="str">
        <f aca="false">IF(    OR(   AND($C54=10000000,    $A$17&lt;=CM$19,      ($A$17+$DI$17)&gt;CM$19    ),   AND($C54&lt;&gt;10000000,  CM$19&gt;=$DX54,    CM$19&lt;=($DY54+$DI$17)  ))   ,$DW54,  "")</f>
        <v/>
      </c>
      <c r="CN54" s="106" t="str">
        <f aca="false">IF(    OR(   AND($C54=10000000,    $A$17&lt;=CN$19,      ($A$17+$DI$17)&gt;CN$19    ),   AND($C54&lt;&gt;10000000,  CN$19&gt;=$DX54,    CN$19&lt;=($DY54+$DI$17)  ))   ,$DW54,  "")</f>
        <v/>
      </c>
      <c r="CO54" s="106" t="str">
        <f aca="false">IF(    OR(   AND($C54=10000000,    $A$17&lt;=CO$19,      ($A$17+$DI$17)&gt;CO$19    ),   AND($C54&lt;&gt;10000000,  CO$19&gt;=$DX54,    CO$19&lt;=($DY54+$DI$17)  ))   ,$DW54,  "")</f>
        <v/>
      </c>
      <c r="CP54" s="106" t="str">
        <f aca="false">IF(    OR(   AND($C54=10000000,    $A$17&lt;=CP$19,      ($A$17+$DI$17)&gt;CP$19    ),   AND($C54&lt;&gt;10000000,  CP$19&gt;=$DX54,    CP$19&lt;=($DY54+$DI$17)  ))   ,$DW54,  "")</f>
        <v/>
      </c>
      <c r="CQ54" s="106" t="str">
        <f aca="false">IF(    OR(   AND($C54=10000000,    $A$17&lt;=CQ$19,      ($A$17+$DI$17)&gt;CQ$19    ),   AND($C54&lt;&gt;10000000,  CQ$19&gt;=$DX54,    CQ$19&lt;=($DY54+$DI$17)  ))   ,$DW54,  "")</f>
        <v/>
      </c>
      <c r="CR54" s="106" t="str">
        <f aca="false">IF(    OR(   AND($C54=10000000,    $A$17&lt;=CR$19,      ($A$17+$DI$17)&gt;CR$19    ),   AND($C54&lt;&gt;10000000,  CR$19&gt;=$DX54,    CR$19&lt;=($DY54+$DI$17)  ))   ,$DW54,  "")</f>
        <v/>
      </c>
      <c r="CS54" s="106" t="str">
        <f aca="false">IF(    OR(   AND($C54=10000000,    $A$17&lt;=CS$19,      ($A$17+$DI$17)&gt;CS$19    ),   AND($C54&lt;&gt;10000000,  CS$19&gt;=$DX54,    CS$19&lt;=($DY54+$DI$17)  ))   ,$DW54,  "")</f>
        <v/>
      </c>
      <c r="CT54" s="106" t="str">
        <f aca="false">IF(    OR(   AND($C54=10000000,    $A$17&lt;=CT$19,      ($A$17+$DI$17)&gt;CT$19    ),   AND($C54&lt;&gt;10000000,  CT$19&gt;=$DX54,    CT$19&lt;=($DY54+$DI$17)  ))   ,$DW54,  "")</f>
        <v/>
      </c>
      <c r="CU54" s="106" t="str">
        <f aca="false">IF(    OR(   AND($C54=10000000,    $A$17&lt;=CU$19,      ($A$17+$DI$17)&gt;CU$19    ),   AND($C54&lt;&gt;10000000,  CU$19&gt;=$DX54,    CU$19&lt;=($DY54+$DI$17)  ))   ,$DW54,  "")</f>
        <v/>
      </c>
      <c r="CV54" s="106" t="str">
        <f aca="false">IF(    OR(   AND($C54=10000000,    $A$17&lt;=CV$19,      ($A$17+$DI$17)&gt;CV$19    ),   AND($C54&lt;&gt;10000000,  CV$19&gt;=$DX54,    CV$19&lt;=($DY54+$DI$17)  ))   ,$DW54,  "")</f>
        <v/>
      </c>
      <c r="CW54" s="106" t="str">
        <f aca="false">IF(    OR(   AND($C54=10000000,    $A$17&lt;=CW$19,      ($A$17+$DI$17)&gt;CW$19    ),   AND($C54&lt;&gt;10000000,  CW$19&gt;=$DX54,    CW$19&lt;=($DY54+$DI$17)  ))   ,$DW54,  "")</f>
        <v/>
      </c>
      <c r="CX54" s="106" t="str">
        <f aca="false">IF(    OR(   AND($C54=10000000,    $A$17&lt;=CX$19,      ($A$17+$DI$17)&gt;CX$19    ),   AND($C54&lt;&gt;10000000,  CX$19&gt;=$DX54,    CX$19&lt;=($DY54+$DI$17)  ))   ,$DW54,  "")</f>
        <v/>
      </c>
      <c r="CY54" s="106" t="str">
        <f aca="false">IF(    OR(   AND($C54=10000000,    $A$17&lt;=CY$19,      ($A$17+$DI$17)&gt;CY$19    ),   AND($C54&lt;&gt;10000000,  CY$19&gt;=$DX54,    CY$19&lt;=($DY54+$DI$17)  ))   ,$DW54,  "")</f>
        <v/>
      </c>
      <c r="CZ54" s="106" t="str">
        <f aca="false">IF(    OR(   AND($C54=10000000,    $A$17&lt;=CZ$19,      ($A$17+$DI$17)&gt;CZ$19    ),   AND($C54&lt;&gt;10000000,  CZ$19&gt;=$DX54,    CZ$19&lt;=($DY54+$DI$17)  ))   ,$DW54,  "")</f>
        <v/>
      </c>
      <c r="DA54" s="106" t="str">
        <f aca="false">IF(    OR(   AND($C54=10000000,    $A$17&lt;=DA$19,      ($A$17+$DI$17)&gt;DA$19    ),   AND($C54&lt;&gt;10000000,  DA$19&gt;=$DX54,    DA$19&lt;=($DY54+$DI$17)  ))   ,$DW54,  "")</f>
        <v/>
      </c>
      <c r="DB54" s="106" t="str">
        <f aca="false">IF(    OR(   AND($C54=10000000,    $A$17&lt;=DB$19,      ($A$17+$DI$17)&gt;DB$19    ),   AND($C54&lt;&gt;10000000,  DB$19&gt;=$DX54,    DB$19&lt;=($DY54+$DI$17)  ))   ,$DW54,  "")</f>
        <v/>
      </c>
      <c r="DC54" s="106" t="str">
        <f aca="false">IF(    OR(   AND($C54=10000000,    $A$17&lt;=DC$19,      ($A$17+$DI$17)&gt;DC$19    ),   AND($C54&lt;&gt;10000000,  DC$19&gt;=$DX54,    DC$19&lt;=($DY54+$DI$17)  ))   ,$DW54,  "")</f>
        <v/>
      </c>
      <c r="DD54" s="106" t="str">
        <f aca="false">IF(    OR(   AND($C54=10000000,    $A$17&lt;=DD$19,      ($A$17+$DI$17)&gt;DD$19    ),   AND($C54&lt;&gt;10000000,  DD$19&gt;=$DX54,    DD$19&lt;=($DY54+$DI$17)  ))   ,$DW54,  "")</f>
        <v/>
      </c>
      <c r="DE54" s="106" t="str">
        <f aca="false">IF(    OR(   AND($C54=10000000,    $A$17&lt;=DE$19,      ($A$17+$DI$17)&gt;DE$19    ),   AND($C54&lt;&gt;10000000,  DE$19&gt;=$DX54,    DE$19&lt;=($DY54+$DI$17)  ))   ,$DW54,  "")</f>
        <v/>
      </c>
      <c r="DF54" s="106" t="str">
        <f aca="false">IF(    OR(   AND($C54=10000000,    $A$17&lt;=DF$19,      ($A$17+$DI$17)&gt;DF$19    ),   AND($C54&lt;&gt;10000000,  DF$19&gt;=$DX54,    DF$19&lt;=($DY54+$DI$17)  ))   ,$DW54,  "")</f>
        <v/>
      </c>
      <c r="DG54" s="106" t="str">
        <f aca="false">IF(    OR(   AND($C54=10000000,    $A$17&lt;=DG$19,      ($A$17+$DI$17)&gt;DG$19    ),   AND($C54&lt;&gt;10000000,  DG$19&gt;=$DX54,    DG$19&lt;=($DY54+$DI$17)  ))   ,$DW54,  "")</f>
        <v/>
      </c>
      <c r="DH54" s="106" t="str">
        <f aca="false">IF(    OR(   AND($C54=10000000,    $A$17&lt;=DH$19,      ($A$17+$DI$17)&gt;DH$19    ),   AND($C54&lt;&gt;10000000,  DH$19&gt;=$DX54,    DH$19&lt;=($DY54+$DI$17)  ))   ,$DW54,  "")</f>
        <v/>
      </c>
      <c r="DI54" s="106" t="str">
        <f aca="false">IF(    OR(   AND($C54=10000000,    $A$17&lt;=DI$19,      ($A$17+$DI$17)&gt;DI$19    ),   AND($C54&lt;&gt;10000000,  DI$19&gt;=$DX54,    DI$19&lt;=($DY54+$DI$17)  ))   ,$DW54,  "")</f>
        <v/>
      </c>
      <c r="DJ54" s="74" t="str">
        <f aca="false">IF(BC54="","",IF(ISERROR(FIND(CHAR(10),BC54,1)),BC54,LEFT(BC54,FIND(CHAR(10),BC54,1))))</f>
        <v/>
      </c>
      <c r="DK54" s="61" t="str">
        <f aca="false">IF(BC54="","",IFERROR(RIGHT(BC54,LEN(BC54)-FIND("@@@",SUBSTITUTE(BC54,CHAR(10),"@@@",LEN(BC54)-LEN(SUBSTITUTE(BC54,CHAR(10),""))),1)),BC54))</f>
        <v/>
      </c>
      <c r="DL54" s="61" t="str">
        <f aca="false">IF(BD54="","",IFERROR(RIGHT(BD54,LEN(BD54)-FIND("@@@",SUBSTITUTE(BD54,CHAR(10),"@@@",LEN(BD54)-LEN(SUBSTITUTE(BD54,CHAR(10),""))),1)),BD54))</f>
        <v/>
      </c>
      <c r="DM54" s="107" t="str">
        <f aca="false">IFERROR(DATE(("20"&amp;MID(DJ54,7,2))*1,MID(DJ54,4,2)*1,MID(DJ54,1,2)*1),"none")</f>
        <v>none</v>
      </c>
      <c r="DN54" s="107" t="str">
        <f aca="false">IFERROR(DATE(("20"&amp;MID(DK54,7,2))*1,MID(DK54,4,2)*1,MID(DK54,1,2)*1),"none")</f>
        <v>none</v>
      </c>
      <c r="DO54" s="107" t="n">
        <f aca="false">IF(DM54&lt;&gt;"none",DM54,DATE(1900,1,1))</f>
        <v>2</v>
      </c>
      <c r="DP54" s="107" t="n">
        <f aca="false">IF(DN54&lt;&gt;"none",DN54,DO54)</f>
        <v>2</v>
      </c>
      <c r="DQ54" s="108" t="n">
        <f aca="false">_xlfn.DAYS($A$17,DO54)</f>
        <v>46319</v>
      </c>
      <c r="DR54" s="108" t="n">
        <f aca="false">_xlfn.DAYS($A$17, DP54)</f>
        <v>46319</v>
      </c>
      <c r="DS54" s="60" t="n">
        <f aca="false">IF(DP54&lt;&gt;"",INT(DR54/7),0)</f>
        <v>6617</v>
      </c>
      <c r="DT54" s="108" t="n">
        <f aca="false">IF(N54="Overdue",_xlfn.DAYS($A$17,AM54),0)</f>
        <v>0</v>
      </c>
      <c r="DU54" s="108" t="n">
        <f aca="false">IF(AI54="Project",_xlfn.DAYS(AM54,$A$17),0)</f>
        <v>0</v>
      </c>
      <c r="DV54" s="60" t="str">
        <f aca="false">IFERROR(INDEX(Static!$D$5:$E$13,MATCH(AI54,Static!$D$5:$D$13,0),2),"")</f>
        <v/>
      </c>
      <c r="DW54" s="60" t="str">
        <f aca="false">IF(C54=10000000,"Red",IF(OR(C54=11000000,C54=12000000),"Black",IF(C54=11100000,"Dark",IF(AND(C54=12100000,N54="Completed"),"Green",IF(AND(C54=12100000,N54="Overdue"),"Red",IF(C54=12100000,"Dark",IF(AND(C54=12110000,N54="Overdue"),"LightRed",IF(AND(C54=12110000,N54="Completed"),"LightGreen",IF(OR(C54=11110000,C54=12110000),"Light",IF(AND(C54=12111000,N54="Overdue"),"SoftRed",IF(AND(C54=12111000,N54="Completed"),"SoftGreen",IF(OR(C54=11111000,C54=12111000),"Grey",""))))))))))))</f>
        <v/>
      </c>
      <c r="DX54" s="58" t="n">
        <f aca="false">IF(AL54&lt;&gt;"",AL54,$BJ$19)</f>
        <v>45658</v>
      </c>
      <c r="DY54" s="58" t="n">
        <f aca="false">IF(AM54&lt;&gt;"",AM54,$DI$19)</f>
        <v>46387</v>
      </c>
      <c r="DZ54" s="62" t="s">
        <v>364</v>
      </c>
    </row>
    <row r="55" customFormat="false" ht="14.15" hidden="false" customHeight="true" outlineLevel="0" collapsed="false">
      <c r="A55" s="54"/>
      <c r="B55" s="61" t="n">
        <f aca="false">AI55</f>
        <v>0</v>
      </c>
      <c r="C55" s="60" t="n">
        <f aca="false">IFERROR(INDEX(Static!$D$5:$F$13,MATCH(AI55,Static!$D$5:$D$13,0),3),90000000)</f>
        <v>90000000</v>
      </c>
      <c r="D55" s="60" t="str">
        <f aca="false">MID(C55,2,1)</f>
        <v>0</v>
      </c>
      <c r="E55" s="61" t="str">
        <f aca="false">AC55</f>
        <v/>
      </c>
      <c r="F55" s="60" t="n">
        <f aca="false">IF(B55="Venture",0,IF(OR(B55="Project",B55="Stream",B55="Action"),AL55,0))</f>
        <v>0</v>
      </c>
      <c r="G55" s="60" t="n">
        <f aca="false">AT55</f>
        <v>0</v>
      </c>
      <c r="H55" s="60" t="n">
        <f aca="false">IF(B55="Venture",0,IFERROR(INDEX($E$20:$F$55,MATCH(G55,$E$20:$E$55,0),2),0))</f>
        <v>0</v>
      </c>
      <c r="I55" s="60" t="str">
        <f aca="false">IF(B55="Venture",0,IFERROR(INDEX($E$20:$G$55,MATCH(G55,$E$20:$E$55,0),3),""))</f>
        <v/>
      </c>
      <c r="J55" s="60" t="n">
        <f aca="false">IF(B55="Venture",0,IFERROR(INDEX($E$20:$H$55,MATCH(G55,$E$20:$E$55,0),4),0))</f>
        <v>0</v>
      </c>
      <c r="K55" s="60" t="n">
        <f aca="false">IF(B55="Venture",0,IFERROR(INDEX($E$20:$G$55,MATCH(I55,$E$20:$E$55,0),3),""))</f>
        <v>0</v>
      </c>
      <c r="L55" s="60" t="n">
        <f aca="false">IF(C55="Venture",0,IFERROR(INDEX($E$20:$G$55,MATCH(J55,$E$20:$E$55,0),4),0))</f>
        <v>0</v>
      </c>
      <c r="M55" s="60" t="str">
        <f aca="false">IF(N55="Completed","Completed","Ongoing")</f>
        <v>Ongoing</v>
      </c>
      <c r="N55" s="60" t="n">
        <f aca="false">IF(OR(AI55="Venture",AI55="Routine",AI55="Run Goal", AI55="Chg Goal", AI55=""),AI55,IF(AO55&lt;&gt;"","Completed",IF(AN55&lt;&gt;"","Pending",IF(AND(AM55&lt;&gt;"",$A$17&gt;AM55),"Overdue",IF($A$17&gt;AL55,"Started","Open")))))</f>
        <v>0</v>
      </c>
      <c r="O55" s="59" t="n">
        <f aca="false">((LEN($BD55)-LEN(SUBSTITUTE($BD55,CHAR(10)&amp;". ","")))/3)+IF(LEFT(TRIM($BD55),2)=". ",1,0)</f>
        <v>0</v>
      </c>
      <c r="P55" s="59" t="n">
        <f aca="false">((LEN($BD55)-LEN(SUBSTITUTE($BD55,CHAR(10)&amp;"/ ","")))/3)+IF(LEFT(TRIM($BD55),2)="/ ",1,0)</f>
        <v>0</v>
      </c>
      <c r="Q55" s="59" t="n">
        <f aca="false">((LEN($BD55)-LEN(SUBSTITUTE($BD55,CHAR(10)&amp;"~ ","")))/3)+IF(LEFT(TRIM($BD55),2)="~ ",1,0)</f>
        <v>0</v>
      </c>
      <c r="R55" s="59" t="n">
        <f aca="false">((LEN($BD55)-LEN(SUBSTITUTE($BD55,CHAR(10)&amp;"! ","")))/3)+IF(LEFT(TRIM($BD55),2)="! ",1,0)</f>
        <v>0</v>
      </c>
      <c r="S55" s="59" t="n">
        <f aca="false">((LEN($BD55)-LEN(SUBSTITUTE($BD55,CHAR(10)&amp;"x ","")))/3)+IF(LEFT(TRIM($BD55),2)="x ",1,0)</f>
        <v>0</v>
      </c>
      <c r="T55" s="59" t="n">
        <f aca="false">SUM(O55:S55)</f>
        <v>0</v>
      </c>
      <c r="U55" s="60" t="n">
        <f aca="false">IF(OR($B55="Drill",$B55="Action"),$AP55,0)</f>
        <v>0</v>
      </c>
      <c r="V55" s="60" t="n">
        <f aca="false">IF(OR($B55="Sub",$B55="Stream"),$AP55+SUMIFS($AP$20:$AP$55,$G$20:$G$55,$E55),0)</f>
        <v>0</v>
      </c>
      <c r="W55" s="60" t="n">
        <f aca="false">IF(OR($B55="Routine",$B55="Project"),$AP55+SUMIFS($V$20:$V$55,$G$20:$G$55,$E55),0)</f>
        <v>0</v>
      </c>
      <c r="X55" s="60" t="n">
        <f aca="false">IF($B55="Venture",$AP55+SUMIFS($W$20:$W$55,$G$20:$G$55,$E55),0)</f>
        <v>0</v>
      </c>
      <c r="Y55" s="60" t="n">
        <f aca="false">IF(OR($B55="Drill",$B55="Action"),$AQ55,0)</f>
        <v>0</v>
      </c>
      <c r="Z55" s="60" t="n">
        <f aca="false">IF(OR($B55="Sub",$B55="Stream"),$AQ55+SUMIFS($AQ$20:$AQ$55,$G$20:$G$55,$E55),0)</f>
        <v>0</v>
      </c>
      <c r="AA55" s="60" t="n">
        <f aca="false">IF(OR($B55="Routine",$B55="Project"),$AQ55+SUMIFS($Z$20:$Z$55,$G$20:$G$55,$E55),0)</f>
        <v>0</v>
      </c>
      <c r="AB55" s="60" t="n">
        <f aca="false">IF($B55="Venture",$AQ55+SUMIFS($AA$20:$AA$55,$G$20:$G$55,$E55),0)</f>
        <v>0</v>
      </c>
      <c r="AC55" s="60" t="str">
        <f aca="false">IF(AI55="Venture",AJ55,AI55&amp;AJ55)</f>
        <v/>
      </c>
      <c r="AD55" s="61" t="str">
        <f aca="false">"  -  "&amp;IF(E55="","ZZZ",D55&amp;AF55&amp;IF(OR(B55="Run Goal",B55="Chg Goal", B55="Venture"),F55&amp;E55,IF(OR(B55="Routine",B55="Project"),H55&amp;G55&amp;F55&amp;E55,  IF(OR(B55="Sub",B55="Stream"),J55&amp;I55&amp;H55&amp;G55&amp;F55&amp;E55,IF(OR(B55="Drill",B55="Action"),L55&amp;K55&amp;J55&amp;I55&amp;H55&amp;G55&amp;F55&amp;E55,     "") )    )))</f>
        <v>  -  ZZZ</v>
      </c>
      <c r="AE55" s="60" t="str">
        <f aca="false">IF(AND(AN55="",AO55=""),"Y","N")</f>
        <v>Y</v>
      </c>
      <c r="AF55" s="99" t="str">
        <f aca="false">IF(OR(AG55="Y",AG55="Y"),AG55,IF(DN55="none","N",IF(DN55&gt;($A$17-WEEKDAY($A$17,2)-(7*$AF$18)),"Y","N")))</f>
        <v>N</v>
      </c>
      <c r="AG55" s="100"/>
      <c r="AH55" s="101"/>
      <c r="AI55" s="62"/>
      <c r="AJ55" s="64"/>
      <c r="AK55" s="64"/>
      <c r="AL55" s="70"/>
      <c r="AM55" s="70"/>
      <c r="AN55" s="70"/>
      <c r="AO55" s="70"/>
      <c r="AP55" s="102"/>
      <c r="AQ55" s="102"/>
      <c r="AR55" s="62"/>
      <c r="AS55" s="62"/>
      <c r="AT55" s="62"/>
      <c r="AU55" s="62"/>
      <c r="AV55" s="62"/>
      <c r="AW55" s="62"/>
      <c r="AX55" s="62"/>
      <c r="AY55" s="62"/>
      <c r="AZ55" s="62"/>
      <c r="BA55" s="62"/>
      <c r="BB55" s="54"/>
      <c r="BC55" s="54"/>
      <c r="BD55" s="54"/>
      <c r="BE55" s="60" t="n">
        <f aca="false">SUM(O55:R55)</f>
        <v>0</v>
      </c>
      <c r="BF55" s="66" t="n">
        <f aca="false">IF(AJ55="",1,IF(T55&lt;&gt;0,(P55*0.5+S55)/T55,1))</f>
        <v>1</v>
      </c>
      <c r="BG55" s="69" t="str">
        <f aca="false">IF(AI55="","",IF(AI55="Venture",X55,IF(OR(AI55="Chg Goal",AI55="RUn Goal"),W55,IF(OR(AI55="ROutine",AI55="Project"),W55,IF(OR(AI55="Sub",AI55="Stream"),V55,IF(OR(AI55="Drill",AI55="Action"),U55,0))))))</f>
        <v/>
      </c>
      <c r="BH55" s="69" t="str">
        <f aca="false">IF(AI55="","",IF(AI55="Venture",AB55,IF(OR(AI55="Chg Goal",AI55="RUn Goal"),AA55,IF(OR(AI55="ROutine",AI55="Project"),AA55,IF(OR(AI55="Sub",AI55="Stream"),Z55,IF(OR(AI55="Drill",AI55="Action"),Y55,0))))))</f>
        <v/>
      </c>
      <c r="BI55" s="104" t="str">
        <f aca="false">IF(AJ55="","",IF(OR(BG55=0, BG55=""),0,BH55/BG55))</f>
        <v/>
      </c>
      <c r="BJ55" s="105" t="str">
        <f aca="false">IF(    OR(   AND($C55=10000000,    BJ$19&gt;=$A$17,      BJ$19 &lt;($A$17+$DI$17)   ),   AND($C55&lt;&gt;10000000,  BJ$19&gt;=$DX55,    BJ$19&lt;=($DY55+$DI$17)  ))   ,$DW55,  "")</f>
        <v/>
      </c>
      <c r="BK55" s="106" t="str">
        <f aca="false">IF(    OR(   AND($C55=10000000,    $A$17&lt;=BK$19,      ($A$17+$DI$17)&gt;BK$19    ),   AND($C55&lt;&gt;10000000,  BK$19&gt;=$DX55,    BK$19&lt;=($DY55+$DI$17)  ))   ,$DW55,  "")</f>
        <v/>
      </c>
      <c r="BL55" s="106" t="str">
        <f aca="false">IF(    OR(   AND($C55=10000000,    $A$17&lt;=BL$19,      ($A$17+$DI$17)&gt;BL$19    ),   AND($C55&lt;&gt;10000000,  BL$19&gt;=$DX55,    BL$19&lt;=($DY55+$DI$17)  ))   ,$DW55,  "")</f>
        <v/>
      </c>
      <c r="BM55" s="106" t="str">
        <f aca="false">IF(    OR(   AND($C55=10000000,    $A$17&lt;=BM$19,      ($A$17+$DI$17)&gt;BM$19    ),   AND($C55&lt;&gt;10000000,  BM$19&gt;=$DX55,    BM$19&lt;=($DY55+$DI$17)  ))   ,$DW55,  "")</f>
        <v/>
      </c>
      <c r="BN55" s="106" t="str">
        <f aca="false">IF(    OR(   AND($C55=10000000,    $A$17&lt;=BN$19,      ($A$17+$DI$17)&gt;BN$19    ),   AND($C55&lt;&gt;10000000,  BN$19&gt;=$DX55,    BN$19&lt;=($DY55+$DI$17)  ))   ,$DW55,  "")</f>
        <v/>
      </c>
      <c r="BO55" s="106" t="str">
        <f aca="false">IF(    OR(   AND($C55=10000000,    $A$17&lt;=BO$19,      ($A$17+$DI$17)&gt;BO$19    ),   AND($C55&lt;&gt;10000000,  BO$19&gt;=$DX55,    BO$19&lt;=($DY55+$DI$17)  ))   ,$DW55,  "")</f>
        <v/>
      </c>
      <c r="BP55" s="106" t="str">
        <f aca="false">IF(    OR(   AND($C55=10000000,    $A$17&lt;=BP$19,      ($A$17+$DI$17)&gt;BP$19    ),   AND($C55&lt;&gt;10000000,  BP$19&gt;=$DX55,    BP$19&lt;=($DY55+$DI$17)  ))   ,$DW55,  "")</f>
        <v/>
      </c>
      <c r="BQ55" s="106" t="str">
        <f aca="false">IF(    OR(   AND($C55=10000000,    $A$17&lt;=BQ$19,      ($A$17+$DI$17)&gt;BQ$19    ),   AND($C55&lt;&gt;10000000,  BQ$19&gt;=$DX55,    BQ$19&lt;=($DY55+$DI$17)  ))   ,$DW55,  "")</f>
        <v/>
      </c>
      <c r="BR55" s="106" t="str">
        <f aca="false">IF(    OR(   AND($C55=10000000,    $A$17&lt;=BR$19,      ($A$17+$DI$17)&gt;BR$19    ),   AND($C55&lt;&gt;10000000,  BR$19&gt;=$DX55,    BR$19&lt;=($DY55+$DI$17)  ))   ,$DW55,  "")</f>
        <v/>
      </c>
      <c r="BS55" s="106" t="str">
        <f aca="false">IF(    OR(   AND($C55=10000000,    $A$17&lt;=BS$19,      ($A$17+$DI$17)&gt;BS$19    ),   AND($C55&lt;&gt;10000000,  BS$19&gt;=$DX55,    BS$19&lt;=($DY55+$DI$17)  ))   ,$DW55,  "")</f>
        <v/>
      </c>
      <c r="BT55" s="106" t="str">
        <f aca="false">IF(    OR(   AND($C55=10000000,    $A$17&lt;=BT$19,      ($A$17+$DI$17)&gt;BT$19    ),   AND($C55&lt;&gt;10000000,  BT$19&gt;=$DX55,    BT$19&lt;=($DY55+$DI$17)  ))   ,$DW55,  "")</f>
        <v/>
      </c>
      <c r="BU55" s="106" t="str">
        <f aca="false">IF(    OR(   AND($C55=10000000,    $A$17&lt;=BU$19,      ($A$17+$DI$17)&gt;BU$19    ),   AND($C55&lt;&gt;10000000,  BU$19&gt;=$DX55,    BU$19&lt;=($DY55+$DI$17)  ))   ,$DW55,  "")</f>
        <v/>
      </c>
      <c r="BV55" s="106" t="str">
        <f aca="false">IF(    OR(   AND($C55=10000000,    $A$17&lt;=BV$19,      ($A$17+$DI$17)&gt;BV$19    ),   AND($C55&lt;&gt;10000000,  BV$19&gt;=$DX55,    BV$19&lt;=($DY55+$DI$17)  ))   ,$DW55,  "")</f>
        <v/>
      </c>
      <c r="BW55" s="106" t="str">
        <f aca="false">IF(    OR(   AND($C55=10000000,    $A$17&lt;=BW$19,      ($A$17+$DI$17)&gt;BW$19    ),   AND($C55&lt;&gt;10000000,  BW$19&gt;=$DX55,    BW$19&lt;=($DY55+$DI$17)  ))   ,$DW55,  "")</f>
        <v/>
      </c>
      <c r="BX55" s="106" t="str">
        <f aca="false">IF(    OR(   AND($C55=10000000,    $A$17&lt;=BX$19,      ($A$17+$DI$17)&gt;BX$19    ),   AND($C55&lt;&gt;10000000,  BX$19&gt;=$DX55,    BX$19&lt;=($DY55+$DI$17)  ))   ,$DW55,  "")</f>
        <v/>
      </c>
      <c r="BY55" s="106" t="str">
        <f aca="false">IF(    OR(   AND($C55=10000000,    $A$17&lt;=BY$19,      ($A$17+$DI$17)&gt;BY$19    ),   AND($C55&lt;&gt;10000000,  BY$19&gt;=$DX55,    BY$19&lt;=($DY55+$DI$17)  ))   ,$DW55,  "")</f>
        <v/>
      </c>
      <c r="BZ55" s="106" t="str">
        <f aca="false">IF(    OR(   AND($C55=10000000,    $A$17&lt;=BZ$19,      ($A$17+$DI$17)&gt;BZ$19    ),   AND($C55&lt;&gt;10000000,  BZ$19&gt;=$DX55,    BZ$19&lt;=($DY55+$DI$17)  ))   ,$DW55,  "")</f>
        <v/>
      </c>
      <c r="CA55" s="106" t="str">
        <f aca="false">IF(    OR(   AND($C55=10000000,    $A$17&lt;=CA$19,      ($A$17+$DI$17)&gt;CA$19    ),   AND($C55&lt;&gt;10000000,  CA$19&gt;=$DX55,    CA$19&lt;=($DY55+$DI$17)  ))   ,$DW55,  "")</f>
        <v/>
      </c>
      <c r="CB55" s="106" t="str">
        <f aca="false">IF(    OR(   AND($C55=10000000,    $A$17&lt;=CB$19,      ($A$17+$DI$17)&gt;CB$19    ),   AND($C55&lt;&gt;10000000,  CB$19&gt;=$DX55,    CB$19&lt;=($DY55+$DI$17)  ))   ,$DW55,  "")</f>
        <v/>
      </c>
      <c r="CC55" s="106" t="str">
        <f aca="false">IF(    OR(   AND($C55=10000000,    $A$17&lt;=CC$19,      ($A$17+$DI$17)&gt;CC$19    ),   AND($C55&lt;&gt;10000000,  CC$19&gt;=$DX55,    CC$19&lt;=($DY55+$DI$17)  ))   ,$DW55,  "")</f>
        <v/>
      </c>
      <c r="CD55" s="106" t="str">
        <f aca="false">IF(    OR(   AND($C55=10000000,    $A$17&lt;=CD$19,      ($A$17+$DI$17)&gt;CD$19    ),   AND($C55&lt;&gt;10000000,  CD$19&gt;=$DX55,    CD$19&lt;=($DY55+$DI$17)  ))   ,$DW55,  "")</f>
        <v/>
      </c>
      <c r="CE55" s="106" t="str">
        <f aca="false">IF(    OR(   AND($C55=10000000,    $A$17&lt;=CE$19,      ($A$17+$DI$17)&gt;CE$19    ),   AND($C55&lt;&gt;10000000,  CE$19&gt;=$DX55,    CE$19&lt;=($DY55+$DI$17)  ))   ,$DW55,  "")</f>
        <v/>
      </c>
      <c r="CF55" s="106" t="str">
        <f aca="false">IF(    OR(   AND($C55=10000000,    $A$17&lt;=CF$19,      ($A$17+$DI$17)&gt;CF$19    ),   AND($C55&lt;&gt;10000000,  CF$19&gt;=$DX55,    CF$19&lt;=($DY55+$DI$17)  ))   ,$DW55,  "")</f>
        <v/>
      </c>
      <c r="CG55" s="106" t="str">
        <f aca="false">IF(    OR(   AND($C55=10000000,    $A$17&lt;=CG$19,      ($A$17+$DI$17)&gt;CG$19    ),   AND($C55&lt;&gt;10000000,  CG$19&gt;=$DX55,    CG$19&lt;=($DY55+$DI$17)  ))   ,$DW55,  "")</f>
        <v/>
      </c>
      <c r="CH55" s="106" t="str">
        <f aca="false">IF(    OR(   AND($C55=10000000,    $A$17&lt;=CH$19,      ($A$17+$DI$17)&gt;CH$19    ),   AND($C55&lt;&gt;10000000,  CH$19&gt;=$DX55,    CH$19&lt;=($DY55+$DI$17)  ))   ,$DW55,  "")</f>
        <v/>
      </c>
      <c r="CI55" s="106" t="str">
        <f aca="false">IF(    OR(   AND($C55=10000000,    $A$17&lt;=CI$19,      ($A$17+$DI$17)&gt;CI$19    ),   AND($C55&lt;&gt;10000000,  CI$19&gt;=$DX55,    CI$19&lt;=($DY55+$DI$17)  ))   ,$DW55,  "")</f>
        <v/>
      </c>
      <c r="CJ55" s="106" t="str">
        <f aca="false">IF(    OR(   AND($C55=10000000,    $A$17&lt;=CJ$19,      ($A$17+$DI$17)&gt;CJ$19    ),   AND($C55&lt;&gt;10000000,  CJ$19&gt;=$DX55,    CJ$19&lt;=($DY55+$DI$17)  ))   ,$DW55,  "")</f>
        <v/>
      </c>
      <c r="CK55" s="106" t="str">
        <f aca="false">IF(    OR(   AND($C55=10000000,    $A$17&lt;=CK$19,      ($A$17+$DI$17)&gt;CK$19    ),   AND($C55&lt;&gt;10000000,  CK$19&gt;=$DX55,    CK$19&lt;=($DY55+$DI$17)  ))   ,$DW55,  "")</f>
        <v/>
      </c>
      <c r="CL55" s="106" t="str">
        <f aca="false">IF(    OR(   AND($C55=10000000,    $A$17&lt;=CL$19,      ($A$17+$DI$17)&gt;CL$19    ),   AND($C55&lt;&gt;10000000,  CL$19&gt;=$DX55,    CL$19&lt;=($DY55+$DI$17)  ))   ,$DW55,  "")</f>
        <v/>
      </c>
      <c r="CM55" s="106" t="str">
        <f aca="false">IF(    OR(   AND($C55=10000000,    $A$17&lt;=CM$19,      ($A$17+$DI$17)&gt;CM$19    ),   AND($C55&lt;&gt;10000000,  CM$19&gt;=$DX55,    CM$19&lt;=($DY55+$DI$17)  ))   ,$DW55,  "")</f>
        <v/>
      </c>
      <c r="CN55" s="106" t="str">
        <f aca="false">IF(    OR(   AND($C55=10000000,    $A$17&lt;=CN$19,      ($A$17+$DI$17)&gt;CN$19    ),   AND($C55&lt;&gt;10000000,  CN$19&gt;=$DX55,    CN$19&lt;=($DY55+$DI$17)  ))   ,$DW55,  "")</f>
        <v/>
      </c>
      <c r="CO55" s="106" t="str">
        <f aca="false">IF(    OR(   AND($C55=10000000,    $A$17&lt;=CO$19,      ($A$17+$DI$17)&gt;CO$19    ),   AND($C55&lt;&gt;10000000,  CO$19&gt;=$DX55,    CO$19&lt;=($DY55+$DI$17)  ))   ,$DW55,  "")</f>
        <v/>
      </c>
      <c r="CP55" s="106" t="str">
        <f aca="false">IF(    OR(   AND($C55=10000000,    $A$17&lt;=CP$19,      ($A$17+$DI$17)&gt;CP$19    ),   AND($C55&lt;&gt;10000000,  CP$19&gt;=$DX55,    CP$19&lt;=($DY55+$DI$17)  ))   ,$DW55,  "")</f>
        <v/>
      </c>
      <c r="CQ55" s="106" t="str">
        <f aca="false">IF(    OR(   AND($C55=10000000,    $A$17&lt;=CQ$19,      ($A$17+$DI$17)&gt;CQ$19    ),   AND($C55&lt;&gt;10000000,  CQ$19&gt;=$DX55,    CQ$19&lt;=($DY55+$DI$17)  ))   ,$DW55,  "")</f>
        <v/>
      </c>
      <c r="CR55" s="106" t="str">
        <f aca="false">IF(    OR(   AND($C55=10000000,    $A$17&lt;=CR$19,      ($A$17+$DI$17)&gt;CR$19    ),   AND($C55&lt;&gt;10000000,  CR$19&gt;=$DX55,    CR$19&lt;=($DY55+$DI$17)  ))   ,$DW55,  "")</f>
        <v/>
      </c>
      <c r="CS55" s="106" t="str">
        <f aca="false">IF(    OR(   AND($C55=10000000,    $A$17&lt;=CS$19,      ($A$17+$DI$17)&gt;CS$19    ),   AND($C55&lt;&gt;10000000,  CS$19&gt;=$DX55,    CS$19&lt;=($DY55+$DI$17)  ))   ,$DW55,  "")</f>
        <v/>
      </c>
      <c r="CT55" s="106" t="str">
        <f aca="false">IF(    OR(   AND($C55=10000000,    $A$17&lt;=CT$19,      ($A$17+$DI$17)&gt;CT$19    ),   AND($C55&lt;&gt;10000000,  CT$19&gt;=$DX55,    CT$19&lt;=($DY55+$DI$17)  ))   ,$DW55,  "")</f>
        <v/>
      </c>
      <c r="CU55" s="106" t="str">
        <f aca="false">IF(    OR(   AND($C55=10000000,    $A$17&lt;=CU$19,      ($A$17+$DI$17)&gt;CU$19    ),   AND($C55&lt;&gt;10000000,  CU$19&gt;=$DX55,    CU$19&lt;=($DY55+$DI$17)  ))   ,$DW55,  "")</f>
        <v/>
      </c>
      <c r="CV55" s="106" t="str">
        <f aca="false">IF(    OR(   AND($C55=10000000,    $A$17&lt;=CV$19,      ($A$17+$DI$17)&gt;CV$19    ),   AND($C55&lt;&gt;10000000,  CV$19&gt;=$DX55,    CV$19&lt;=($DY55+$DI$17)  ))   ,$DW55,  "")</f>
        <v/>
      </c>
      <c r="CW55" s="106" t="str">
        <f aca="false">IF(    OR(   AND($C55=10000000,    $A$17&lt;=CW$19,      ($A$17+$DI$17)&gt;CW$19    ),   AND($C55&lt;&gt;10000000,  CW$19&gt;=$DX55,    CW$19&lt;=($DY55+$DI$17)  ))   ,$DW55,  "")</f>
        <v/>
      </c>
      <c r="CX55" s="106" t="str">
        <f aca="false">IF(    OR(   AND($C55=10000000,    $A$17&lt;=CX$19,      ($A$17+$DI$17)&gt;CX$19    ),   AND($C55&lt;&gt;10000000,  CX$19&gt;=$DX55,    CX$19&lt;=($DY55+$DI$17)  ))   ,$DW55,  "")</f>
        <v/>
      </c>
      <c r="CY55" s="106" t="str">
        <f aca="false">IF(    OR(   AND($C55=10000000,    $A$17&lt;=CY$19,      ($A$17+$DI$17)&gt;CY$19    ),   AND($C55&lt;&gt;10000000,  CY$19&gt;=$DX55,    CY$19&lt;=($DY55+$DI$17)  ))   ,$DW55,  "")</f>
        <v/>
      </c>
      <c r="CZ55" s="106" t="str">
        <f aca="false">IF(    OR(   AND($C55=10000000,    $A$17&lt;=CZ$19,      ($A$17+$DI$17)&gt;CZ$19    ),   AND($C55&lt;&gt;10000000,  CZ$19&gt;=$DX55,    CZ$19&lt;=($DY55+$DI$17)  ))   ,$DW55,  "")</f>
        <v/>
      </c>
      <c r="DA55" s="106" t="str">
        <f aca="false">IF(    OR(   AND($C55=10000000,    $A$17&lt;=DA$19,      ($A$17+$DI$17)&gt;DA$19    ),   AND($C55&lt;&gt;10000000,  DA$19&gt;=$DX55,    DA$19&lt;=($DY55+$DI$17)  ))   ,$DW55,  "")</f>
        <v/>
      </c>
      <c r="DB55" s="106" t="str">
        <f aca="false">IF(    OR(   AND($C55=10000000,    $A$17&lt;=DB$19,      ($A$17+$DI$17)&gt;DB$19    ),   AND($C55&lt;&gt;10000000,  DB$19&gt;=$DX55,    DB$19&lt;=($DY55+$DI$17)  ))   ,$DW55,  "")</f>
        <v/>
      </c>
      <c r="DC55" s="106" t="str">
        <f aca="false">IF(    OR(   AND($C55=10000000,    $A$17&lt;=DC$19,      ($A$17+$DI$17)&gt;DC$19    ),   AND($C55&lt;&gt;10000000,  DC$19&gt;=$DX55,    DC$19&lt;=($DY55+$DI$17)  ))   ,$DW55,  "")</f>
        <v/>
      </c>
      <c r="DD55" s="106" t="str">
        <f aca="false">IF(    OR(   AND($C55=10000000,    $A$17&lt;=DD$19,      ($A$17+$DI$17)&gt;DD$19    ),   AND($C55&lt;&gt;10000000,  DD$19&gt;=$DX55,    DD$19&lt;=($DY55+$DI$17)  ))   ,$DW55,  "")</f>
        <v/>
      </c>
      <c r="DE55" s="106" t="str">
        <f aca="false">IF(    OR(   AND($C55=10000000,    $A$17&lt;=DE$19,      ($A$17+$DI$17)&gt;DE$19    ),   AND($C55&lt;&gt;10000000,  DE$19&gt;=$DX55,    DE$19&lt;=($DY55+$DI$17)  ))   ,$DW55,  "")</f>
        <v/>
      </c>
      <c r="DF55" s="106" t="str">
        <f aca="false">IF(    OR(   AND($C55=10000000,    $A$17&lt;=DF$19,      ($A$17+$DI$17)&gt;DF$19    ),   AND($C55&lt;&gt;10000000,  DF$19&gt;=$DX55,    DF$19&lt;=($DY55+$DI$17)  ))   ,$DW55,  "")</f>
        <v/>
      </c>
      <c r="DG55" s="106" t="str">
        <f aca="false">IF(    OR(   AND($C55=10000000,    $A$17&lt;=DG$19,      ($A$17+$DI$17)&gt;DG$19    ),   AND($C55&lt;&gt;10000000,  DG$19&gt;=$DX55,    DG$19&lt;=($DY55+$DI$17)  ))   ,$DW55,  "")</f>
        <v/>
      </c>
      <c r="DH55" s="106" t="str">
        <f aca="false">IF(    OR(   AND($C55=10000000,    $A$17&lt;=DH$19,      ($A$17+$DI$17)&gt;DH$19    ),   AND($C55&lt;&gt;10000000,  DH$19&gt;=$DX55,    DH$19&lt;=($DY55+$DI$17)  ))   ,$DW55,  "")</f>
        <v/>
      </c>
      <c r="DI55" s="106" t="str">
        <f aca="false">IF(    OR(   AND($C55=10000000,    $A$17&lt;=DI$19,      ($A$17+$DI$17)&gt;DI$19    ),   AND($C55&lt;&gt;10000000,  DI$19&gt;=$DX55,    DI$19&lt;=($DY55+$DI$17)  ))   ,$DW55,  "")</f>
        <v/>
      </c>
      <c r="DJ55" s="74" t="str">
        <f aca="false">IF(BC55="","",IF(ISERROR(FIND(CHAR(10),BC55,1)),BC55,LEFT(BC55,FIND(CHAR(10),BC55,1))))</f>
        <v/>
      </c>
      <c r="DK55" s="61" t="str">
        <f aca="false">IF(BC55="","",IFERROR(RIGHT(BC55,LEN(BC55)-FIND("@@@",SUBSTITUTE(BC55,CHAR(10),"@@@",LEN(BC55)-LEN(SUBSTITUTE(BC55,CHAR(10),""))),1)),BC55))</f>
        <v/>
      </c>
      <c r="DL55" s="61" t="str">
        <f aca="false">IF(BD55="","",IFERROR(RIGHT(BD55,LEN(BD55)-FIND("@@@",SUBSTITUTE(BD55,CHAR(10),"@@@",LEN(BD55)-LEN(SUBSTITUTE(BD55,CHAR(10),""))),1)),BD55))</f>
        <v/>
      </c>
      <c r="DM55" s="107" t="str">
        <f aca="false">IFERROR(DATE(("20"&amp;MID(DJ55,7,2))*1,MID(DJ55,4,2)*1,MID(DJ55,1,2)*1),"none")</f>
        <v>none</v>
      </c>
      <c r="DN55" s="107" t="str">
        <f aca="false">IFERROR(DATE(("20"&amp;MID(DK55,7,2))*1,MID(DK55,4,2)*1,MID(DK55,1,2)*1),"none")</f>
        <v>none</v>
      </c>
      <c r="DO55" s="107" t="n">
        <f aca="false">IF(DM55&lt;&gt;"none",DM55,DATE(1900,1,1))</f>
        <v>2</v>
      </c>
      <c r="DP55" s="107" t="n">
        <f aca="false">IF(DN55&lt;&gt;"none",DN55,DO55)</f>
        <v>2</v>
      </c>
      <c r="DQ55" s="108" t="n">
        <f aca="false">_xlfn.DAYS($A$17,DO55)</f>
        <v>46319</v>
      </c>
      <c r="DR55" s="108" t="n">
        <f aca="false">_xlfn.DAYS($A$17, DP55)</f>
        <v>46319</v>
      </c>
      <c r="DS55" s="60" t="n">
        <f aca="false">IF(DP55&lt;&gt;"",INT(DR55/7),0)</f>
        <v>6617</v>
      </c>
      <c r="DT55" s="108" t="n">
        <f aca="false">IF(N55="Overdue",_xlfn.DAYS($A$17,AM55),0)</f>
        <v>0</v>
      </c>
      <c r="DU55" s="108" t="n">
        <f aca="false">IF(AI55="Project",_xlfn.DAYS(AM55,$A$17),0)</f>
        <v>0</v>
      </c>
      <c r="DV55" s="60" t="str">
        <f aca="false">IFERROR(INDEX(Static!$D$5:$E$13,MATCH(AI55,Static!$D$5:$D$13,0),2),"")</f>
        <v/>
      </c>
      <c r="DW55" s="60" t="str">
        <f aca="false">IF(C55=10000000,"Red",IF(OR(C55=11000000,C55=12000000),"Black",IF(C55=11100000,"Dark",IF(AND(C55=12100000,N55="Completed"),"Green",IF(AND(C55=12100000,N55="Overdue"),"Red",IF(C55=12100000,"Dark",IF(AND(C55=12110000,N55="Overdue"),"LightRed",IF(AND(C55=12110000,N55="Completed"),"LightGreen",IF(OR(C55=11110000,C55=12110000),"Light",IF(AND(C55=12111000,N55="Overdue"),"SoftRed",IF(AND(C55=12111000,N55="Completed"),"SoftGreen",IF(OR(C55=11111000,C55=12111000),"Grey",""))))))))))))</f>
        <v/>
      </c>
      <c r="DX55" s="58" t="n">
        <f aca="false">IF(AL55&lt;&gt;"",AL55,$BJ$19)</f>
        <v>45658</v>
      </c>
      <c r="DY55" s="58" t="n">
        <f aca="false">IF(AM55&lt;&gt;"",AM55,$DI$19)</f>
        <v>46387</v>
      </c>
      <c r="DZ55" s="62" t="s">
        <v>364</v>
      </c>
    </row>
  </sheetData>
  <autoFilter ref="A20:DZ55"/>
  <conditionalFormatting sqref="BJ18:DI55">
    <cfRule type="cellIs" priority="2" operator="equal" aboveAverage="0" equalAverage="0" bottom="0" percent="0" rank="0" text="" dxfId="20">
      <formula>"Black"</formula>
    </cfRule>
    <cfRule type="cellIs" priority="3" operator="equal" aboveAverage="0" equalAverage="0" bottom="0" percent="0" rank="0" text="" dxfId="21">
      <formula>"Dark"</formula>
    </cfRule>
    <cfRule type="cellIs" priority="4" operator="equal" aboveAverage="0" equalAverage="0" bottom="0" percent="0" rank="0" text="" dxfId="22">
      <formula>"Light"</formula>
    </cfRule>
    <cfRule type="cellIs" priority="5" operator="equal" aboveAverage="0" equalAverage="0" bottom="0" percent="0" rank="0" text="" dxfId="23">
      <formula>"Red"</formula>
    </cfRule>
    <cfRule type="cellIs" priority="6" operator="equal" aboveAverage="0" equalAverage="0" bottom="0" percent="0" rank="0" text="" dxfId="24">
      <formula>"Green"</formula>
    </cfRule>
    <cfRule type="cellIs" priority="7" operator="equal" aboveAverage="0" equalAverage="0" bottom="0" percent="0" rank="0" text="" dxfId="25">
      <formula>"LightRed"</formula>
    </cfRule>
    <cfRule type="cellIs" priority="8" operator="equal" aboveAverage="0" equalAverage="0" bottom="0" percent="0" rank="0" text="" dxfId="26">
      <formula>"LightGReen"</formula>
    </cfRule>
    <cfRule type="cellIs" priority="9" operator="equal" aboveAverage="0" equalAverage="0" bottom="0" percent="0" rank="0" text="" dxfId="27">
      <formula>"Grey"</formula>
    </cfRule>
    <cfRule type="cellIs" priority="10" operator="equal" aboveAverage="0" equalAverage="0" bottom="0" percent="0" rank="0" text="" dxfId="28">
      <formula>"SoftGreen"</formula>
    </cfRule>
    <cfRule type="cellIs" priority="11" operator="equal" aboveAverage="0" equalAverage="0" bottom="0" percent="0" rank="0" text="" dxfId="29">
      <formula>"SoftRed"</formula>
    </cfRule>
  </conditionalFormatting>
  <conditionalFormatting sqref="BF21">
    <cfRule type="colorScale" priority="12">
      <colorScale>
        <cfvo type="num" val="0"/>
        <cfvo type="num" val="1"/>
        <color rgb="FFFF0000"/>
        <color rgb="FF00A933"/>
      </colorScale>
    </cfRule>
  </conditionalFormatting>
  <conditionalFormatting sqref="BF22">
    <cfRule type="colorScale" priority="13">
      <colorScale>
        <cfvo type="num" val="0"/>
        <cfvo type="num" val="1"/>
        <color rgb="FFFF0000"/>
        <color rgb="FF00A933"/>
      </colorScale>
    </cfRule>
  </conditionalFormatting>
  <conditionalFormatting sqref="BF23">
    <cfRule type="colorScale" priority="14">
      <colorScale>
        <cfvo type="num" val="0"/>
        <cfvo type="num" val="1"/>
        <color rgb="FFFF0000"/>
        <color rgb="FF00A933"/>
      </colorScale>
    </cfRule>
  </conditionalFormatting>
  <conditionalFormatting sqref="BF24">
    <cfRule type="colorScale" priority="15">
      <colorScale>
        <cfvo type="num" val="0"/>
        <cfvo type="num" val="1"/>
        <color rgb="FFFF0000"/>
        <color rgb="FF00A933"/>
      </colorScale>
    </cfRule>
  </conditionalFormatting>
  <conditionalFormatting sqref="BF25">
    <cfRule type="colorScale" priority="16">
      <colorScale>
        <cfvo type="num" val="0"/>
        <cfvo type="num" val="1"/>
        <color rgb="FFFF0000"/>
        <color rgb="FF00A933"/>
      </colorScale>
    </cfRule>
  </conditionalFormatting>
  <conditionalFormatting sqref="BF26">
    <cfRule type="colorScale" priority="17">
      <colorScale>
        <cfvo type="num" val="0"/>
        <cfvo type="num" val="1"/>
        <color rgb="FFFF0000"/>
        <color rgb="FF00A933"/>
      </colorScale>
    </cfRule>
  </conditionalFormatting>
  <conditionalFormatting sqref="BF27">
    <cfRule type="colorScale" priority="18">
      <colorScale>
        <cfvo type="num" val="0"/>
        <cfvo type="num" val="1"/>
        <color rgb="FFFF0000"/>
        <color rgb="FF00A933"/>
      </colorScale>
    </cfRule>
  </conditionalFormatting>
  <conditionalFormatting sqref="BF28">
    <cfRule type="colorScale" priority="19">
      <colorScale>
        <cfvo type="num" val="0"/>
        <cfvo type="num" val="1"/>
        <color rgb="FFFF0000"/>
        <color rgb="FF00A933"/>
      </colorScale>
    </cfRule>
  </conditionalFormatting>
  <conditionalFormatting sqref="BF29">
    <cfRule type="colorScale" priority="20">
      <colorScale>
        <cfvo type="num" val="0"/>
        <cfvo type="num" val="1"/>
        <color rgb="FFFF0000"/>
        <color rgb="FF00A933"/>
      </colorScale>
    </cfRule>
  </conditionalFormatting>
  <conditionalFormatting sqref="BF30">
    <cfRule type="colorScale" priority="21">
      <colorScale>
        <cfvo type="num" val="0"/>
        <cfvo type="num" val="1"/>
        <color rgb="FFFF0000"/>
        <color rgb="FF00A933"/>
      </colorScale>
    </cfRule>
  </conditionalFormatting>
  <conditionalFormatting sqref="BF31">
    <cfRule type="colorScale" priority="22">
      <colorScale>
        <cfvo type="num" val="0"/>
        <cfvo type="num" val="1"/>
        <color rgb="FFFF0000"/>
        <color rgb="FF00A933"/>
      </colorScale>
    </cfRule>
  </conditionalFormatting>
  <conditionalFormatting sqref="BF32">
    <cfRule type="colorScale" priority="23">
      <colorScale>
        <cfvo type="num" val="0"/>
        <cfvo type="num" val="1"/>
        <color rgb="FFFF0000"/>
        <color rgb="FF00A933"/>
      </colorScale>
    </cfRule>
  </conditionalFormatting>
  <conditionalFormatting sqref="BF33">
    <cfRule type="colorScale" priority="24">
      <colorScale>
        <cfvo type="num" val="0"/>
        <cfvo type="num" val="1"/>
        <color rgb="FFFF0000"/>
        <color rgb="FF00A933"/>
      </colorScale>
    </cfRule>
  </conditionalFormatting>
  <conditionalFormatting sqref="BF34">
    <cfRule type="colorScale" priority="25">
      <colorScale>
        <cfvo type="num" val="0"/>
        <cfvo type="num" val="1"/>
        <color rgb="FFFF0000"/>
        <color rgb="FF00A933"/>
      </colorScale>
    </cfRule>
  </conditionalFormatting>
  <conditionalFormatting sqref="BF35">
    <cfRule type="colorScale" priority="26">
      <colorScale>
        <cfvo type="num" val="0"/>
        <cfvo type="num" val="1"/>
        <color rgb="FFFF0000"/>
        <color rgb="FF00A933"/>
      </colorScale>
    </cfRule>
  </conditionalFormatting>
  <conditionalFormatting sqref="BF36">
    <cfRule type="colorScale" priority="27">
      <colorScale>
        <cfvo type="num" val="0"/>
        <cfvo type="num" val="1"/>
        <color rgb="FFFF0000"/>
        <color rgb="FF00A933"/>
      </colorScale>
    </cfRule>
  </conditionalFormatting>
  <conditionalFormatting sqref="BF37">
    <cfRule type="colorScale" priority="28">
      <colorScale>
        <cfvo type="num" val="0"/>
        <cfvo type="num" val="1"/>
        <color rgb="FFFF0000"/>
        <color rgb="FF00A933"/>
      </colorScale>
    </cfRule>
  </conditionalFormatting>
  <conditionalFormatting sqref="BF38">
    <cfRule type="colorScale" priority="29">
      <colorScale>
        <cfvo type="num" val="0"/>
        <cfvo type="num" val="1"/>
        <color rgb="FFFF0000"/>
        <color rgb="FF00A933"/>
      </colorScale>
    </cfRule>
  </conditionalFormatting>
  <conditionalFormatting sqref="BF39">
    <cfRule type="colorScale" priority="30">
      <colorScale>
        <cfvo type="num" val="0"/>
        <cfvo type="num" val="1"/>
        <color rgb="FFFF0000"/>
        <color rgb="FF00A933"/>
      </colorScale>
    </cfRule>
  </conditionalFormatting>
  <conditionalFormatting sqref="BF40">
    <cfRule type="colorScale" priority="31">
      <colorScale>
        <cfvo type="num" val="0"/>
        <cfvo type="num" val="1"/>
        <color rgb="FFFF0000"/>
        <color rgb="FF00A933"/>
      </colorScale>
    </cfRule>
  </conditionalFormatting>
  <conditionalFormatting sqref="BF41">
    <cfRule type="colorScale" priority="32">
      <colorScale>
        <cfvo type="num" val="0"/>
        <cfvo type="num" val="1"/>
        <color rgb="FFFF0000"/>
        <color rgb="FF00A933"/>
      </colorScale>
    </cfRule>
  </conditionalFormatting>
  <conditionalFormatting sqref="BF42">
    <cfRule type="colorScale" priority="33">
      <colorScale>
        <cfvo type="num" val="0"/>
        <cfvo type="num" val="1"/>
        <color rgb="FFFF0000"/>
        <color rgb="FF00A933"/>
      </colorScale>
    </cfRule>
  </conditionalFormatting>
  <conditionalFormatting sqref="BF43">
    <cfRule type="colorScale" priority="34">
      <colorScale>
        <cfvo type="num" val="0"/>
        <cfvo type="num" val="1"/>
        <color rgb="FFFF0000"/>
        <color rgb="FF00A933"/>
      </colorScale>
    </cfRule>
  </conditionalFormatting>
  <conditionalFormatting sqref="BF44">
    <cfRule type="colorScale" priority="35">
      <colorScale>
        <cfvo type="num" val="0"/>
        <cfvo type="num" val="1"/>
        <color rgb="FFFF0000"/>
        <color rgb="FF00A933"/>
      </colorScale>
    </cfRule>
  </conditionalFormatting>
  <conditionalFormatting sqref="BF45">
    <cfRule type="colorScale" priority="36">
      <colorScale>
        <cfvo type="num" val="0"/>
        <cfvo type="num" val="1"/>
        <color rgb="FFFF0000"/>
        <color rgb="FF00A933"/>
      </colorScale>
    </cfRule>
  </conditionalFormatting>
  <conditionalFormatting sqref="BF46">
    <cfRule type="colorScale" priority="37">
      <colorScale>
        <cfvo type="num" val="0"/>
        <cfvo type="num" val="1"/>
        <color rgb="FFFF0000"/>
        <color rgb="FF00A933"/>
      </colorScale>
    </cfRule>
  </conditionalFormatting>
  <conditionalFormatting sqref="BF47">
    <cfRule type="colorScale" priority="38">
      <colorScale>
        <cfvo type="num" val="0"/>
        <cfvo type="num" val="1"/>
        <color rgb="FFFF0000"/>
        <color rgb="FF00A933"/>
      </colorScale>
    </cfRule>
  </conditionalFormatting>
  <conditionalFormatting sqref="BF48">
    <cfRule type="colorScale" priority="39">
      <colorScale>
        <cfvo type="num" val="0"/>
        <cfvo type="num" val="1"/>
        <color rgb="FFFF0000"/>
        <color rgb="FF00A933"/>
      </colorScale>
    </cfRule>
  </conditionalFormatting>
  <conditionalFormatting sqref="BF49">
    <cfRule type="colorScale" priority="40">
      <colorScale>
        <cfvo type="num" val="0"/>
        <cfvo type="num" val="1"/>
        <color rgb="FFFF0000"/>
        <color rgb="FF00A933"/>
      </colorScale>
    </cfRule>
  </conditionalFormatting>
  <conditionalFormatting sqref="BF50">
    <cfRule type="colorScale" priority="41">
      <colorScale>
        <cfvo type="num" val="0"/>
        <cfvo type="num" val="1"/>
        <color rgb="FFFF0000"/>
        <color rgb="FF00A933"/>
      </colorScale>
    </cfRule>
  </conditionalFormatting>
  <conditionalFormatting sqref="BF51">
    <cfRule type="colorScale" priority="42">
      <colorScale>
        <cfvo type="num" val="0"/>
        <cfvo type="num" val="1"/>
        <color rgb="FFFF0000"/>
        <color rgb="FF00A933"/>
      </colorScale>
    </cfRule>
  </conditionalFormatting>
  <conditionalFormatting sqref="BF52">
    <cfRule type="colorScale" priority="43">
      <colorScale>
        <cfvo type="num" val="0"/>
        <cfvo type="num" val="1"/>
        <color rgb="FFFF0000"/>
        <color rgb="FF00A933"/>
      </colorScale>
    </cfRule>
  </conditionalFormatting>
  <conditionalFormatting sqref="BF53">
    <cfRule type="colorScale" priority="44">
      <colorScale>
        <cfvo type="num" val="0"/>
        <cfvo type="num" val="1"/>
        <color rgb="FFFF0000"/>
        <color rgb="FF00A933"/>
      </colorScale>
    </cfRule>
  </conditionalFormatting>
  <conditionalFormatting sqref="BF54">
    <cfRule type="colorScale" priority="45">
      <colorScale>
        <cfvo type="num" val="0"/>
        <cfvo type="num" val="1"/>
        <color rgb="FFFF0000"/>
        <color rgb="FF00A933"/>
      </colorScale>
    </cfRule>
  </conditionalFormatting>
  <conditionalFormatting sqref="BF55">
    <cfRule type="colorScale" priority="46">
      <colorScale>
        <cfvo type="num" val="0"/>
        <cfvo type="num" val="1"/>
        <color rgb="FFFF0000"/>
        <color rgb="FF00A933"/>
      </colorScale>
    </cfRule>
  </conditionalFormatting>
  <dataValidations count="5">
    <dataValidation allowBlank="true" errorStyle="stop" operator="equal" showDropDown="false" showErrorMessage="true" showInputMessage="false" sqref="DV21:DY55" type="none">
      <formula1>Static!$E$5:$E$5</formula1>
      <formula2>0</formula2>
    </dataValidation>
    <dataValidation allowBlank="true" errorStyle="stop" operator="equal" showDropDown="false" showErrorMessage="true" showInputMessage="false" sqref="AI21:AI55" type="list">
      <formula1>Static!$D$5:$D$14</formula1>
      <formula2>0</formula2>
    </dataValidation>
    <dataValidation allowBlank="true" errorStyle="stop" operator="equal" showDropDown="false" showErrorMessage="true" showInputMessage="false" sqref="AG22:AG55" type="list">
      <formula1>Static!$AI$5:$AI$7</formula1>
      <formula2>0</formula2>
    </dataValidation>
    <dataValidation allowBlank="true" errorStyle="stop" operator="equal" showDropDown="false" showErrorMessage="true" showInputMessage="false" sqref="AU21:AU55" type="list">
      <formula1>Static!$Q$5:$V$5</formula1>
      <formula2>0</formula2>
    </dataValidation>
    <dataValidation allowBlank="true" errorStyle="stop" operator="equal" showDropDown="false" showErrorMessage="true" showInputMessage="false" sqref="AV21:AV55" type="list">
      <formula1>INDIRECT(AT21)</formula1>
      <formula2>0</formula2>
    </dataValidation>
  </dataValidation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AMJ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7" ySplit="4" topLeftCell="K5" activePane="bottomRight" state="frozen"/>
      <selection pane="topLeft" activeCell="A1" activeCellId="0" sqref="A1"/>
      <selection pane="topRight" activeCell="K1" activeCellId="0" sqref="K1"/>
      <selection pane="bottomLeft" activeCell="A5" activeCellId="0" sqref="A5"/>
      <selection pane="bottomRight" activeCell="V7" activeCellId="0" sqref="V7"/>
    </sheetView>
  </sheetViews>
  <sheetFormatPr defaultColWidth="16.1484375" defaultRowHeight="12.8" zeroHeight="false" outlineLevelRow="1" outlineLevelCol="1"/>
  <cols>
    <col collapsed="false" customWidth="true" hidden="false" outlineLevel="0" max="1" min="1" style="3" width="1.8"/>
    <col collapsed="false" customWidth="true" hidden="false" outlineLevel="1" max="2" min="2" style="3" width="4.17"/>
    <col collapsed="false" customWidth="true" hidden="false" outlineLevel="1" max="3" min="3" style="3" width="11.11"/>
    <col collapsed="false" customWidth="true" hidden="false" outlineLevel="1" max="4" min="4" style="3" width="8.18"/>
    <col collapsed="false" customWidth="true" hidden="false" outlineLevel="0" max="5" min="5" style="29" width="8.18"/>
    <col collapsed="false" customWidth="true" hidden="false" outlineLevel="0" max="6" min="6" style="29" width="7.71"/>
    <col collapsed="false" customWidth="true" hidden="false" outlineLevel="0" max="7" min="7" style="29" width="8.48"/>
    <col collapsed="false" customWidth="true" hidden="false" outlineLevel="0" max="8" min="8" style="3" width="25.47"/>
    <col collapsed="false" customWidth="true" hidden="false" outlineLevel="0" max="9" min="9" style="3" width="25.93"/>
    <col collapsed="false" customWidth="true" hidden="false" outlineLevel="0" max="10" min="10" style="3" width="12.78"/>
    <col collapsed="false" customWidth="true" hidden="false" outlineLevel="0" max="11" min="11" style="29" width="5.86"/>
    <col collapsed="false" customWidth="true" hidden="false" outlineLevel="0" max="12" min="12" style="29" width="6.35"/>
    <col collapsed="false" customWidth="true" hidden="false" outlineLevel="0" max="13" min="13" style="29" width="8.64"/>
    <col collapsed="false" customWidth="true" hidden="false" outlineLevel="0" max="19" min="14" style="29" width="4.79"/>
    <col collapsed="false" customWidth="true" hidden="false" outlineLevel="0" max="31" min="20" style="29" width="3.85"/>
    <col collapsed="false" customWidth="true" hidden="false" outlineLevel="0" max="32" min="32" style="3" width="27.62"/>
    <col collapsed="false" customWidth="true" hidden="false" outlineLevel="0" max="33" min="33" style="1" width="2.54"/>
  </cols>
  <sheetData>
    <row r="1" customFormat="false" ht="81.3" hidden="false" customHeight="true" outlineLevel="1" collapsed="false">
      <c r="A1" s="31" t="s">
        <v>749</v>
      </c>
      <c r="B1" s="31" t="s">
        <v>750</v>
      </c>
      <c r="C1" s="31" t="s">
        <v>751</v>
      </c>
      <c r="D1" s="31" t="s">
        <v>752</v>
      </c>
      <c r="E1" s="31" t="s">
        <v>753</v>
      </c>
      <c r="F1" s="31" t="s">
        <v>754</v>
      </c>
      <c r="G1" s="31" t="s">
        <v>755</v>
      </c>
      <c r="H1" s="31" t="s">
        <v>756</v>
      </c>
      <c r="I1" s="34" t="s">
        <v>644</v>
      </c>
      <c r="J1" s="72" t="s">
        <v>757</v>
      </c>
      <c r="K1" s="33" t="s">
        <v>758</v>
      </c>
      <c r="L1" s="83"/>
      <c r="M1" s="83" t="s">
        <v>759</v>
      </c>
      <c r="N1" s="31" t="s">
        <v>760</v>
      </c>
      <c r="O1" s="31" t="s">
        <v>760</v>
      </c>
      <c r="P1" s="31" t="s">
        <v>760</v>
      </c>
      <c r="Q1" s="31" t="s">
        <v>760</v>
      </c>
      <c r="R1" s="31" t="s">
        <v>760</v>
      </c>
      <c r="S1" s="31" t="s">
        <v>761</v>
      </c>
      <c r="T1" s="31" t="s">
        <v>762</v>
      </c>
      <c r="U1" s="31" t="s">
        <v>762</v>
      </c>
      <c r="V1" s="31" t="s">
        <v>762</v>
      </c>
      <c r="W1" s="31" t="s">
        <v>762</v>
      </c>
      <c r="X1" s="31" t="s">
        <v>762</v>
      </c>
      <c r="Y1" s="31" t="s">
        <v>762</v>
      </c>
      <c r="Z1" s="31" t="s">
        <v>762</v>
      </c>
      <c r="AA1" s="31" t="s">
        <v>762</v>
      </c>
      <c r="AB1" s="31" t="s">
        <v>762</v>
      </c>
      <c r="AC1" s="31" t="s">
        <v>762</v>
      </c>
      <c r="AD1" s="31" t="s">
        <v>762</v>
      </c>
      <c r="AE1" s="31" t="s">
        <v>762</v>
      </c>
      <c r="AF1" s="31" t="s">
        <v>763</v>
      </c>
      <c r="AG1" s="31" t="s">
        <v>412</v>
      </c>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c r="CT1" s="35"/>
      <c r="CU1" s="35"/>
      <c r="CV1" s="35"/>
      <c r="CW1" s="35"/>
      <c r="CX1" s="35"/>
      <c r="CY1" s="35"/>
      <c r="CZ1" s="35"/>
      <c r="DA1" s="35"/>
      <c r="DB1" s="35"/>
      <c r="DC1" s="35"/>
      <c r="DD1" s="35"/>
      <c r="DE1" s="35"/>
      <c r="DF1" s="35"/>
      <c r="DG1" s="35"/>
      <c r="DH1" s="35"/>
      <c r="DI1" s="35"/>
      <c r="DJ1" s="35"/>
      <c r="DK1" s="35"/>
      <c r="DL1" s="35"/>
      <c r="DM1" s="35"/>
      <c r="DN1" s="35"/>
      <c r="DO1" s="35"/>
      <c r="DP1" s="35"/>
      <c r="DQ1" s="35"/>
      <c r="DR1" s="35"/>
      <c r="DS1" s="35"/>
      <c r="DT1" s="35"/>
      <c r="DU1" s="35"/>
      <c r="DV1" s="35"/>
      <c r="DW1" s="35"/>
      <c r="DX1" s="35"/>
      <c r="DY1" s="35"/>
      <c r="DZ1" s="35"/>
      <c r="EA1" s="35"/>
      <c r="EB1" s="35"/>
      <c r="EC1" s="35"/>
      <c r="ED1" s="35"/>
      <c r="EE1" s="35"/>
      <c r="EF1" s="35"/>
      <c r="EG1" s="35"/>
      <c r="EH1" s="35"/>
      <c r="EI1" s="35"/>
      <c r="EJ1" s="35"/>
      <c r="EK1" s="35"/>
      <c r="EL1" s="35"/>
      <c r="EM1" s="35"/>
      <c r="EN1" s="35"/>
      <c r="EO1" s="35"/>
      <c r="EP1" s="35"/>
      <c r="EQ1" s="35"/>
      <c r="ER1" s="35"/>
      <c r="ES1" s="35"/>
      <c r="ET1" s="35"/>
      <c r="EU1" s="35"/>
      <c r="EV1" s="35"/>
      <c r="EW1" s="35"/>
      <c r="EX1" s="35"/>
      <c r="EY1" s="35"/>
      <c r="EZ1" s="35"/>
      <c r="FA1" s="35"/>
      <c r="FB1" s="35"/>
      <c r="FC1" s="35"/>
      <c r="FD1" s="35"/>
      <c r="FE1" s="35"/>
      <c r="FF1" s="35"/>
      <c r="FG1" s="35"/>
      <c r="FH1" s="35"/>
      <c r="FI1" s="35"/>
      <c r="FJ1" s="35"/>
      <c r="FK1" s="35"/>
      <c r="FL1" s="35"/>
      <c r="FM1" s="35"/>
      <c r="FN1" s="35"/>
      <c r="FO1" s="35"/>
      <c r="FP1" s="35"/>
      <c r="FQ1" s="35"/>
      <c r="FR1" s="35"/>
      <c r="FS1" s="35"/>
      <c r="FT1" s="35"/>
      <c r="FU1" s="35"/>
      <c r="FV1" s="35"/>
      <c r="FW1" s="35"/>
      <c r="FX1" s="35"/>
      <c r="FY1" s="35"/>
      <c r="FZ1" s="35"/>
      <c r="GA1" s="35"/>
      <c r="GB1" s="35"/>
      <c r="GC1" s="35"/>
      <c r="GD1" s="35"/>
      <c r="GE1" s="35"/>
      <c r="GF1" s="35"/>
      <c r="GG1" s="35"/>
      <c r="GH1" s="35"/>
      <c r="GI1" s="35"/>
      <c r="GJ1" s="35"/>
      <c r="GK1" s="35"/>
      <c r="GL1" s="35"/>
      <c r="GM1" s="35"/>
      <c r="GN1" s="35"/>
      <c r="GO1" s="35"/>
      <c r="GP1" s="35"/>
      <c r="GQ1" s="35"/>
      <c r="GR1" s="35"/>
      <c r="GS1" s="35"/>
      <c r="GT1" s="35"/>
      <c r="GU1" s="35"/>
      <c r="GV1" s="35"/>
      <c r="GW1" s="35"/>
      <c r="GX1" s="35"/>
      <c r="GY1" s="35"/>
      <c r="GZ1" s="35"/>
      <c r="HA1" s="35"/>
      <c r="HB1" s="35"/>
      <c r="HC1" s="35"/>
      <c r="HD1" s="35"/>
      <c r="HE1" s="35"/>
      <c r="HF1" s="35"/>
      <c r="HG1" s="35"/>
      <c r="HH1" s="35"/>
      <c r="HI1" s="35"/>
      <c r="HJ1" s="35"/>
      <c r="HK1" s="35"/>
      <c r="HL1" s="35"/>
      <c r="HM1" s="35"/>
      <c r="HN1" s="35"/>
      <c r="HO1" s="35"/>
      <c r="HP1" s="35"/>
      <c r="HQ1" s="35"/>
      <c r="HR1" s="35"/>
      <c r="HS1" s="35"/>
      <c r="HT1" s="35"/>
      <c r="HU1" s="35"/>
      <c r="HV1" s="35"/>
      <c r="HW1" s="35"/>
      <c r="HX1" s="35"/>
      <c r="HY1" s="35"/>
      <c r="HZ1" s="35"/>
      <c r="IA1" s="35"/>
      <c r="IB1" s="35"/>
      <c r="IC1" s="35"/>
      <c r="ID1" s="35"/>
      <c r="IE1" s="35"/>
      <c r="IF1" s="35"/>
      <c r="IG1" s="35"/>
      <c r="IH1" s="35"/>
      <c r="II1" s="35"/>
      <c r="IJ1" s="35"/>
      <c r="IK1" s="35"/>
      <c r="IL1" s="35"/>
      <c r="IM1" s="35"/>
      <c r="IN1" s="35"/>
      <c r="IO1" s="35"/>
      <c r="IP1" s="35"/>
      <c r="IQ1" s="35"/>
      <c r="IR1" s="35"/>
      <c r="IS1" s="35"/>
      <c r="IT1" s="35"/>
      <c r="IU1" s="35"/>
      <c r="IV1" s="35"/>
      <c r="IW1" s="35"/>
      <c r="IX1" s="35"/>
      <c r="IY1" s="35"/>
      <c r="IZ1" s="35"/>
      <c r="JA1" s="35"/>
      <c r="JB1" s="35"/>
      <c r="JC1" s="35"/>
      <c r="JD1" s="35"/>
      <c r="JE1" s="35"/>
      <c r="JF1" s="35"/>
      <c r="JG1" s="35"/>
      <c r="JH1" s="35"/>
      <c r="JI1" s="35"/>
      <c r="JJ1" s="35"/>
      <c r="JK1" s="35"/>
      <c r="JL1" s="35"/>
      <c r="JM1" s="35"/>
      <c r="JN1" s="35"/>
      <c r="JO1" s="35"/>
      <c r="JP1" s="35"/>
      <c r="JQ1" s="35"/>
      <c r="JR1" s="35"/>
      <c r="JS1" s="35"/>
      <c r="JT1" s="35"/>
      <c r="JU1" s="35"/>
      <c r="JV1" s="35"/>
      <c r="JW1" s="35"/>
      <c r="JX1" s="35"/>
      <c r="JY1" s="35"/>
      <c r="JZ1" s="35"/>
      <c r="KA1" s="35"/>
      <c r="KB1" s="35"/>
      <c r="KC1" s="35"/>
      <c r="KD1" s="35"/>
      <c r="KE1" s="35"/>
      <c r="KF1" s="35"/>
      <c r="KG1" s="35"/>
      <c r="KH1" s="35"/>
      <c r="KI1" s="35"/>
      <c r="KJ1" s="35"/>
      <c r="KK1" s="35"/>
      <c r="KL1" s="35"/>
      <c r="KM1" s="35"/>
      <c r="KN1" s="35"/>
      <c r="KO1" s="35"/>
      <c r="KP1" s="35"/>
      <c r="KQ1" s="35"/>
      <c r="KR1" s="35"/>
      <c r="KS1" s="35"/>
      <c r="KT1" s="35"/>
      <c r="KU1" s="35"/>
      <c r="KV1" s="35"/>
      <c r="KW1" s="35"/>
      <c r="KX1" s="35"/>
      <c r="KY1" s="35"/>
      <c r="KZ1" s="35"/>
      <c r="LA1" s="35"/>
      <c r="LB1" s="35"/>
      <c r="LC1" s="35"/>
      <c r="LD1" s="35"/>
      <c r="LE1" s="35"/>
      <c r="LF1" s="35"/>
      <c r="LG1" s="35"/>
      <c r="LH1" s="35"/>
      <c r="LI1" s="35"/>
      <c r="LJ1" s="35"/>
      <c r="LK1" s="35"/>
      <c r="LL1" s="35"/>
      <c r="LM1" s="35"/>
      <c r="LN1" s="35"/>
      <c r="LO1" s="35"/>
      <c r="LP1" s="35"/>
      <c r="LQ1" s="35"/>
      <c r="LR1" s="35"/>
      <c r="LS1" s="35"/>
      <c r="LT1" s="35"/>
      <c r="LU1" s="35"/>
      <c r="LV1" s="35"/>
      <c r="LW1" s="35"/>
      <c r="LX1" s="35"/>
      <c r="LY1" s="35"/>
      <c r="LZ1" s="35"/>
      <c r="MA1" s="35"/>
      <c r="MB1" s="35"/>
      <c r="MC1" s="35"/>
      <c r="MD1" s="35"/>
      <c r="ME1" s="35"/>
      <c r="MF1" s="35"/>
      <c r="MG1" s="35"/>
      <c r="MH1" s="35"/>
      <c r="MI1" s="35"/>
      <c r="MJ1" s="35"/>
      <c r="MK1" s="35"/>
      <c r="ML1" s="35"/>
      <c r="MM1" s="35"/>
      <c r="MN1" s="35"/>
      <c r="MO1" s="35"/>
      <c r="MP1" s="35"/>
      <c r="MQ1" s="35"/>
      <c r="MR1" s="35"/>
      <c r="MS1" s="35"/>
      <c r="MT1" s="35"/>
      <c r="MU1" s="35"/>
      <c r="MV1" s="35"/>
      <c r="MW1" s="35"/>
      <c r="MX1" s="35"/>
      <c r="MY1" s="35"/>
      <c r="MZ1" s="35"/>
      <c r="NA1" s="35"/>
      <c r="NB1" s="35"/>
      <c r="NC1" s="35"/>
      <c r="ND1" s="35"/>
      <c r="NE1" s="35"/>
      <c r="NF1" s="35"/>
      <c r="NG1" s="35"/>
      <c r="NH1" s="35"/>
      <c r="NI1" s="35"/>
      <c r="NJ1" s="35"/>
      <c r="NK1" s="35"/>
      <c r="NL1" s="35"/>
      <c r="NM1" s="35"/>
      <c r="NN1" s="35"/>
      <c r="NO1" s="35"/>
      <c r="NP1" s="35"/>
      <c r="NQ1" s="35"/>
      <c r="NR1" s="35"/>
      <c r="NS1" s="35"/>
      <c r="NT1" s="35"/>
      <c r="NU1" s="35"/>
      <c r="NV1" s="35"/>
      <c r="NW1" s="35"/>
      <c r="NX1" s="35"/>
      <c r="NY1" s="35"/>
      <c r="NZ1" s="35"/>
      <c r="OA1" s="35"/>
      <c r="OB1" s="35"/>
      <c r="OC1" s="35"/>
      <c r="OD1" s="35"/>
      <c r="OE1" s="35"/>
      <c r="OF1" s="35"/>
      <c r="OG1" s="35"/>
      <c r="OH1" s="35"/>
      <c r="OI1" s="35"/>
      <c r="OJ1" s="35"/>
      <c r="OK1" s="35"/>
      <c r="OL1" s="35"/>
      <c r="OM1" s="35"/>
      <c r="ON1" s="35"/>
      <c r="OO1" s="35"/>
      <c r="OP1" s="35"/>
      <c r="OQ1" s="35"/>
      <c r="OR1" s="35"/>
      <c r="OS1" s="35"/>
      <c r="OT1" s="35"/>
      <c r="OU1" s="35"/>
      <c r="OV1" s="35"/>
      <c r="OW1" s="35"/>
      <c r="OX1" s="35"/>
      <c r="OY1" s="35"/>
      <c r="OZ1" s="35"/>
      <c r="PA1" s="35"/>
      <c r="PB1" s="35"/>
      <c r="PC1" s="35"/>
      <c r="PD1" s="35"/>
      <c r="PE1" s="35"/>
      <c r="PF1" s="35"/>
      <c r="PG1" s="35"/>
      <c r="PH1" s="35"/>
      <c r="PI1" s="35"/>
      <c r="PJ1" s="35"/>
      <c r="PK1" s="35"/>
      <c r="PL1" s="35"/>
      <c r="PM1" s="35"/>
      <c r="PN1" s="35"/>
      <c r="PO1" s="35"/>
      <c r="PP1" s="35"/>
      <c r="PQ1" s="35"/>
      <c r="PR1" s="35"/>
      <c r="PS1" s="35"/>
      <c r="PT1" s="35"/>
      <c r="PU1" s="35"/>
      <c r="PV1" s="35"/>
      <c r="PW1" s="35"/>
      <c r="PX1" s="35"/>
      <c r="PY1" s="35"/>
      <c r="PZ1" s="35"/>
      <c r="QA1" s="35"/>
      <c r="QB1" s="35"/>
      <c r="QC1" s="35"/>
      <c r="QD1" s="35"/>
      <c r="QE1" s="35"/>
      <c r="QF1" s="35"/>
      <c r="QG1" s="35"/>
      <c r="QH1" s="35"/>
      <c r="QI1" s="35"/>
      <c r="QJ1" s="35"/>
      <c r="QK1" s="35"/>
      <c r="QL1" s="35"/>
      <c r="QM1" s="35"/>
      <c r="QN1" s="35"/>
      <c r="QO1" s="35"/>
      <c r="QP1" s="35"/>
      <c r="QQ1" s="35"/>
      <c r="QR1" s="35"/>
      <c r="QS1" s="35"/>
      <c r="QT1" s="35"/>
      <c r="QU1" s="35"/>
      <c r="QV1" s="35"/>
      <c r="QW1" s="35"/>
      <c r="QX1" s="35"/>
      <c r="QY1" s="35"/>
      <c r="QZ1" s="35"/>
      <c r="RA1" s="35"/>
      <c r="RB1" s="35"/>
      <c r="RC1" s="35"/>
      <c r="RD1" s="35"/>
      <c r="RE1" s="35"/>
      <c r="RF1" s="35"/>
      <c r="RG1" s="35"/>
      <c r="RH1" s="35"/>
      <c r="RI1" s="35"/>
      <c r="RJ1" s="35"/>
      <c r="RK1" s="35"/>
      <c r="RL1" s="35"/>
      <c r="RM1" s="35"/>
      <c r="RN1" s="35"/>
      <c r="RO1" s="35"/>
      <c r="RP1" s="35"/>
      <c r="RQ1" s="35"/>
      <c r="RR1" s="35"/>
      <c r="RS1" s="35"/>
      <c r="RT1" s="35"/>
      <c r="RU1" s="35"/>
      <c r="RV1" s="35"/>
      <c r="RW1" s="35"/>
      <c r="RX1" s="35"/>
      <c r="RY1" s="35"/>
      <c r="RZ1" s="35"/>
      <c r="SA1" s="35"/>
      <c r="SB1" s="35"/>
      <c r="SC1" s="35"/>
      <c r="SD1" s="35"/>
      <c r="SE1" s="35"/>
      <c r="SF1" s="35"/>
      <c r="SG1" s="35"/>
      <c r="SH1" s="35"/>
      <c r="SI1" s="35"/>
      <c r="SJ1" s="35"/>
      <c r="SK1" s="35"/>
      <c r="SL1" s="35"/>
      <c r="SM1" s="35"/>
      <c r="SN1" s="35"/>
      <c r="SO1" s="35"/>
      <c r="SP1" s="35"/>
      <c r="SQ1" s="35"/>
      <c r="SR1" s="35"/>
      <c r="SS1" s="35"/>
      <c r="ST1" s="35"/>
      <c r="SU1" s="35"/>
      <c r="SV1" s="35"/>
      <c r="SW1" s="35"/>
      <c r="SX1" s="35"/>
      <c r="SY1" s="35"/>
      <c r="SZ1" s="35"/>
      <c r="TA1" s="35"/>
      <c r="TB1" s="35"/>
      <c r="TC1" s="35"/>
      <c r="TD1" s="35"/>
      <c r="TE1" s="35"/>
      <c r="TF1" s="35"/>
      <c r="TG1" s="35"/>
      <c r="TH1" s="35"/>
      <c r="TI1" s="35"/>
      <c r="TJ1" s="35"/>
      <c r="TK1" s="35"/>
      <c r="TL1" s="35"/>
      <c r="TM1" s="35"/>
      <c r="TN1" s="35"/>
      <c r="TO1" s="35"/>
      <c r="TP1" s="35"/>
      <c r="TQ1" s="35"/>
      <c r="TR1" s="35"/>
      <c r="TS1" s="35"/>
      <c r="TT1" s="35"/>
      <c r="TU1" s="35"/>
      <c r="TV1" s="35"/>
      <c r="TW1" s="35"/>
      <c r="TX1" s="35"/>
      <c r="TY1" s="35"/>
      <c r="TZ1" s="35"/>
      <c r="UA1" s="35"/>
      <c r="UB1" s="35"/>
      <c r="UC1" s="35"/>
      <c r="UD1" s="35"/>
      <c r="UE1" s="35"/>
      <c r="UF1" s="35"/>
      <c r="UG1" s="35"/>
      <c r="UH1" s="35"/>
      <c r="UI1" s="35"/>
      <c r="UJ1" s="35"/>
      <c r="UK1" s="35"/>
      <c r="UL1" s="35"/>
      <c r="UM1" s="35"/>
      <c r="UN1" s="35"/>
      <c r="UO1" s="35"/>
      <c r="UP1" s="35"/>
      <c r="UQ1" s="35"/>
      <c r="UR1" s="35"/>
      <c r="US1" s="35"/>
      <c r="UT1" s="35"/>
      <c r="UU1" s="35"/>
      <c r="UV1" s="35"/>
      <c r="UW1" s="35"/>
      <c r="UX1" s="35"/>
      <c r="UY1" s="35"/>
      <c r="UZ1" s="35"/>
      <c r="VA1" s="35"/>
      <c r="VB1" s="35"/>
      <c r="VC1" s="35"/>
      <c r="VD1" s="35"/>
      <c r="VE1" s="35"/>
      <c r="VF1" s="35"/>
      <c r="VG1" s="35"/>
      <c r="VH1" s="35"/>
      <c r="VI1" s="35"/>
      <c r="VJ1" s="35"/>
      <c r="VK1" s="35"/>
      <c r="VL1" s="35"/>
      <c r="VM1" s="35"/>
      <c r="VN1" s="35"/>
      <c r="VO1" s="35"/>
      <c r="VP1" s="35"/>
      <c r="VQ1" s="35"/>
      <c r="VR1" s="35"/>
      <c r="VS1" s="35"/>
      <c r="VT1" s="35"/>
      <c r="VU1" s="35"/>
      <c r="VV1" s="35"/>
      <c r="VW1" s="35"/>
      <c r="VX1" s="35"/>
      <c r="VY1" s="35"/>
      <c r="VZ1" s="35"/>
      <c r="WA1" s="35"/>
      <c r="WB1" s="35"/>
      <c r="WC1" s="35"/>
      <c r="WD1" s="35"/>
      <c r="WE1" s="35"/>
      <c r="WF1" s="35"/>
      <c r="WG1" s="35"/>
      <c r="WH1" s="35"/>
      <c r="WI1" s="35"/>
      <c r="WJ1" s="35"/>
      <c r="WK1" s="35"/>
      <c r="WL1" s="35"/>
      <c r="WM1" s="35"/>
      <c r="WN1" s="35"/>
      <c r="WO1" s="35"/>
      <c r="WP1" s="35"/>
      <c r="WQ1" s="35"/>
      <c r="WR1" s="35"/>
      <c r="WS1" s="35"/>
      <c r="WT1" s="35"/>
      <c r="WU1" s="35"/>
      <c r="WV1" s="35"/>
      <c r="WW1" s="35"/>
      <c r="WX1" s="35"/>
      <c r="WY1" s="35"/>
      <c r="WZ1" s="35"/>
      <c r="XA1" s="35"/>
      <c r="XB1" s="35"/>
      <c r="XC1" s="35"/>
      <c r="XD1" s="35"/>
      <c r="XE1" s="35"/>
      <c r="XF1" s="35"/>
      <c r="XG1" s="35"/>
      <c r="XH1" s="35"/>
      <c r="XI1" s="35"/>
      <c r="XJ1" s="35"/>
      <c r="XK1" s="35"/>
      <c r="XL1" s="35"/>
      <c r="XM1" s="35"/>
      <c r="XN1" s="35"/>
      <c r="XO1" s="35"/>
      <c r="XP1" s="35"/>
      <c r="XQ1" s="35"/>
      <c r="XR1" s="35"/>
      <c r="XS1" s="35"/>
      <c r="XT1" s="35"/>
      <c r="XU1" s="35"/>
      <c r="XV1" s="35"/>
      <c r="XW1" s="35"/>
      <c r="XX1" s="35"/>
      <c r="XY1" s="35"/>
      <c r="XZ1" s="35"/>
      <c r="YA1" s="35"/>
      <c r="YB1" s="35"/>
      <c r="YC1" s="35"/>
      <c r="YD1" s="35"/>
      <c r="YE1" s="35"/>
      <c r="YF1" s="35"/>
      <c r="YG1" s="35"/>
      <c r="YH1" s="35"/>
      <c r="YI1" s="35"/>
      <c r="YJ1" s="35"/>
      <c r="YK1" s="35"/>
      <c r="YL1" s="35"/>
      <c r="YM1" s="35"/>
      <c r="YN1" s="35"/>
      <c r="YO1" s="35"/>
      <c r="YP1" s="35"/>
      <c r="YQ1" s="35"/>
      <c r="YR1" s="35"/>
      <c r="YS1" s="35"/>
      <c r="YT1" s="35"/>
      <c r="YU1" s="35"/>
      <c r="YV1" s="35"/>
      <c r="YW1" s="35"/>
      <c r="YX1" s="35"/>
      <c r="YY1" s="35"/>
      <c r="YZ1" s="35"/>
      <c r="ZA1" s="35"/>
      <c r="ZB1" s="35"/>
      <c r="ZC1" s="35"/>
      <c r="ZD1" s="35"/>
      <c r="ZE1" s="35"/>
      <c r="ZF1" s="35"/>
      <c r="ZG1" s="35"/>
      <c r="ZH1" s="35"/>
      <c r="ZI1" s="35"/>
      <c r="ZJ1" s="35"/>
      <c r="ZK1" s="35"/>
      <c r="ZL1" s="35"/>
      <c r="ZM1" s="35"/>
      <c r="ZN1" s="35"/>
      <c r="ZO1" s="35"/>
      <c r="ZP1" s="35"/>
      <c r="ZQ1" s="35"/>
      <c r="ZR1" s="35"/>
      <c r="ZS1" s="35"/>
      <c r="ZT1" s="35"/>
      <c r="ZU1" s="35"/>
      <c r="ZV1" s="35"/>
      <c r="ZW1" s="35"/>
      <c r="ZX1" s="35"/>
      <c r="ZY1" s="35"/>
      <c r="ZZ1" s="35"/>
      <c r="AAA1" s="35"/>
      <c r="AAB1" s="35"/>
      <c r="AAC1" s="35"/>
      <c r="AAD1" s="35"/>
      <c r="AAE1" s="35"/>
      <c r="AAF1" s="35"/>
      <c r="AAG1" s="35"/>
      <c r="AAH1" s="35"/>
      <c r="AAI1" s="35"/>
      <c r="AAJ1" s="35"/>
      <c r="AAK1" s="35"/>
      <c r="AAL1" s="35"/>
      <c r="AAM1" s="35"/>
      <c r="AAN1" s="35"/>
      <c r="AAO1" s="35"/>
      <c r="AAP1" s="35"/>
      <c r="AAQ1" s="35"/>
      <c r="AAR1" s="35"/>
      <c r="AAS1" s="35"/>
      <c r="AAT1" s="35"/>
      <c r="AAU1" s="35"/>
      <c r="AAV1" s="35"/>
      <c r="AAW1" s="35"/>
      <c r="AAX1" s="35"/>
      <c r="AAY1" s="35"/>
      <c r="AAZ1" s="35"/>
      <c r="ABA1" s="35"/>
      <c r="ABB1" s="35"/>
      <c r="ABC1" s="35"/>
      <c r="ABD1" s="35"/>
      <c r="ABE1" s="35"/>
      <c r="ABF1" s="35"/>
      <c r="ABG1" s="35"/>
      <c r="ABH1" s="35"/>
      <c r="ABI1" s="35"/>
      <c r="ABJ1" s="35"/>
      <c r="ABK1" s="35"/>
      <c r="ABL1" s="35"/>
      <c r="ABM1" s="35"/>
      <c r="ABN1" s="35"/>
      <c r="ABO1" s="35"/>
      <c r="ABP1" s="35"/>
      <c r="ABQ1" s="35"/>
      <c r="ABR1" s="35"/>
      <c r="ABS1" s="35"/>
      <c r="ABT1" s="35"/>
      <c r="ABU1" s="35"/>
      <c r="ABV1" s="35"/>
      <c r="ABW1" s="35"/>
      <c r="ABX1" s="35"/>
      <c r="ABY1" s="35"/>
      <c r="ABZ1" s="35"/>
      <c r="ACA1" s="35"/>
      <c r="ACB1" s="35"/>
      <c r="ACC1" s="35"/>
      <c r="ACD1" s="35"/>
      <c r="ACE1" s="35"/>
      <c r="ACF1" s="35"/>
      <c r="ACG1" s="35"/>
      <c r="ACH1" s="35"/>
      <c r="ACI1" s="35"/>
      <c r="ACJ1" s="35"/>
      <c r="ACK1" s="35"/>
      <c r="ACL1" s="35"/>
      <c r="ACM1" s="35"/>
      <c r="ACN1" s="35"/>
      <c r="ACO1" s="35"/>
      <c r="ACP1" s="35"/>
      <c r="ACQ1" s="35"/>
      <c r="ACR1" s="35"/>
      <c r="ACS1" s="35"/>
      <c r="ACT1" s="35"/>
      <c r="ACU1" s="35"/>
      <c r="ACV1" s="35"/>
      <c r="ACW1" s="35"/>
      <c r="ACX1" s="35"/>
      <c r="ACY1" s="35"/>
      <c r="ACZ1" s="35"/>
      <c r="ADA1" s="35"/>
      <c r="ADB1" s="35"/>
      <c r="ADC1" s="35"/>
      <c r="ADD1" s="35"/>
      <c r="ADE1" s="35"/>
      <c r="ADF1" s="35"/>
      <c r="ADG1" s="35"/>
      <c r="ADH1" s="35"/>
      <c r="ADI1" s="35"/>
      <c r="ADJ1" s="35"/>
      <c r="ADK1" s="35"/>
      <c r="ADL1" s="35"/>
      <c r="ADM1" s="35"/>
      <c r="ADN1" s="35"/>
      <c r="ADO1" s="35"/>
      <c r="ADP1" s="35"/>
      <c r="ADQ1" s="35"/>
      <c r="ADR1" s="35"/>
      <c r="ADS1" s="35"/>
      <c r="ADT1" s="35"/>
      <c r="ADU1" s="35"/>
      <c r="ADV1" s="35"/>
      <c r="ADW1" s="35"/>
      <c r="ADX1" s="35"/>
      <c r="ADY1" s="35"/>
      <c r="ADZ1" s="35"/>
      <c r="AEA1" s="35"/>
      <c r="AEB1" s="35"/>
      <c r="AEC1" s="35"/>
      <c r="AED1" s="35"/>
      <c r="AEE1" s="35"/>
      <c r="AEF1" s="35"/>
      <c r="AEG1" s="35"/>
      <c r="AEH1" s="35"/>
      <c r="AEI1" s="35"/>
      <c r="AEJ1" s="35"/>
      <c r="AEK1" s="35"/>
      <c r="AEL1" s="35"/>
      <c r="AEM1" s="35"/>
      <c r="AEN1" s="35"/>
      <c r="AEO1" s="35"/>
      <c r="AEP1" s="35"/>
      <c r="AEQ1" s="35"/>
      <c r="AER1" s="35"/>
      <c r="AES1" s="35"/>
      <c r="AET1" s="35"/>
      <c r="AEU1" s="35"/>
      <c r="AEV1" s="35"/>
      <c r="AEW1" s="35"/>
      <c r="AEX1" s="35"/>
      <c r="AEY1" s="35"/>
      <c r="AEZ1" s="35"/>
      <c r="AFA1" s="35"/>
      <c r="AFB1" s="35"/>
      <c r="AFC1" s="35"/>
      <c r="AFD1" s="35"/>
      <c r="AFE1" s="35"/>
      <c r="AFF1" s="35"/>
      <c r="AFG1" s="35"/>
      <c r="AFH1" s="35"/>
      <c r="AFI1" s="35"/>
      <c r="AFJ1" s="35"/>
      <c r="AFK1" s="35"/>
      <c r="AFL1" s="35"/>
      <c r="AFM1" s="35"/>
      <c r="AFN1" s="35"/>
      <c r="AFO1" s="35"/>
      <c r="AFP1" s="35"/>
      <c r="AFQ1" s="35"/>
      <c r="AFR1" s="35"/>
      <c r="AFS1" s="35"/>
      <c r="AFT1" s="35"/>
      <c r="AFU1" s="35"/>
      <c r="AFV1" s="35"/>
      <c r="AFW1" s="35"/>
      <c r="AFX1" s="35"/>
      <c r="AFY1" s="35"/>
      <c r="AFZ1" s="35"/>
      <c r="AGA1" s="35"/>
      <c r="AGB1" s="35"/>
      <c r="AGC1" s="35"/>
      <c r="AGD1" s="35"/>
      <c r="AGE1" s="35"/>
      <c r="AGF1" s="35"/>
      <c r="AGG1" s="35"/>
      <c r="AGH1" s="35"/>
      <c r="AGI1" s="35"/>
      <c r="AGJ1" s="35"/>
      <c r="AGK1" s="35"/>
      <c r="AGL1" s="35"/>
      <c r="AGM1" s="35"/>
      <c r="AGN1" s="35"/>
      <c r="AGO1" s="35"/>
      <c r="AGP1" s="35"/>
      <c r="AGQ1" s="35"/>
      <c r="AGR1" s="35"/>
      <c r="AGS1" s="35"/>
      <c r="AGT1" s="35"/>
      <c r="AGU1" s="35"/>
      <c r="AGV1" s="35"/>
      <c r="AGW1" s="35"/>
      <c r="AGX1" s="35"/>
      <c r="AGY1" s="35"/>
      <c r="AGZ1" s="35"/>
      <c r="AHA1" s="35"/>
      <c r="AHB1" s="35"/>
      <c r="AHC1" s="35"/>
      <c r="AHD1" s="35"/>
      <c r="AHE1" s="35"/>
      <c r="AHF1" s="35"/>
      <c r="AHG1" s="35"/>
      <c r="AHH1" s="35"/>
      <c r="AHI1" s="35"/>
      <c r="AHJ1" s="35"/>
      <c r="AHK1" s="35"/>
      <c r="AHL1" s="35"/>
      <c r="AHM1" s="35"/>
      <c r="AHN1" s="35"/>
      <c r="AHO1" s="35"/>
      <c r="AHP1" s="35"/>
      <c r="AHQ1" s="35"/>
      <c r="AHR1" s="35"/>
      <c r="AHS1" s="35"/>
      <c r="AHT1" s="35"/>
      <c r="AHU1" s="35"/>
      <c r="AHV1" s="35"/>
      <c r="AHW1" s="35"/>
      <c r="AHX1" s="35"/>
      <c r="AHY1" s="35"/>
      <c r="AHZ1" s="35"/>
      <c r="AIA1" s="35"/>
      <c r="AIB1" s="35"/>
      <c r="AIC1" s="35"/>
      <c r="AID1" s="35"/>
      <c r="AIE1" s="35"/>
      <c r="AIF1" s="35"/>
      <c r="AIG1" s="35"/>
      <c r="AIH1" s="35"/>
      <c r="AII1" s="35"/>
      <c r="AIJ1" s="35"/>
      <c r="AIK1" s="35"/>
      <c r="AIL1" s="35"/>
      <c r="AIM1" s="35"/>
      <c r="AIN1" s="35"/>
      <c r="AIO1" s="35"/>
      <c r="AIP1" s="35"/>
      <c r="AIQ1" s="35"/>
      <c r="AIR1" s="35"/>
      <c r="AIS1" s="35"/>
      <c r="AIT1" s="35"/>
      <c r="AIU1" s="35"/>
      <c r="AIV1" s="35"/>
      <c r="AIW1" s="35"/>
      <c r="AIX1" s="35"/>
      <c r="AIY1" s="35"/>
      <c r="AIZ1" s="35"/>
      <c r="AJA1" s="35"/>
      <c r="AJB1" s="35"/>
      <c r="AJC1" s="35"/>
      <c r="AJD1" s="35"/>
      <c r="AJE1" s="35"/>
      <c r="AJF1" s="35"/>
      <c r="AJG1" s="35"/>
      <c r="AJH1" s="35"/>
      <c r="AJI1" s="35"/>
      <c r="AJJ1" s="35"/>
      <c r="AJK1" s="35"/>
      <c r="AJL1" s="35"/>
      <c r="AJM1" s="35"/>
      <c r="AJN1" s="35"/>
      <c r="AJO1" s="35"/>
      <c r="AJP1" s="35"/>
      <c r="AJQ1" s="35"/>
      <c r="AJR1" s="35"/>
      <c r="AJS1" s="35"/>
      <c r="AJT1" s="35"/>
      <c r="AJU1" s="35"/>
      <c r="AJV1" s="35"/>
      <c r="AJW1" s="35"/>
      <c r="AJX1" s="35"/>
      <c r="AJY1" s="35"/>
      <c r="AJZ1" s="35"/>
      <c r="AKA1" s="35"/>
      <c r="AKB1" s="35"/>
      <c r="AKC1" s="35"/>
      <c r="AKD1" s="35"/>
      <c r="AKE1" s="35"/>
      <c r="AKF1" s="35"/>
      <c r="AKG1" s="35"/>
      <c r="AKH1" s="35"/>
      <c r="AKI1" s="35"/>
      <c r="AKJ1" s="35"/>
      <c r="AKK1" s="35"/>
      <c r="AKL1" s="35"/>
      <c r="AKM1" s="35"/>
      <c r="AKN1" s="35"/>
      <c r="AKO1" s="35"/>
      <c r="AKP1" s="35"/>
      <c r="AKQ1" s="35"/>
      <c r="AKR1" s="35"/>
      <c r="AKS1" s="35"/>
      <c r="AKT1" s="35"/>
      <c r="AKU1" s="35"/>
      <c r="AKV1" s="35"/>
      <c r="AKW1" s="35"/>
      <c r="AKX1" s="35"/>
      <c r="AKY1" s="35"/>
      <c r="AKZ1" s="35"/>
      <c r="ALA1" s="35"/>
      <c r="ALB1" s="35"/>
      <c r="ALC1" s="35"/>
      <c r="ALD1" s="35"/>
      <c r="ALE1" s="35"/>
      <c r="ALF1" s="35"/>
      <c r="ALG1" s="35"/>
      <c r="ALH1" s="35"/>
      <c r="ALI1" s="35"/>
      <c r="ALJ1" s="35"/>
      <c r="ALK1" s="35"/>
      <c r="ALL1" s="35"/>
      <c r="ALM1" s="35"/>
      <c r="ALN1" s="35"/>
      <c r="ALO1" s="35"/>
      <c r="ALP1" s="35"/>
      <c r="ALQ1" s="35"/>
      <c r="ALR1" s="35"/>
      <c r="ALS1" s="35"/>
      <c r="ALT1" s="35"/>
      <c r="ALU1" s="35"/>
      <c r="ALV1" s="35"/>
      <c r="ALW1" s="35"/>
      <c r="ALX1" s="35"/>
      <c r="ALY1" s="35"/>
      <c r="ALZ1" s="35"/>
      <c r="AMA1" s="35"/>
      <c r="AMB1" s="35"/>
      <c r="AMC1" s="35"/>
      <c r="AMD1" s="35"/>
      <c r="AME1" s="35"/>
      <c r="AMF1" s="35"/>
      <c r="AMG1" s="35"/>
      <c r="AMH1" s="35"/>
      <c r="AMI1" s="35"/>
      <c r="AMJ1" s="1"/>
    </row>
    <row r="2" customFormat="false" ht="12.8" hidden="false" customHeight="false" outlineLevel="1" collapsed="false">
      <c r="A2" s="31"/>
      <c r="B2" s="31"/>
      <c r="C2" s="31"/>
      <c r="D2" s="31"/>
      <c r="E2" s="33"/>
      <c r="F2" s="33"/>
      <c r="G2" s="33"/>
      <c r="H2" s="31"/>
      <c r="I2" s="72"/>
      <c r="J2" s="72"/>
      <c r="K2" s="33"/>
      <c r="L2" s="83"/>
      <c r="M2" s="83"/>
      <c r="N2" s="83"/>
      <c r="O2" s="83"/>
      <c r="P2" s="83"/>
      <c r="Q2" s="33"/>
      <c r="R2" s="33"/>
      <c r="S2" s="33"/>
      <c r="T2" s="33"/>
      <c r="U2" s="33"/>
      <c r="V2" s="33"/>
      <c r="W2" s="33"/>
      <c r="X2" s="33"/>
      <c r="Y2" s="33"/>
      <c r="Z2" s="33"/>
      <c r="AA2" s="33"/>
      <c r="AB2" s="33"/>
      <c r="AC2" s="33"/>
      <c r="AD2" s="33"/>
      <c r="AE2" s="33"/>
      <c r="AF2" s="31"/>
      <c r="AG2" s="31"/>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c r="CF2" s="35"/>
      <c r="CG2" s="35"/>
      <c r="CH2" s="35"/>
      <c r="CI2" s="35"/>
      <c r="CJ2" s="35"/>
      <c r="CK2" s="35"/>
      <c r="CL2" s="35"/>
      <c r="CM2" s="35"/>
      <c r="CN2" s="35"/>
      <c r="CO2" s="35"/>
      <c r="CP2" s="35"/>
      <c r="CQ2" s="35"/>
      <c r="CR2" s="35"/>
      <c r="CS2" s="35"/>
      <c r="CT2" s="35"/>
      <c r="CU2" s="35"/>
      <c r="CV2" s="35"/>
      <c r="CW2" s="35"/>
      <c r="CX2" s="35"/>
      <c r="CY2" s="35"/>
      <c r="CZ2" s="35"/>
      <c r="DA2" s="35"/>
      <c r="DB2" s="35"/>
      <c r="DC2" s="35"/>
      <c r="DD2" s="35"/>
      <c r="DE2" s="35"/>
      <c r="DF2" s="35"/>
      <c r="DG2" s="35"/>
      <c r="DH2" s="35"/>
      <c r="DI2" s="35"/>
      <c r="DJ2" s="35"/>
      <c r="DK2" s="35"/>
      <c r="DL2" s="35"/>
      <c r="DM2" s="35"/>
      <c r="DN2" s="35"/>
      <c r="DO2" s="35"/>
      <c r="DP2" s="35"/>
      <c r="DQ2" s="35"/>
      <c r="DR2" s="35"/>
      <c r="DS2" s="35"/>
      <c r="DT2" s="35"/>
      <c r="DU2" s="35"/>
      <c r="DV2" s="35"/>
      <c r="DW2" s="35"/>
      <c r="DX2" s="35"/>
      <c r="DY2" s="35"/>
      <c r="DZ2" s="35"/>
      <c r="EA2" s="35"/>
      <c r="EB2" s="35"/>
      <c r="EC2" s="35"/>
      <c r="ED2" s="35"/>
      <c r="EE2" s="35"/>
      <c r="EF2" s="35"/>
      <c r="EG2" s="35"/>
      <c r="EH2" s="35"/>
      <c r="EI2" s="35"/>
      <c r="EJ2" s="35"/>
      <c r="EK2" s="35"/>
      <c r="EL2" s="35"/>
      <c r="EM2" s="35"/>
      <c r="EN2" s="35"/>
      <c r="EO2" s="35"/>
      <c r="EP2" s="35"/>
      <c r="EQ2" s="35"/>
      <c r="ER2" s="35"/>
      <c r="ES2" s="35"/>
      <c r="ET2" s="35"/>
      <c r="EU2" s="35"/>
      <c r="EV2" s="35"/>
      <c r="EW2" s="35"/>
      <c r="EX2" s="35"/>
      <c r="EY2" s="35"/>
      <c r="EZ2" s="35"/>
      <c r="FA2" s="35"/>
      <c r="FB2" s="35"/>
      <c r="FC2" s="35"/>
      <c r="FD2" s="35"/>
      <c r="FE2" s="35"/>
      <c r="FF2" s="35"/>
      <c r="FG2" s="35"/>
      <c r="FH2" s="35"/>
      <c r="FI2" s="35"/>
      <c r="FJ2" s="35"/>
      <c r="FK2" s="35"/>
      <c r="FL2" s="35"/>
      <c r="FM2" s="35"/>
      <c r="FN2" s="35"/>
      <c r="FO2" s="35"/>
      <c r="FP2" s="35"/>
      <c r="FQ2" s="35"/>
      <c r="FR2" s="35"/>
      <c r="FS2" s="35"/>
      <c r="FT2" s="35"/>
      <c r="FU2" s="35"/>
      <c r="FV2" s="35"/>
      <c r="FW2" s="35"/>
      <c r="FX2" s="35"/>
      <c r="FY2" s="35"/>
      <c r="FZ2" s="35"/>
      <c r="GA2" s="35"/>
      <c r="GB2" s="35"/>
      <c r="GC2" s="35"/>
      <c r="GD2" s="35"/>
      <c r="GE2" s="35"/>
      <c r="GF2" s="35"/>
      <c r="GG2" s="35"/>
      <c r="GH2" s="35"/>
      <c r="GI2" s="35"/>
      <c r="GJ2" s="35"/>
      <c r="GK2" s="35"/>
      <c r="GL2" s="35"/>
      <c r="GM2" s="35"/>
      <c r="GN2" s="35"/>
      <c r="GO2" s="35"/>
      <c r="GP2" s="35"/>
      <c r="GQ2" s="35"/>
      <c r="GR2" s="35"/>
      <c r="GS2" s="35"/>
      <c r="GT2" s="35"/>
      <c r="GU2" s="35"/>
      <c r="GV2" s="35"/>
      <c r="GW2" s="35"/>
      <c r="GX2" s="35"/>
      <c r="GY2" s="35"/>
      <c r="GZ2" s="35"/>
      <c r="HA2" s="35"/>
      <c r="HB2" s="35"/>
      <c r="HC2" s="35"/>
      <c r="HD2" s="35"/>
      <c r="HE2" s="35"/>
      <c r="HF2" s="35"/>
      <c r="HG2" s="35"/>
      <c r="HH2" s="35"/>
      <c r="HI2" s="35"/>
      <c r="HJ2" s="35"/>
      <c r="HK2" s="35"/>
      <c r="HL2" s="35"/>
      <c r="HM2" s="35"/>
      <c r="HN2" s="35"/>
      <c r="HO2" s="35"/>
      <c r="HP2" s="35"/>
      <c r="HQ2" s="35"/>
      <c r="HR2" s="35"/>
      <c r="HS2" s="35"/>
      <c r="HT2" s="35"/>
      <c r="HU2" s="35"/>
      <c r="HV2" s="35"/>
      <c r="HW2" s="35"/>
      <c r="HX2" s="35"/>
      <c r="HY2" s="35"/>
      <c r="HZ2" s="35"/>
      <c r="IA2" s="35"/>
      <c r="IB2" s="35"/>
      <c r="IC2" s="35"/>
      <c r="ID2" s="35"/>
      <c r="IE2" s="35"/>
      <c r="IF2" s="35"/>
      <c r="IG2" s="35"/>
      <c r="IH2" s="35"/>
      <c r="II2" s="35"/>
      <c r="IJ2" s="35"/>
      <c r="IK2" s="35"/>
      <c r="IL2" s="35"/>
      <c r="IM2" s="35"/>
      <c r="IN2" s="35"/>
      <c r="IO2" s="35"/>
      <c r="IP2" s="35"/>
      <c r="IQ2" s="35"/>
      <c r="IR2" s="35"/>
      <c r="IS2" s="35"/>
      <c r="IT2" s="35"/>
      <c r="IU2" s="35"/>
      <c r="IV2" s="35"/>
      <c r="IW2" s="35"/>
      <c r="IX2" s="35"/>
      <c r="IY2" s="35"/>
      <c r="IZ2" s="35"/>
      <c r="JA2" s="35"/>
      <c r="JB2" s="35"/>
      <c r="JC2" s="35"/>
      <c r="JD2" s="35"/>
      <c r="JE2" s="35"/>
      <c r="JF2" s="35"/>
      <c r="JG2" s="35"/>
      <c r="JH2" s="35"/>
      <c r="JI2" s="35"/>
      <c r="JJ2" s="35"/>
      <c r="JK2" s="35"/>
      <c r="JL2" s="35"/>
      <c r="JM2" s="35"/>
      <c r="JN2" s="35"/>
      <c r="JO2" s="35"/>
      <c r="JP2" s="35"/>
      <c r="JQ2" s="35"/>
      <c r="JR2" s="35"/>
      <c r="JS2" s="35"/>
      <c r="JT2" s="35"/>
      <c r="JU2" s="35"/>
      <c r="JV2" s="35"/>
      <c r="JW2" s="35"/>
      <c r="JX2" s="35"/>
      <c r="JY2" s="35"/>
      <c r="JZ2" s="35"/>
      <c r="KA2" s="35"/>
      <c r="KB2" s="35"/>
      <c r="KC2" s="35"/>
      <c r="KD2" s="35"/>
      <c r="KE2" s="35"/>
      <c r="KF2" s="35"/>
      <c r="KG2" s="35"/>
      <c r="KH2" s="35"/>
      <c r="KI2" s="35"/>
      <c r="KJ2" s="35"/>
      <c r="KK2" s="35"/>
      <c r="KL2" s="35"/>
      <c r="KM2" s="35"/>
      <c r="KN2" s="35"/>
      <c r="KO2" s="35"/>
      <c r="KP2" s="35"/>
      <c r="KQ2" s="35"/>
      <c r="KR2" s="35"/>
      <c r="KS2" s="35"/>
      <c r="KT2" s="35"/>
      <c r="KU2" s="35"/>
      <c r="KV2" s="35"/>
      <c r="KW2" s="35"/>
      <c r="KX2" s="35"/>
      <c r="KY2" s="35"/>
      <c r="KZ2" s="35"/>
      <c r="LA2" s="35"/>
      <c r="LB2" s="35"/>
      <c r="LC2" s="35"/>
      <c r="LD2" s="35"/>
      <c r="LE2" s="35"/>
      <c r="LF2" s="35"/>
      <c r="LG2" s="35"/>
      <c r="LH2" s="35"/>
      <c r="LI2" s="35"/>
      <c r="LJ2" s="35"/>
      <c r="LK2" s="35"/>
      <c r="LL2" s="35"/>
      <c r="LM2" s="35"/>
      <c r="LN2" s="35"/>
      <c r="LO2" s="35"/>
      <c r="LP2" s="35"/>
      <c r="LQ2" s="35"/>
      <c r="LR2" s="35"/>
      <c r="LS2" s="35"/>
      <c r="LT2" s="35"/>
      <c r="LU2" s="35"/>
      <c r="LV2" s="35"/>
      <c r="LW2" s="35"/>
      <c r="LX2" s="35"/>
      <c r="LY2" s="35"/>
      <c r="LZ2" s="35"/>
      <c r="MA2" s="35"/>
      <c r="MB2" s="35"/>
      <c r="MC2" s="35"/>
      <c r="MD2" s="35"/>
      <c r="ME2" s="35"/>
      <c r="MF2" s="35"/>
      <c r="MG2" s="35"/>
      <c r="MH2" s="35"/>
      <c r="MI2" s="35"/>
      <c r="MJ2" s="35"/>
      <c r="MK2" s="35"/>
      <c r="ML2" s="35"/>
      <c r="MM2" s="35"/>
      <c r="MN2" s="35"/>
      <c r="MO2" s="35"/>
      <c r="MP2" s="35"/>
      <c r="MQ2" s="35"/>
      <c r="MR2" s="35"/>
      <c r="MS2" s="35"/>
      <c r="MT2" s="35"/>
      <c r="MU2" s="35"/>
      <c r="MV2" s="35"/>
      <c r="MW2" s="35"/>
      <c r="MX2" s="35"/>
      <c r="MY2" s="35"/>
      <c r="MZ2" s="35"/>
      <c r="NA2" s="35"/>
      <c r="NB2" s="35"/>
      <c r="NC2" s="35"/>
      <c r="ND2" s="35"/>
      <c r="NE2" s="35"/>
      <c r="NF2" s="35"/>
      <c r="NG2" s="35"/>
      <c r="NH2" s="35"/>
      <c r="NI2" s="35"/>
      <c r="NJ2" s="35"/>
      <c r="NK2" s="35"/>
      <c r="NL2" s="35"/>
      <c r="NM2" s="35"/>
      <c r="NN2" s="35"/>
      <c r="NO2" s="35"/>
      <c r="NP2" s="35"/>
      <c r="NQ2" s="35"/>
      <c r="NR2" s="35"/>
      <c r="NS2" s="35"/>
      <c r="NT2" s="35"/>
      <c r="NU2" s="35"/>
      <c r="NV2" s="35"/>
      <c r="NW2" s="35"/>
      <c r="NX2" s="35"/>
      <c r="NY2" s="35"/>
      <c r="NZ2" s="35"/>
      <c r="OA2" s="35"/>
      <c r="OB2" s="35"/>
      <c r="OC2" s="35"/>
      <c r="OD2" s="35"/>
      <c r="OE2" s="35"/>
      <c r="OF2" s="35"/>
      <c r="OG2" s="35"/>
      <c r="OH2" s="35"/>
      <c r="OI2" s="35"/>
      <c r="OJ2" s="35"/>
      <c r="OK2" s="35"/>
      <c r="OL2" s="35"/>
      <c r="OM2" s="35"/>
      <c r="ON2" s="35"/>
      <c r="OO2" s="35"/>
      <c r="OP2" s="35"/>
      <c r="OQ2" s="35"/>
      <c r="OR2" s="35"/>
      <c r="OS2" s="35"/>
      <c r="OT2" s="35"/>
      <c r="OU2" s="35"/>
      <c r="OV2" s="35"/>
      <c r="OW2" s="35"/>
      <c r="OX2" s="35"/>
      <c r="OY2" s="35"/>
      <c r="OZ2" s="35"/>
      <c r="PA2" s="35"/>
      <c r="PB2" s="35"/>
      <c r="PC2" s="35"/>
      <c r="PD2" s="35"/>
      <c r="PE2" s="35"/>
      <c r="PF2" s="35"/>
      <c r="PG2" s="35"/>
      <c r="PH2" s="35"/>
      <c r="PI2" s="35"/>
      <c r="PJ2" s="35"/>
      <c r="PK2" s="35"/>
      <c r="PL2" s="35"/>
      <c r="PM2" s="35"/>
      <c r="PN2" s="35"/>
      <c r="PO2" s="35"/>
      <c r="PP2" s="35"/>
      <c r="PQ2" s="35"/>
      <c r="PR2" s="35"/>
      <c r="PS2" s="35"/>
      <c r="PT2" s="35"/>
      <c r="PU2" s="35"/>
      <c r="PV2" s="35"/>
      <c r="PW2" s="35"/>
      <c r="PX2" s="35"/>
      <c r="PY2" s="35"/>
      <c r="PZ2" s="35"/>
      <c r="QA2" s="35"/>
      <c r="QB2" s="35"/>
      <c r="QC2" s="35"/>
      <c r="QD2" s="35"/>
      <c r="QE2" s="35"/>
      <c r="QF2" s="35"/>
      <c r="QG2" s="35"/>
      <c r="QH2" s="35"/>
      <c r="QI2" s="35"/>
      <c r="QJ2" s="35"/>
      <c r="QK2" s="35"/>
      <c r="QL2" s="35"/>
      <c r="QM2" s="35"/>
      <c r="QN2" s="35"/>
      <c r="QO2" s="35"/>
      <c r="QP2" s="35"/>
      <c r="QQ2" s="35"/>
      <c r="QR2" s="35"/>
      <c r="QS2" s="35"/>
      <c r="QT2" s="35"/>
      <c r="QU2" s="35"/>
      <c r="QV2" s="35"/>
      <c r="QW2" s="35"/>
      <c r="QX2" s="35"/>
      <c r="QY2" s="35"/>
      <c r="QZ2" s="35"/>
      <c r="RA2" s="35"/>
      <c r="RB2" s="35"/>
      <c r="RC2" s="35"/>
      <c r="RD2" s="35"/>
      <c r="RE2" s="35"/>
      <c r="RF2" s="35"/>
      <c r="RG2" s="35"/>
      <c r="RH2" s="35"/>
      <c r="RI2" s="35"/>
      <c r="RJ2" s="35"/>
      <c r="RK2" s="35"/>
      <c r="RL2" s="35"/>
      <c r="RM2" s="35"/>
      <c r="RN2" s="35"/>
      <c r="RO2" s="35"/>
      <c r="RP2" s="35"/>
      <c r="RQ2" s="35"/>
      <c r="RR2" s="35"/>
      <c r="RS2" s="35"/>
      <c r="RT2" s="35"/>
      <c r="RU2" s="35"/>
      <c r="RV2" s="35"/>
      <c r="RW2" s="35"/>
      <c r="RX2" s="35"/>
      <c r="RY2" s="35"/>
      <c r="RZ2" s="35"/>
      <c r="SA2" s="35"/>
      <c r="SB2" s="35"/>
      <c r="SC2" s="35"/>
      <c r="SD2" s="35"/>
      <c r="SE2" s="35"/>
      <c r="SF2" s="35"/>
      <c r="SG2" s="35"/>
      <c r="SH2" s="35"/>
      <c r="SI2" s="35"/>
      <c r="SJ2" s="35"/>
      <c r="SK2" s="35"/>
      <c r="SL2" s="35"/>
      <c r="SM2" s="35"/>
      <c r="SN2" s="35"/>
      <c r="SO2" s="35"/>
      <c r="SP2" s="35"/>
      <c r="SQ2" s="35"/>
      <c r="SR2" s="35"/>
      <c r="SS2" s="35"/>
      <c r="ST2" s="35"/>
      <c r="SU2" s="35"/>
      <c r="SV2" s="35"/>
      <c r="SW2" s="35"/>
      <c r="SX2" s="35"/>
      <c r="SY2" s="35"/>
      <c r="SZ2" s="35"/>
      <c r="TA2" s="35"/>
      <c r="TB2" s="35"/>
      <c r="TC2" s="35"/>
      <c r="TD2" s="35"/>
      <c r="TE2" s="35"/>
      <c r="TF2" s="35"/>
      <c r="TG2" s="35"/>
      <c r="TH2" s="35"/>
      <c r="TI2" s="35"/>
      <c r="TJ2" s="35"/>
      <c r="TK2" s="35"/>
      <c r="TL2" s="35"/>
      <c r="TM2" s="35"/>
      <c r="TN2" s="35"/>
      <c r="TO2" s="35"/>
      <c r="TP2" s="35"/>
      <c r="TQ2" s="35"/>
      <c r="TR2" s="35"/>
      <c r="TS2" s="35"/>
      <c r="TT2" s="35"/>
      <c r="TU2" s="35"/>
      <c r="TV2" s="35"/>
      <c r="TW2" s="35"/>
      <c r="TX2" s="35"/>
      <c r="TY2" s="35"/>
      <c r="TZ2" s="35"/>
      <c r="UA2" s="35"/>
      <c r="UB2" s="35"/>
      <c r="UC2" s="35"/>
      <c r="UD2" s="35"/>
      <c r="UE2" s="35"/>
      <c r="UF2" s="35"/>
      <c r="UG2" s="35"/>
      <c r="UH2" s="35"/>
      <c r="UI2" s="35"/>
      <c r="UJ2" s="35"/>
      <c r="UK2" s="35"/>
      <c r="UL2" s="35"/>
      <c r="UM2" s="35"/>
      <c r="UN2" s="35"/>
      <c r="UO2" s="35"/>
      <c r="UP2" s="35"/>
      <c r="UQ2" s="35"/>
      <c r="UR2" s="35"/>
      <c r="US2" s="35"/>
      <c r="UT2" s="35"/>
      <c r="UU2" s="35"/>
      <c r="UV2" s="35"/>
      <c r="UW2" s="35"/>
      <c r="UX2" s="35"/>
      <c r="UY2" s="35"/>
      <c r="UZ2" s="35"/>
      <c r="VA2" s="35"/>
      <c r="VB2" s="35"/>
      <c r="VC2" s="35"/>
      <c r="VD2" s="35"/>
      <c r="VE2" s="35"/>
      <c r="VF2" s="35"/>
      <c r="VG2" s="35"/>
      <c r="VH2" s="35"/>
      <c r="VI2" s="35"/>
      <c r="VJ2" s="35"/>
      <c r="VK2" s="35"/>
      <c r="VL2" s="35"/>
      <c r="VM2" s="35"/>
      <c r="VN2" s="35"/>
      <c r="VO2" s="35"/>
      <c r="VP2" s="35"/>
      <c r="VQ2" s="35"/>
      <c r="VR2" s="35"/>
      <c r="VS2" s="35"/>
      <c r="VT2" s="35"/>
      <c r="VU2" s="35"/>
      <c r="VV2" s="35"/>
      <c r="VW2" s="35"/>
      <c r="VX2" s="35"/>
      <c r="VY2" s="35"/>
      <c r="VZ2" s="35"/>
      <c r="WA2" s="35"/>
      <c r="WB2" s="35"/>
      <c r="WC2" s="35"/>
      <c r="WD2" s="35"/>
      <c r="WE2" s="35"/>
      <c r="WF2" s="35"/>
      <c r="WG2" s="35"/>
      <c r="WH2" s="35"/>
      <c r="WI2" s="35"/>
      <c r="WJ2" s="35"/>
      <c r="WK2" s="35"/>
      <c r="WL2" s="35"/>
      <c r="WM2" s="35"/>
      <c r="WN2" s="35"/>
      <c r="WO2" s="35"/>
      <c r="WP2" s="35"/>
      <c r="WQ2" s="35"/>
      <c r="WR2" s="35"/>
      <c r="WS2" s="35"/>
      <c r="WT2" s="35"/>
      <c r="WU2" s="35"/>
      <c r="WV2" s="35"/>
      <c r="WW2" s="35"/>
      <c r="WX2" s="35"/>
      <c r="WY2" s="35"/>
      <c r="WZ2" s="35"/>
      <c r="XA2" s="35"/>
      <c r="XB2" s="35"/>
      <c r="XC2" s="35"/>
      <c r="XD2" s="35"/>
      <c r="XE2" s="35"/>
      <c r="XF2" s="35"/>
      <c r="XG2" s="35"/>
      <c r="XH2" s="35"/>
      <c r="XI2" s="35"/>
      <c r="XJ2" s="35"/>
      <c r="XK2" s="35"/>
      <c r="XL2" s="35"/>
      <c r="XM2" s="35"/>
      <c r="XN2" s="35"/>
      <c r="XO2" s="35"/>
      <c r="XP2" s="35"/>
      <c r="XQ2" s="35"/>
      <c r="XR2" s="35"/>
      <c r="XS2" s="35"/>
      <c r="XT2" s="35"/>
      <c r="XU2" s="35"/>
      <c r="XV2" s="35"/>
      <c r="XW2" s="35"/>
      <c r="XX2" s="35"/>
      <c r="XY2" s="35"/>
      <c r="XZ2" s="35"/>
      <c r="YA2" s="35"/>
      <c r="YB2" s="35"/>
      <c r="YC2" s="35"/>
      <c r="YD2" s="35"/>
      <c r="YE2" s="35"/>
      <c r="YF2" s="35"/>
      <c r="YG2" s="35"/>
      <c r="YH2" s="35"/>
      <c r="YI2" s="35"/>
      <c r="YJ2" s="35"/>
      <c r="YK2" s="35"/>
      <c r="YL2" s="35"/>
      <c r="YM2" s="35"/>
      <c r="YN2" s="35"/>
      <c r="YO2" s="35"/>
      <c r="YP2" s="35"/>
      <c r="YQ2" s="35"/>
      <c r="YR2" s="35"/>
      <c r="YS2" s="35"/>
      <c r="YT2" s="35"/>
      <c r="YU2" s="35"/>
      <c r="YV2" s="35"/>
      <c r="YW2" s="35"/>
      <c r="YX2" s="35"/>
      <c r="YY2" s="35"/>
      <c r="YZ2" s="35"/>
      <c r="ZA2" s="35"/>
      <c r="ZB2" s="35"/>
      <c r="ZC2" s="35"/>
      <c r="ZD2" s="35"/>
      <c r="ZE2" s="35"/>
      <c r="ZF2" s="35"/>
      <c r="ZG2" s="35"/>
      <c r="ZH2" s="35"/>
      <c r="ZI2" s="35"/>
      <c r="ZJ2" s="35"/>
      <c r="ZK2" s="35"/>
      <c r="ZL2" s="35"/>
      <c r="ZM2" s="35"/>
      <c r="ZN2" s="35"/>
      <c r="ZO2" s="35"/>
      <c r="ZP2" s="35"/>
      <c r="ZQ2" s="35"/>
      <c r="ZR2" s="35"/>
      <c r="ZS2" s="35"/>
      <c r="ZT2" s="35"/>
      <c r="ZU2" s="35"/>
      <c r="ZV2" s="35"/>
      <c r="ZW2" s="35"/>
      <c r="ZX2" s="35"/>
      <c r="ZY2" s="35"/>
      <c r="ZZ2" s="35"/>
      <c r="AAA2" s="35"/>
      <c r="AAB2" s="35"/>
      <c r="AAC2" s="35"/>
      <c r="AAD2" s="35"/>
      <c r="AAE2" s="35"/>
      <c r="AAF2" s="35"/>
      <c r="AAG2" s="35"/>
      <c r="AAH2" s="35"/>
      <c r="AAI2" s="35"/>
      <c r="AAJ2" s="35"/>
      <c r="AAK2" s="35"/>
      <c r="AAL2" s="35"/>
      <c r="AAM2" s="35"/>
      <c r="AAN2" s="35"/>
      <c r="AAO2" s="35"/>
      <c r="AAP2" s="35"/>
      <c r="AAQ2" s="35"/>
      <c r="AAR2" s="35"/>
      <c r="AAS2" s="35"/>
      <c r="AAT2" s="35"/>
      <c r="AAU2" s="35"/>
      <c r="AAV2" s="35"/>
      <c r="AAW2" s="35"/>
      <c r="AAX2" s="35"/>
      <c r="AAY2" s="35"/>
      <c r="AAZ2" s="35"/>
      <c r="ABA2" s="35"/>
      <c r="ABB2" s="35"/>
      <c r="ABC2" s="35"/>
      <c r="ABD2" s="35"/>
      <c r="ABE2" s="35"/>
      <c r="ABF2" s="35"/>
      <c r="ABG2" s="35"/>
      <c r="ABH2" s="35"/>
      <c r="ABI2" s="35"/>
      <c r="ABJ2" s="35"/>
      <c r="ABK2" s="35"/>
      <c r="ABL2" s="35"/>
      <c r="ABM2" s="35"/>
      <c r="ABN2" s="35"/>
      <c r="ABO2" s="35"/>
      <c r="ABP2" s="35"/>
      <c r="ABQ2" s="35"/>
      <c r="ABR2" s="35"/>
      <c r="ABS2" s="35"/>
      <c r="ABT2" s="35"/>
      <c r="ABU2" s="35"/>
      <c r="ABV2" s="35"/>
      <c r="ABW2" s="35"/>
      <c r="ABX2" s="35"/>
      <c r="ABY2" s="35"/>
      <c r="ABZ2" s="35"/>
      <c r="ACA2" s="35"/>
      <c r="ACB2" s="35"/>
      <c r="ACC2" s="35"/>
      <c r="ACD2" s="35"/>
      <c r="ACE2" s="35"/>
      <c r="ACF2" s="35"/>
      <c r="ACG2" s="35"/>
      <c r="ACH2" s="35"/>
      <c r="ACI2" s="35"/>
      <c r="ACJ2" s="35"/>
      <c r="ACK2" s="35"/>
      <c r="ACL2" s="35"/>
      <c r="ACM2" s="35"/>
      <c r="ACN2" s="35"/>
      <c r="ACO2" s="35"/>
      <c r="ACP2" s="35"/>
      <c r="ACQ2" s="35"/>
      <c r="ACR2" s="35"/>
      <c r="ACS2" s="35"/>
      <c r="ACT2" s="35"/>
      <c r="ACU2" s="35"/>
      <c r="ACV2" s="35"/>
      <c r="ACW2" s="35"/>
      <c r="ACX2" s="35"/>
      <c r="ACY2" s="35"/>
      <c r="ACZ2" s="35"/>
      <c r="ADA2" s="35"/>
      <c r="ADB2" s="35"/>
      <c r="ADC2" s="35"/>
      <c r="ADD2" s="35"/>
      <c r="ADE2" s="35"/>
      <c r="ADF2" s="35"/>
      <c r="ADG2" s="35"/>
      <c r="ADH2" s="35"/>
      <c r="ADI2" s="35"/>
      <c r="ADJ2" s="35"/>
      <c r="ADK2" s="35"/>
      <c r="ADL2" s="35"/>
      <c r="ADM2" s="35"/>
      <c r="ADN2" s="35"/>
      <c r="ADO2" s="35"/>
      <c r="ADP2" s="35"/>
      <c r="ADQ2" s="35"/>
      <c r="ADR2" s="35"/>
      <c r="ADS2" s="35"/>
      <c r="ADT2" s="35"/>
      <c r="ADU2" s="35"/>
      <c r="ADV2" s="35"/>
      <c r="ADW2" s="35"/>
      <c r="ADX2" s="35"/>
      <c r="ADY2" s="35"/>
      <c r="ADZ2" s="35"/>
      <c r="AEA2" s="35"/>
      <c r="AEB2" s="35"/>
      <c r="AEC2" s="35"/>
      <c r="AED2" s="35"/>
      <c r="AEE2" s="35"/>
      <c r="AEF2" s="35"/>
      <c r="AEG2" s="35"/>
      <c r="AEH2" s="35"/>
      <c r="AEI2" s="35"/>
      <c r="AEJ2" s="35"/>
      <c r="AEK2" s="35"/>
      <c r="AEL2" s="35"/>
      <c r="AEM2" s="35"/>
      <c r="AEN2" s="35"/>
      <c r="AEO2" s="35"/>
      <c r="AEP2" s="35"/>
      <c r="AEQ2" s="35"/>
      <c r="AER2" s="35"/>
      <c r="AES2" s="35"/>
      <c r="AET2" s="35"/>
      <c r="AEU2" s="35"/>
      <c r="AEV2" s="35"/>
      <c r="AEW2" s="35"/>
      <c r="AEX2" s="35"/>
      <c r="AEY2" s="35"/>
      <c r="AEZ2" s="35"/>
      <c r="AFA2" s="35"/>
      <c r="AFB2" s="35"/>
      <c r="AFC2" s="35"/>
      <c r="AFD2" s="35"/>
      <c r="AFE2" s="35"/>
      <c r="AFF2" s="35"/>
      <c r="AFG2" s="35"/>
      <c r="AFH2" s="35"/>
      <c r="AFI2" s="35"/>
      <c r="AFJ2" s="35"/>
      <c r="AFK2" s="35"/>
      <c r="AFL2" s="35"/>
      <c r="AFM2" s="35"/>
      <c r="AFN2" s="35"/>
      <c r="AFO2" s="35"/>
      <c r="AFP2" s="35"/>
      <c r="AFQ2" s="35"/>
      <c r="AFR2" s="35"/>
      <c r="AFS2" s="35"/>
      <c r="AFT2" s="35"/>
      <c r="AFU2" s="35"/>
      <c r="AFV2" s="35"/>
      <c r="AFW2" s="35"/>
      <c r="AFX2" s="35"/>
      <c r="AFY2" s="35"/>
      <c r="AFZ2" s="35"/>
      <c r="AGA2" s="35"/>
      <c r="AGB2" s="35"/>
      <c r="AGC2" s="35"/>
      <c r="AGD2" s="35"/>
      <c r="AGE2" s="35"/>
      <c r="AGF2" s="35"/>
      <c r="AGG2" s="35"/>
      <c r="AGH2" s="35"/>
      <c r="AGI2" s="35"/>
      <c r="AGJ2" s="35"/>
      <c r="AGK2" s="35"/>
      <c r="AGL2" s="35"/>
      <c r="AGM2" s="35"/>
      <c r="AGN2" s="35"/>
      <c r="AGO2" s="35"/>
      <c r="AGP2" s="35"/>
      <c r="AGQ2" s="35"/>
      <c r="AGR2" s="35"/>
      <c r="AGS2" s="35"/>
      <c r="AGT2" s="35"/>
      <c r="AGU2" s="35"/>
      <c r="AGV2" s="35"/>
      <c r="AGW2" s="35"/>
      <c r="AGX2" s="35"/>
      <c r="AGY2" s="35"/>
      <c r="AGZ2" s="35"/>
      <c r="AHA2" s="35"/>
      <c r="AHB2" s="35"/>
      <c r="AHC2" s="35"/>
      <c r="AHD2" s="35"/>
      <c r="AHE2" s="35"/>
      <c r="AHF2" s="35"/>
      <c r="AHG2" s="35"/>
      <c r="AHH2" s="35"/>
      <c r="AHI2" s="35"/>
      <c r="AHJ2" s="35"/>
      <c r="AHK2" s="35"/>
      <c r="AHL2" s="35"/>
      <c r="AHM2" s="35"/>
      <c r="AHN2" s="35"/>
      <c r="AHO2" s="35"/>
      <c r="AHP2" s="35"/>
      <c r="AHQ2" s="35"/>
      <c r="AHR2" s="35"/>
      <c r="AHS2" s="35"/>
      <c r="AHT2" s="35"/>
      <c r="AHU2" s="35"/>
      <c r="AHV2" s="35"/>
      <c r="AHW2" s="35"/>
      <c r="AHX2" s="35"/>
      <c r="AHY2" s="35"/>
      <c r="AHZ2" s="35"/>
      <c r="AIA2" s="35"/>
      <c r="AIB2" s="35"/>
      <c r="AIC2" s="35"/>
      <c r="AID2" s="35"/>
      <c r="AIE2" s="35"/>
      <c r="AIF2" s="35"/>
      <c r="AIG2" s="35"/>
      <c r="AIH2" s="35"/>
      <c r="AII2" s="35"/>
      <c r="AIJ2" s="35"/>
      <c r="AIK2" s="35"/>
      <c r="AIL2" s="35"/>
      <c r="AIM2" s="35"/>
      <c r="AIN2" s="35"/>
      <c r="AIO2" s="35"/>
      <c r="AIP2" s="35"/>
      <c r="AIQ2" s="35"/>
      <c r="AIR2" s="35"/>
      <c r="AIS2" s="35"/>
      <c r="AIT2" s="35"/>
      <c r="AIU2" s="35"/>
      <c r="AIV2" s="35"/>
      <c r="AIW2" s="35"/>
      <c r="AIX2" s="35"/>
      <c r="AIY2" s="35"/>
      <c r="AIZ2" s="35"/>
      <c r="AJA2" s="35"/>
      <c r="AJB2" s="35"/>
      <c r="AJC2" s="35"/>
      <c r="AJD2" s="35"/>
      <c r="AJE2" s="35"/>
      <c r="AJF2" s="35"/>
      <c r="AJG2" s="35"/>
      <c r="AJH2" s="35"/>
      <c r="AJI2" s="35"/>
      <c r="AJJ2" s="35"/>
      <c r="AJK2" s="35"/>
      <c r="AJL2" s="35"/>
      <c r="AJM2" s="35"/>
      <c r="AJN2" s="35"/>
      <c r="AJO2" s="35"/>
      <c r="AJP2" s="35"/>
      <c r="AJQ2" s="35"/>
      <c r="AJR2" s="35"/>
      <c r="AJS2" s="35"/>
      <c r="AJT2" s="35"/>
      <c r="AJU2" s="35"/>
      <c r="AJV2" s="35"/>
      <c r="AJW2" s="35"/>
      <c r="AJX2" s="35"/>
      <c r="AJY2" s="35"/>
      <c r="AJZ2" s="35"/>
      <c r="AKA2" s="35"/>
      <c r="AKB2" s="35"/>
      <c r="AKC2" s="35"/>
      <c r="AKD2" s="35"/>
      <c r="AKE2" s="35"/>
      <c r="AKF2" s="35"/>
      <c r="AKG2" s="35"/>
      <c r="AKH2" s="35"/>
      <c r="AKI2" s="35"/>
      <c r="AKJ2" s="35"/>
      <c r="AKK2" s="35"/>
      <c r="AKL2" s="35"/>
      <c r="AKM2" s="35"/>
      <c r="AKN2" s="35"/>
      <c r="AKO2" s="35"/>
      <c r="AKP2" s="35"/>
      <c r="AKQ2" s="35"/>
      <c r="AKR2" s="35"/>
      <c r="AKS2" s="35"/>
      <c r="AKT2" s="35"/>
      <c r="AKU2" s="35"/>
      <c r="AKV2" s="35"/>
      <c r="AKW2" s="35"/>
      <c r="AKX2" s="35"/>
      <c r="AKY2" s="35"/>
      <c r="AKZ2" s="35"/>
      <c r="ALA2" s="35"/>
      <c r="ALB2" s="35"/>
      <c r="ALC2" s="35"/>
      <c r="ALD2" s="35"/>
      <c r="ALE2" s="35"/>
      <c r="ALF2" s="35"/>
      <c r="ALG2" s="35"/>
      <c r="ALH2" s="35"/>
      <c r="ALI2" s="35"/>
      <c r="ALJ2" s="35"/>
      <c r="ALK2" s="35"/>
      <c r="ALL2" s="35"/>
      <c r="ALM2" s="35"/>
      <c r="ALN2" s="35"/>
      <c r="ALO2" s="35"/>
      <c r="ALP2" s="35"/>
      <c r="ALQ2" s="35"/>
      <c r="ALR2" s="35"/>
      <c r="ALS2" s="35"/>
      <c r="ALT2" s="35"/>
      <c r="ALU2" s="35"/>
      <c r="ALV2" s="35"/>
      <c r="ALW2" s="35"/>
      <c r="ALX2" s="35"/>
      <c r="ALY2" s="35"/>
      <c r="ALZ2" s="35"/>
      <c r="AMA2" s="35"/>
      <c r="AMB2" s="35"/>
      <c r="AMC2" s="35"/>
      <c r="AMD2" s="35"/>
      <c r="AME2" s="35"/>
      <c r="AMF2" s="35"/>
      <c r="AMG2" s="35"/>
      <c r="AMH2" s="35"/>
      <c r="AMI2" s="35"/>
      <c r="AMJ2" s="1"/>
    </row>
    <row r="3" customFormat="false" ht="57.85" hidden="false" customHeight="false" outlineLevel="0" collapsed="false">
      <c r="A3" s="43" t="s">
        <v>414</v>
      </c>
      <c r="B3" s="43" t="s">
        <v>346</v>
      </c>
      <c r="C3" s="43" t="s">
        <v>706</v>
      </c>
      <c r="D3" s="43" t="s">
        <v>764</v>
      </c>
      <c r="E3" s="45" t="s">
        <v>765</v>
      </c>
      <c r="F3" s="45" t="s">
        <v>435</v>
      </c>
      <c r="G3" s="45" t="s">
        <v>438</v>
      </c>
      <c r="H3" s="43" t="s">
        <v>440</v>
      </c>
      <c r="I3" s="43" t="s">
        <v>601</v>
      </c>
      <c r="J3" s="43" t="s">
        <v>561</v>
      </c>
      <c r="K3" s="45" t="s">
        <v>766</v>
      </c>
      <c r="L3" s="49" t="s">
        <v>767</v>
      </c>
      <c r="M3" s="49" t="s">
        <v>768</v>
      </c>
      <c r="N3" s="110" t="s">
        <v>458</v>
      </c>
      <c r="O3" s="110" t="s">
        <v>769</v>
      </c>
      <c r="P3" s="110" t="s">
        <v>769</v>
      </c>
      <c r="Q3" s="110" t="s">
        <v>769</v>
      </c>
      <c r="R3" s="110" t="s">
        <v>769</v>
      </c>
      <c r="S3" s="110" t="s">
        <v>770</v>
      </c>
      <c r="T3" s="46" t="s">
        <v>771</v>
      </c>
      <c r="U3" s="46" t="s">
        <v>772</v>
      </c>
      <c r="V3" s="46" t="s">
        <v>773</v>
      </c>
      <c r="W3" s="46" t="s">
        <v>774</v>
      </c>
      <c r="X3" s="46" t="s">
        <v>775</v>
      </c>
      <c r="Y3" s="46" t="s">
        <v>776</v>
      </c>
      <c r="Z3" s="46" t="s">
        <v>777</v>
      </c>
      <c r="AA3" s="46" t="s">
        <v>778</v>
      </c>
      <c r="AB3" s="46" t="s">
        <v>779</v>
      </c>
      <c r="AC3" s="46" t="s">
        <v>780</v>
      </c>
      <c r="AD3" s="46" t="s">
        <v>781</v>
      </c>
      <c r="AE3" s="46" t="s">
        <v>782</v>
      </c>
      <c r="AF3" s="43" t="s">
        <v>442</v>
      </c>
      <c r="AG3" s="48" t="s">
        <v>454</v>
      </c>
    </row>
    <row r="4" customFormat="false" ht="9.7" hidden="false" customHeight="true" outlineLevel="0" collapsed="false">
      <c r="A4" s="39" t="str">
        <f aca="false">A3</f>
        <v>A</v>
      </c>
      <c r="B4" s="39" t="str">
        <f aca="false">B3</f>
        <v>Sort</v>
      </c>
      <c r="C4" s="39" t="str">
        <f aca="false">C3</f>
        <v>Link</v>
      </c>
      <c r="D4" s="39" t="str">
        <f aca="false">D3</f>
        <v>Parent Activity</v>
      </c>
      <c r="E4" s="51" t="str">
        <f aca="false">E3</f>
        <v>Activity</v>
      </c>
      <c r="F4" s="51" t="str">
        <f aca="false">F3</f>
        <v>Goal</v>
      </c>
      <c r="G4" s="51" t="str">
        <f aca="false">G3</f>
        <v>Planning Type</v>
      </c>
      <c r="H4" s="39" t="str">
        <f aca="false">H3</f>
        <v>Name</v>
      </c>
      <c r="I4" s="39" t="str">
        <f aca="false">I3</f>
        <v>Overview</v>
      </c>
      <c r="J4" s="111" t="str">
        <f aca="false">P3</f>
        <v>&lt;empty&gt;</v>
      </c>
      <c r="K4" s="51" t="str">
        <f aca="false">K3</f>
        <v>is Glob / Reg / Loc 
?</v>
      </c>
      <c r="L4" s="51" t="str">
        <f aca="false">L3</f>
        <v>Is Road map 
?</v>
      </c>
      <c r="M4" s="51" t="str">
        <f aca="false">M3</f>
        <v>Hard Deadline</v>
      </c>
      <c r="N4" s="51" t="str">
        <f aca="false">N3</f>
        <v>Sander</v>
      </c>
      <c r="O4" s="51" t="str">
        <f aca="false">O3</f>
        <v>&lt;empty&gt;</v>
      </c>
      <c r="P4" s="73" t="str">
        <f aca="false">P3</f>
        <v>&lt;empty&gt;</v>
      </c>
      <c r="Q4" s="51" t="str">
        <f aca="false">Q3</f>
        <v>&lt;empty&gt;</v>
      </c>
      <c r="R4" s="51" t="str">
        <f aca="false">I3</f>
        <v>Overview</v>
      </c>
      <c r="S4" s="51" t="str">
        <f aca="false">K3</f>
        <v>is Glob / Reg / Loc 
?</v>
      </c>
      <c r="T4" s="51" t="str">
        <f aca="false">L3</f>
        <v>Is Road map 
?</v>
      </c>
      <c r="U4" s="51"/>
      <c r="V4" s="51"/>
      <c r="W4" s="51"/>
      <c r="X4" s="51"/>
      <c r="Y4" s="51"/>
      <c r="Z4" s="111" t="str">
        <f aca="false">M3</f>
        <v>Hard Deadline</v>
      </c>
      <c r="AA4" s="111" t="str">
        <f aca="false">N3</f>
        <v>Sander</v>
      </c>
      <c r="AB4" s="111" t="str">
        <f aca="false">O3</f>
        <v>&lt;empty&gt;</v>
      </c>
      <c r="AC4" s="111"/>
      <c r="AD4" s="111"/>
      <c r="AE4" s="111"/>
      <c r="AF4" s="51" t="str">
        <f aca="false">Q3</f>
        <v>&lt;empty&gt;</v>
      </c>
      <c r="AG4" s="52" t="str">
        <f aca="false">AG3</f>
        <v>Z</v>
      </c>
    </row>
    <row r="5" customFormat="false" ht="12.8" hidden="false" customHeight="true" outlineLevel="0" collapsed="false">
      <c r="A5" s="54"/>
      <c r="B5" s="112" t="str">
        <f aca="false">IF(OR(G5="Routine", G5="Sub", G5="drill"), 0&amp;E5&amp;F5&amp;C5,IF(OR(G5="Project", G5="Stream", G5="Action"), 1&amp;E5&amp;F5&amp;C5,"ZZZ"))</f>
        <v>0EQDmgt1</v>
      </c>
      <c r="C5" s="54" t="n">
        <v>1</v>
      </c>
      <c r="D5" s="54"/>
      <c r="E5" s="62" t="s">
        <v>783</v>
      </c>
      <c r="F5" s="62" t="s">
        <v>459</v>
      </c>
      <c r="G5" s="62" t="s">
        <v>462</v>
      </c>
      <c r="H5" s="113" t="s">
        <v>784</v>
      </c>
      <c r="I5" s="113"/>
      <c r="J5" s="114"/>
      <c r="K5" s="62"/>
      <c r="L5" s="70"/>
      <c r="M5" s="40"/>
      <c r="N5" s="68" t="n">
        <v>20</v>
      </c>
      <c r="O5" s="68" t="s">
        <v>457</v>
      </c>
      <c r="P5" s="68" t="s">
        <v>457</v>
      </c>
      <c r="Q5" s="68" t="s">
        <v>457</v>
      </c>
      <c r="R5" s="68" t="s">
        <v>457</v>
      </c>
      <c r="S5" s="115" t="n">
        <f aca="false">SUM(N5:R5)</f>
        <v>20</v>
      </c>
      <c r="T5" s="116"/>
      <c r="U5" s="116"/>
      <c r="V5" s="116"/>
      <c r="W5" s="116"/>
      <c r="X5" s="116"/>
      <c r="Y5" s="116"/>
      <c r="Z5" s="116"/>
      <c r="AA5" s="116"/>
      <c r="AB5" s="116"/>
      <c r="AC5" s="116"/>
      <c r="AD5" s="116"/>
      <c r="AE5" s="116"/>
      <c r="AF5" s="54" t="s">
        <v>785</v>
      </c>
      <c r="AG5" s="64" t="s">
        <v>364</v>
      </c>
    </row>
    <row r="6" customFormat="false" ht="12.8" hidden="false" customHeight="false" outlineLevel="0" collapsed="false">
      <c r="A6" s="54"/>
      <c r="B6" s="112" t="str">
        <f aca="false">IF(OR(G6="Routine", G6="Sub", G6="drill"), 0&amp;E6&amp;F6&amp;C6,IF(OR(G6="Project", G6="Stream", G6="Action"), 1&amp;E6&amp;F6&amp;C6,"ZZZ"))</f>
        <v>0EQDmgt2</v>
      </c>
      <c r="C6" s="54" t="n">
        <v>2</v>
      </c>
      <c r="D6" s="54"/>
      <c r="E6" s="62" t="s">
        <v>783</v>
      </c>
      <c r="F6" s="62" t="s">
        <v>459</v>
      </c>
      <c r="G6" s="62" t="s">
        <v>462</v>
      </c>
      <c r="H6" s="113" t="s">
        <v>786</v>
      </c>
      <c r="I6" s="113"/>
      <c r="J6" s="114"/>
      <c r="K6" s="62"/>
      <c r="L6" s="70"/>
      <c r="M6" s="40"/>
      <c r="N6" s="68" t="n">
        <v>20</v>
      </c>
      <c r="O6" s="68" t="s">
        <v>457</v>
      </c>
      <c r="P6" s="68" t="s">
        <v>457</v>
      </c>
      <c r="Q6" s="68" t="s">
        <v>457</v>
      </c>
      <c r="R6" s="68" t="s">
        <v>457</v>
      </c>
      <c r="S6" s="115" t="n">
        <f aca="false">SUM(N6:R6)</f>
        <v>20</v>
      </c>
      <c r="T6" s="116"/>
      <c r="U6" s="116"/>
      <c r="V6" s="116"/>
      <c r="W6" s="116"/>
      <c r="X6" s="116"/>
      <c r="Y6" s="116"/>
      <c r="Z6" s="116"/>
      <c r="AA6" s="116"/>
      <c r="AB6" s="116"/>
      <c r="AC6" s="116"/>
      <c r="AD6" s="116"/>
      <c r="AE6" s="116"/>
      <c r="AF6" s="54" t="s">
        <v>785</v>
      </c>
      <c r="AG6" s="64" t="s">
        <v>364</v>
      </c>
    </row>
    <row r="7" customFormat="false" ht="12.8" hidden="false" customHeight="false" outlineLevel="0" collapsed="false">
      <c r="A7" s="54"/>
      <c r="B7" s="112" t="str">
        <f aca="false">IF(OR(G7="Routine", G7="Sub", G7="drill"), 0&amp;E7&amp;F7&amp;C7,IF(OR(G7="Project", G7="Stream", G7="Action"), 1&amp;E7&amp;F7&amp;C7,"ZZZ"))</f>
        <v>0EQDmgt3</v>
      </c>
      <c r="C7" s="54" t="n">
        <v>3</v>
      </c>
      <c r="D7" s="54"/>
      <c r="E7" s="62" t="s">
        <v>783</v>
      </c>
      <c r="F7" s="62" t="s">
        <v>459</v>
      </c>
      <c r="G7" s="62" t="s">
        <v>462</v>
      </c>
      <c r="H7" s="113" t="s">
        <v>787</v>
      </c>
      <c r="I7" s="113"/>
      <c r="J7" s="114"/>
      <c r="K7" s="62"/>
      <c r="L7" s="70"/>
      <c r="M7" s="40"/>
      <c r="N7" s="68" t="n">
        <v>20</v>
      </c>
      <c r="O7" s="68" t="s">
        <v>457</v>
      </c>
      <c r="P7" s="68" t="s">
        <v>457</v>
      </c>
      <c r="Q7" s="68" t="s">
        <v>457</v>
      </c>
      <c r="R7" s="68" t="s">
        <v>457</v>
      </c>
      <c r="S7" s="115" t="n">
        <f aca="false">SUM(N7:R7)</f>
        <v>20</v>
      </c>
      <c r="T7" s="116"/>
      <c r="U7" s="116"/>
      <c r="V7" s="116"/>
      <c r="W7" s="116"/>
      <c r="X7" s="116"/>
      <c r="Y7" s="116"/>
      <c r="Z7" s="116"/>
      <c r="AA7" s="116"/>
      <c r="AB7" s="116"/>
      <c r="AC7" s="116"/>
      <c r="AD7" s="116"/>
      <c r="AE7" s="116"/>
      <c r="AF7" s="54" t="s">
        <v>785</v>
      </c>
      <c r="AG7" s="64" t="s">
        <v>364</v>
      </c>
    </row>
    <row r="8" customFormat="false" ht="12.8" hidden="false" customHeight="false" outlineLevel="0" collapsed="false">
      <c r="A8" s="54"/>
      <c r="B8" s="112" t="str">
        <f aca="false">IF(OR(G8="Routine", G8="Sub", G8="drill"), 0&amp;E8&amp;F8&amp;C8,IF(OR(G8="Project", G8="Stream", G8="Action"), 1&amp;E8&amp;F8&amp;C8,"ZZZ"))</f>
        <v>0EQDmgt4</v>
      </c>
      <c r="C8" s="54" t="n">
        <v>4</v>
      </c>
      <c r="D8" s="54"/>
      <c r="E8" s="62" t="s">
        <v>783</v>
      </c>
      <c r="F8" s="62" t="s">
        <v>459</v>
      </c>
      <c r="G8" s="62" t="s">
        <v>462</v>
      </c>
      <c r="H8" s="113" t="s">
        <v>788</v>
      </c>
      <c r="I8" s="113"/>
      <c r="J8" s="114"/>
      <c r="K8" s="62"/>
      <c r="L8" s="70"/>
      <c r="M8" s="40"/>
      <c r="N8" s="68" t="n">
        <v>20</v>
      </c>
      <c r="O8" s="68" t="s">
        <v>457</v>
      </c>
      <c r="P8" s="68" t="s">
        <v>457</v>
      </c>
      <c r="Q8" s="68" t="s">
        <v>457</v>
      </c>
      <c r="R8" s="68" t="s">
        <v>457</v>
      </c>
      <c r="S8" s="115" t="n">
        <f aca="false">SUM(N8:R8)</f>
        <v>20</v>
      </c>
      <c r="T8" s="116"/>
      <c r="U8" s="116"/>
      <c r="V8" s="116"/>
      <c r="W8" s="116"/>
      <c r="X8" s="116"/>
      <c r="Y8" s="116"/>
      <c r="Z8" s="116"/>
      <c r="AA8" s="116"/>
      <c r="AB8" s="116"/>
      <c r="AC8" s="116"/>
      <c r="AD8" s="116"/>
      <c r="AE8" s="116"/>
      <c r="AF8" s="54" t="s">
        <v>785</v>
      </c>
      <c r="AG8" s="64" t="s">
        <v>364</v>
      </c>
    </row>
    <row r="9" customFormat="false" ht="12.8" hidden="false" customHeight="false" outlineLevel="0" collapsed="false">
      <c r="A9" s="54"/>
      <c r="B9" s="112" t="str">
        <f aca="false">IF(OR(G9="Routine", G9="Sub", G9="drill"), 0&amp;E9&amp;F9&amp;C9,IF(OR(G9="Project", G9="Stream", G9="Action"), 1&amp;E9&amp;F9&amp;C9,"ZZZ"))</f>
        <v>0EQDovh</v>
      </c>
      <c r="C9" s="54"/>
      <c r="D9" s="54"/>
      <c r="E9" s="62" t="s">
        <v>783</v>
      </c>
      <c r="F9" s="62" t="s">
        <v>789</v>
      </c>
      <c r="G9" s="62" t="s">
        <v>462</v>
      </c>
      <c r="H9" s="113" t="s">
        <v>790</v>
      </c>
      <c r="I9" s="113"/>
      <c r="J9" s="114"/>
      <c r="K9" s="62"/>
      <c r="L9" s="70"/>
      <c r="M9" s="40"/>
      <c r="N9" s="68"/>
      <c r="O9" s="68"/>
      <c r="P9" s="117"/>
      <c r="Q9" s="68"/>
      <c r="R9" s="68"/>
      <c r="S9" s="115" t="n">
        <f aca="false">SUM(N9:R9)</f>
        <v>0</v>
      </c>
      <c r="T9" s="116"/>
      <c r="U9" s="116"/>
      <c r="V9" s="116"/>
      <c r="W9" s="116"/>
      <c r="X9" s="116"/>
      <c r="Y9" s="116"/>
      <c r="Z9" s="116"/>
      <c r="AA9" s="116"/>
      <c r="AB9" s="116"/>
      <c r="AC9" s="116"/>
      <c r="AD9" s="116"/>
      <c r="AE9" s="116"/>
      <c r="AF9" s="54" t="s">
        <v>785</v>
      </c>
      <c r="AG9" s="64" t="s">
        <v>364</v>
      </c>
    </row>
    <row r="10" customFormat="false" ht="12.8" hidden="false" customHeight="false" outlineLevel="0" collapsed="false">
      <c r="A10" s="54"/>
      <c r="B10" s="112" t="str">
        <f aca="false">IF(OR(G10="Routine", G10="Sub", G10="drill"), 0&amp;E10&amp;F10&amp;C10,IF(OR(G10="Project", G10="Stream", G10="Action"), 1&amp;E10&amp;F10&amp;C10,"ZZZ"))</f>
        <v>0EQDovh</v>
      </c>
      <c r="C10" s="54"/>
      <c r="D10" s="54"/>
      <c r="E10" s="62" t="s">
        <v>783</v>
      </c>
      <c r="F10" s="62" t="s">
        <v>789</v>
      </c>
      <c r="G10" s="62" t="s">
        <v>462</v>
      </c>
      <c r="H10" s="113" t="s">
        <v>791</v>
      </c>
      <c r="I10" s="113"/>
      <c r="J10" s="114"/>
      <c r="K10" s="62"/>
      <c r="L10" s="70"/>
      <c r="M10" s="40"/>
      <c r="N10" s="68"/>
      <c r="O10" s="68"/>
      <c r="P10" s="117"/>
      <c r="Q10" s="68"/>
      <c r="R10" s="68"/>
      <c r="S10" s="115" t="n">
        <f aca="false">SUM(N10:R10)</f>
        <v>0</v>
      </c>
      <c r="T10" s="116"/>
      <c r="U10" s="116"/>
      <c r="V10" s="116"/>
      <c r="W10" s="116"/>
      <c r="X10" s="116"/>
      <c r="Y10" s="116"/>
      <c r="Z10" s="116"/>
      <c r="AA10" s="116"/>
      <c r="AB10" s="116"/>
      <c r="AC10" s="116"/>
      <c r="AD10" s="116"/>
      <c r="AE10" s="116"/>
      <c r="AF10" s="54" t="s">
        <v>785</v>
      </c>
      <c r="AG10" s="64" t="s">
        <v>364</v>
      </c>
    </row>
    <row r="11" customFormat="false" ht="12.8" hidden="false" customHeight="false" outlineLevel="0" collapsed="false">
      <c r="A11" s="54"/>
      <c r="B11" s="112" t="str">
        <f aca="false">IF(OR(G11="Routine", G11="Sub", G11="drill"), 0&amp;E11&amp;F11&amp;C11,IF(OR(G11="Project", G11="Stream", G11="Action"), 1&amp;E11&amp;F11&amp;C11,"ZZZ"))</f>
        <v>0EQDovh</v>
      </c>
      <c r="C11" s="54"/>
      <c r="D11" s="54"/>
      <c r="E11" s="62" t="s">
        <v>783</v>
      </c>
      <c r="F11" s="62" t="s">
        <v>789</v>
      </c>
      <c r="G11" s="62" t="s">
        <v>462</v>
      </c>
      <c r="H11" s="113" t="s">
        <v>792</v>
      </c>
      <c r="I11" s="113"/>
      <c r="J11" s="114"/>
      <c r="K11" s="62"/>
      <c r="L11" s="70"/>
      <c r="M11" s="40"/>
      <c r="N11" s="68"/>
      <c r="O11" s="68"/>
      <c r="P11" s="117"/>
      <c r="Q11" s="68"/>
      <c r="R11" s="68"/>
      <c r="S11" s="115" t="n">
        <f aca="false">SUM(N11:R11)</f>
        <v>0</v>
      </c>
      <c r="T11" s="116"/>
      <c r="U11" s="116"/>
      <c r="V11" s="116"/>
      <c r="W11" s="116"/>
      <c r="X11" s="116"/>
      <c r="Y11" s="116"/>
      <c r="Z11" s="116"/>
      <c r="AA11" s="116"/>
      <c r="AB11" s="116"/>
      <c r="AC11" s="116"/>
      <c r="AD11" s="116"/>
      <c r="AE11" s="116"/>
      <c r="AF11" s="54" t="s">
        <v>785</v>
      </c>
      <c r="AG11" s="64" t="s">
        <v>364</v>
      </c>
    </row>
    <row r="12" customFormat="false" ht="12.8" hidden="false" customHeight="false" outlineLevel="0" collapsed="false">
      <c r="A12" s="54"/>
      <c r="B12" s="112" t="str">
        <f aca="false">IF(OR(G12="Routine", G12="Sub", G12="drill"), 0&amp;E12&amp;F12&amp;C12,IF(OR(G12="Project", G12="Stream", G12="Action"), 1&amp;E12&amp;F12&amp;C12,"ZZZ"))</f>
        <v>0EQDovs</v>
      </c>
      <c r="C12" s="54"/>
      <c r="D12" s="54"/>
      <c r="E12" s="62" t="s">
        <v>783</v>
      </c>
      <c r="F12" s="62" t="s">
        <v>793</v>
      </c>
      <c r="G12" s="62" t="s">
        <v>462</v>
      </c>
      <c r="H12" s="113" t="s">
        <v>794</v>
      </c>
      <c r="I12" s="113"/>
      <c r="J12" s="114"/>
      <c r="K12" s="62"/>
      <c r="L12" s="70"/>
      <c r="M12" s="40"/>
      <c r="N12" s="68"/>
      <c r="O12" s="68"/>
      <c r="P12" s="117"/>
      <c r="Q12" s="68"/>
      <c r="R12" s="68"/>
      <c r="S12" s="115" t="n">
        <f aca="false">SUM(N12:R12)</f>
        <v>0</v>
      </c>
      <c r="T12" s="116"/>
      <c r="U12" s="116"/>
      <c r="V12" s="116"/>
      <c r="W12" s="116"/>
      <c r="X12" s="116"/>
      <c r="Y12" s="116"/>
      <c r="Z12" s="116"/>
      <c r="AA12" s="116"/>
      <c r="AB12" s="116"/>
      <c r="AC12" s="116"/>
      <c r="AD12" s="116"/>
      <c r="AE12" s="116"/>
      <c r="AF12" s="54" t="s">
        <v>785</v>
      </c>
      <c r="AG12" s="64" t="s">
        <v>364</v>
      </c>
    </row>
    <row r="13" customFormat="false" ht="12.8" hidden="false" customHeight="false" outlineLevel="0" collapsed="false">
      <c r="A13" s="54"/>
      <c r="B13" s="112" t="str">
        <f aca="false">IF(OR(G13="Routine", G13="Sub", G13="drill"), 0&amp;E13&amp;F13&amp;C13,IF(OR(G13="Project", G13="Stream", G13="Action"), 1&amp;E13&amp;F13&amp;C13,"ZZZ"))</f>
        <v>0EQDovs</v>
      </c>
      <c r="C13" s="54"/>
      <c r="D13" s="54"/>
      <c r="E13" s="62" t="s">
        <v>783</v>
      </c>
      <c r="F13" s="62" t="s">
        <v>793</v>
      </c>
      <c r="G13" s="62" t="s">
        <v>462</v>
      </c>
      <c r="H13" s="113" t="s">
        <v>795</v>
      </c>
      <c r="I13" s="113"/>
      <c r="J13" s="114"/>
      <c r="K13" s="62"/>
      <c r="L13" s="70"/>
      <c r="M13" s="40"/>
      <c r="N13" s="68"/>
      <c r="O13" s="68"/>
      <c r="P13" s="117"/>
      <c r="Q13" s="68"/>
      <c r="R13" s="68"/>
      <c r="S13" s="115" t="n">
        <f aca="false">SUM(N13:R13)</f>
        <v>0</v>
      </c>
      <c r="T13" s="116"/>
      <c r="U13" s="116"/>
      <c r="V13" s="116"/>
      <c r="W13" s="116"/>
      <c r="X13" s="116"/>
      <c r="Y13" s="116"/>
      <c r="Z13" s="116"/>
      <c r="AA13" s="116"/>
      <c r="AB13" s="116"/>
      <c r="AC13" s="116"/>
      <c r="AD13" s="116"/>
      <c r="AE13" s="116"/>
      <c r="AF13" s="54" t="s">
        <v>785</v>
      </c>
      <c r="AG13" s="64" t="s">
        <v>364</v>
      </c>
    </row>
    <row r="14" customFormat="false" ht="12.8" hidden="false" customHeight="false" outlineLevel="0" collapsed="false">
      <c r="A14" s="54"/>
      <c r="B14" s="112" t="str">
        <f aca="false">IF(OR(G14="Routine", G14="Sub", G14="drill"), 0&amp;E14&amp;F14&amp;C14,IF(OR(G14="Project", G14="Stream", G14="Action"), 1&amp;E14&amp;F14&amp;C14,"ZZZ"))</f>
        <v>0EQDovs</v>
      </c>
      <c r="C14" s="54"/>
      <c r="D14" s="54"/>
      <c r="E14" s="62" t="s">
        <v>783</v>
      </c>
      <c r="F14" s="62" t="s">
        <v>793</v>
      </c>
      <c r="G14" s="62" t="s">
        <v>462</v>
      </c>
      <c r="H14" s="113" t="s">
        <v>796</v>
      </c>
      <c r="I14" s="113"/>
      <c r="J14" s="114"/>
      <c r="K14" s="62"/>
      <c r="L14" s="70"/>
      <c r="M14" s="40"/>
      <c r="N14" s="68"/>
      <c r="O14" s="68"/>
      <c r="P14" s="117"/>
      <c r="Q14" s="68"/>
      <c r="R14" s="68"/>
      <c r="S14" s="115" t="n">
        <f aca="false">SUM(N14:R14)</f>
        <v>0</v>
      </c>
      <c r="T14" s="116"/>
      <c r="U14" s="116"/>
      <c r="V14" s="116"/>
      <c r="W14" s="116"/>
      <c r="X14" s="116"/>
      <c r="Y14" s="116"/>
      <c r="Z14" s="116"/>
      <c r="AA14" s="116"/>
      <c r="AB14" s="116"/>
      <c r="AC14" s="116"/>
      <c r="AD14" s="116"/>
      <c r="AE14" s="116"/>
      <c r="AF14" s="54" t="s">
        <v>785</v>
      </c>
      <c r="AG14" s="64" t="s">
        <v>364</v>
      </c>
    </row>
    <row r="15" customFormat="false" ht="12.8" hidden="false" customHeight="false" outlineLevel="0" collapsed="false">
      <c r="A15" s="54"/>
      <c r="B15" s="112" t="str">
        <f aca="false">IF(OR(G15="Routine", G15="Sub", G15="drill"), 0&amp;E15&amp;F15&amp;C15,IF(OR(G15="Project", G15="Stream", G15="Action"), 1&amp;E15&amp;F15&amp;C15,"ZZZ"))</f>
        <v>0EQDovsPerform Controls</v>
      </c>
      <c r="C15" s="113" t="s">
        <v>797</v>
      </c>
      <c r="D15" s="113"/>
      <c r="E15" s="62" t="s">
        <v>783</v>
      </c>
      <c r="F15" s="62" t="s">
        <v>793</v>
      </c>
      <c r="G15" s="62" t="s">
        <v>462</v>
      </c>
      <c r="H15" s="113" t="s">
        <v>797</v>
      </c>
      <c r="I15" s="113"/>
      <c r="J15" s="114"/>
      <c r="K15" s="62"/>
      <c r="L15" s="70"/>
      <c r="M15" s="40"/>
      <c r="N15" s="68"/>
      <c r="O15" s="68"/>
      <c r="P15" s="117"/>
      <c r="Q15" s="68"/>
      <c r="R15" s="68"/>
      <c r="S15" s="115" t="n">
        <f aca="false">SUM(N15:R15)</f>
        <v>0</v>
      </c>
      <c r="T15" s="116"/>
      <c r="U15" s="116"/>
      <c r="V15" s="116"/>
      <c r="W15" s="116"/>
      <c r="X15" s="116"/>
      <c r="Y15" s="116"/>
      <c r="Z15" s="116"/>
      <c r="AA15" s="116"/>
      <c r="AB15" s="116"/>
      <c r="AC15" s="116"/>
      <c r="AD15" s="116"/>
      <c r="AE15" s="116"/>
      <c r="AF15" s="54" t="s">
        <v>785</v>
      </c>
      <c r="AG15" s="64" t="s">
        <v>364</v>
      </c>
    </row>
    <row r="16" customFormat="false" ht="12.8" hidden="false" customHeight="false" outlineLevel="0" collapsed="false">
      <c r="A16" s="54"/>
      <c r="B16" s="112" t="str">
        <f aca="false">IF(OR(G16="Routine", G16="Sub", G16="drill"), 0&amp;E16&amp;F16&amp;C16,IF(OR(G16="Project", G16="Stream", G16="Action"), 1&amp;E16&amp;F16&amp;C16,"ZZZ"))</f>
        <v>0EQDovsPerform Controls1</v>
      </c>
      <c r="C16" s="113" t="s">
        <v>798</v>
      </c>
      <c r="D16" s="113"/>
      <c r="E16" s="62" t="s">
        <v>783</v>
      </c>
      <c r="F16" s="62" t="s">
        <v>793</v>
      </c>
      <c r="G16" s="62" t="s">
        <v>799</v>
      </c>
      <c r="H16" s="113" t="s">
        <v>800</v>
      </c>
      <c r="I16" s="113"/>
      <c r="J16" s="114"/>
      <c r="K16" s="62"/>
      <c r="L16" s="70"/>
      <c r="M16" s="40"/>
      <c r="N16" s="68"/>
      <c r="O16" s="68"/>
      <c r="P16" s="117"/>
      <c r="Q16" s="68"/>
      <c r="R16" s="68"/>
      <c r="S16" s="115" t="n">
        <f aca="false">SUM(N16:R16)</f>
        <v>0</v>
      </c>
      <c r="T16" s="118"/>
      <c r="U16" s="118"/>
      <c r="V16" s="118"/>
      <c r="W16" s="118"/>
      <c r="X16" s="118"/>
      <c r="Y16" s="118"/>
      <c r="Z16" s="118"/>
      <c r="AA16" s="118"/>
      <c r="AB16" s="118"/>
      <c r="AC16" s="118"/>
      <c r="AD16" s="118"/>
      <c r="AE16" s="118"/>
      <c r="AF16" s="54" t="s">
        <v>785</v>
      </c>
      <c r="AG16" s="64" t="s">
        <v>364</v>
      </c>
    </row>
    <row r="17" customFormat="false" ht="12.8" hidden="false" customHeight="false" outlineLevel="0" collapsed="false">
      <c r="A17" s="54"/>
      <c r="B17" s="112" t="str">
        <f aca="false">IF(OR(G17="Routine", G17="Sub", G17="drill"), 0&amp;E17&amp;F17&amp;C17,IF(OR(G17="Project", G17="Stream", G17="Action"), 1&amp;E17&amp;F17&amp;C17,"ZZZ"))</f>
        <v>0EQDovsPerform Controls1a</v>
      </c>
      <c r="C17" s="113" t="s">
        <v>801</v>
      </c>
      <c r="D17" s="113"/>
      <c r="E17" s="62" t="s">
        <v>783</v>
      </c>
      <c r="F17" s="62" t="s">
        <v>793</v>
      </c>
      <c r="G17" s="62" t="s">
        <v>802</v>
      </c>
      <c r="H17" s="113" t="s">
        <v>803</v>
      </c>
      <c r="I17" s="113"/>
      <c r="J17" s="114"/>
      <c r="K17" s="62"/>
      <c r="L17" s="70"/>
      <c r="M17" s="40"/>
      <c r="N17" s="68"/>
      <c r="O17" s="68"/>
      <c r="P17" s="117"/>
      <c r="Q17" s="68"/>
      <c r="R17" s="68"/>
      <c r="S17" s="115" t="n">
        <f aca="false">SUM(N17:R17)</f>
        <v>0</v>
      </c>
      <c r="T17" s="119"/>
      <c r="U17" s="119"/>
      <c r="V17" s="119"/>
      <c r="W17" s="119"/>
      <c r="X17" s="119"/>
      <c r="Y17" s="119"/>
      <c r="Z17" s="119"/>
      <c r="AA17" s="119"/>
      <c r="AB17" s="119"/>
      <c r="AC17" s="119"/>
      <c r="AD17" s="119"/>
      <c r="AE17" s="119"/>
      <c r="AF17" s="54" t="s">
        <v>785</v>
      </c>
      <c r="AG17" s="64" t="s">
        <v>364</v>
      </c>
    </row>
    <row r="18" customFormat="false" ht="12.8" hidden="false" customHeight="false" outlineLevel="0" collapsed="false">
      <c r="A18" s="54"/>
      <c r="B18" s="112" t="str">
        <f aca="false">IF(OR(G18="Routine", G18="Sub", G18="drill"), 0&amp;E18&amp;F18&amp;C18,IF(OR(G18="Project", G18="Stream", G18="Action"), 1&amp;E18&amp;F18&amp;C18,"ZZZ"))</f>
        <v>0EQDprd</v>
      </c>
      <c r="C18" s="54"/>
      <c r="D18" s="54"/>
      <c r="E18" s="62" t="s">
        <v>783</v>
      </c>
      <c r="F18" s="62" t="s">
        <v>618</v>
      </c>
      <c r="G18" s="62" t="s">
        <v>462</v>
      </c>
      <c r="H18" s="113" t="s">
        <v>804</v>
      </c>
      <c r="I18" s="113"/>
      <c r="J18" s="114"/>
      <c r="K18" s="62"/>
      <c r="L18" s="70"/>
      <c r="M18" s="40"/>
      <c r="N18" s="68"/>
      <c r="O18" s="68"/>
      <c r="P18" s="117"/>
      <c r="Q18" s="68"/>
      <c r="R18" s="68"/>
      <c r="S18" s="115" t="n">
        <f aca="false">SUM(N18:R18)</f>
        <v>0</v>
      </c>
      <c r="T18" s="116"/>
      <c r="U18" s="116"/>
      <c r="V18" s="116"/>
      <c r="W18" s="116"/>
      <c r="X18" s="116"/>
      <c r="Y18" s="116"/>
      <c r="Z18" s="116"/>
      <c r="AA18" s="116"/>
      <c r="AB18" s="116"/>
      <c r="AC18" s="116"/>
      <c r="AD18" s="116"/>
      <c r="AE18" s="116"/>
      <c r="AF18" s="54" t="s">
        <v>785</v>
      </c>
      <c r="AG18" s="64" t="s">
        <v>364</v>
      </c>
    </row>
    <row r="19" customFormat="false" ht="12.8" hidden="false" customHeight="false" outlineLevel="0" collapsed="false">
      <c r="A19" s="54"/>
      <c r="B19" s="112" t="str">
        <f aca="false">IF(OR(G19="Routine", G19="Sub", G19="drill"), 0&amp;E19&amp;F19&amp;C19,IF(OR(G19="Project", G19="Stream", G19="Action"), 1&amp;E19&amp;F19&amp;C19,"ZZZ"))</f>
        <v>0EQDprd</v>
      </c>
      <c r="C19" s="54"/>
      <c r="D19" s="54"/>
      <c r="E19" s="62" t="s">
        <v>783</v>
      </c>
      <c r="F19" s="62" t="s">
        <v>618</v>
      </c>
      <c r="G19" s="62" t="s">
        <v>462</v>
      </c>
      <c r="H19" s="113" t="s">
        <v>805</v>
      </c>
      <c r="I19" s="113"/>
      <c r="J19" s="114"/>
      <c r="K19" s="62"/>
      <c r="L19" s="70"/>
      <c r="M19" s="40"/>
      <c r="N19" s="68"/>
      <c r="O19" s="68"/>
      <c r="P19" s="117"/>
      <c r="Q19" s="68"/>
      <c r="R19" s="68"/>
      <c r="S19" s="115" t="n">
        <f aca="false">SUM(N19:R19)</f>
        <v>0</v>
      </c>
      <c r="T19" s="116"/>
      <c r="U19" s="116"/>
      <c r="V19" s="116"/>
      <c r="W19" s="116"/>
      <c r="X19" s="116"/>
      <c r="Y19" s="116"/>
      <c r="Z19" s="116"/>
      <c r="AA19" s="116"/>
      <c r="AB19" s="116"/>
      <c r="AC19" s="116"/>
      <c r="AD19" s="116"/>
      <c r="AE19" s="116"/>
      <c r="AF19" s="54" t="s">
        <v>785</v>
      </c>
      <c r="AG19" s="64" t="s">
        <v>364</v>
      </c>
    </row>
    <row r="20" customFormat="false" ht="12.8" hidden="false" customHeight="false" outlineLevel="0" collapsed="false">
      <c r="A20" s="54"/>
      <c r="B20" s="112" t="str">
        <f aca="false">IF(OR(G20="Routine", G20="Sub", G20="drill"), 0&amp;E20&amp;F20&amp;C20,IF(OR(G20="Project", G20="Stream", G20="Action"), 1&amp;E20&amp;F20&amp;C20,"ZZZ"))</f>
        <v>0EQDprd</v>
      </c>
      <c r="C20" s="54"/>
      <c r="D20" s="54"/>
      <c r="E20" s="62" t="s">
        <v>783</v>
      </c>
      <c r="F20" s="62" t="s">
        <v>618</v>
      </c>
      <c r="G20" s="62" t="s">
        <v>462</v>
      </c>
      <c r="H20" s="113" t="s">
        <v>806</v>
      </c>
      <c r="I20" s="113"/>
      <c r="J20" s="114"/>
      <c r="K20" s="62"/>
      <c r="L20" s="70"/>
      <c r="M20" s="40"/>
      <c r="N20" s="68"/>
      <c r="O20" s="68"/>
      <c r="P20" s="117"/>
      <c r="Q20" s="68"/>
      <c r="R20" s="68"/>
      <c r="S20" s="115" t="n">
        <f aca="false">SUM(N20:R20)</f>
        <v>0</v>
      </c>
      <c r="T20" s="116"/>
      <c r="U20" s="116"/>
      <c r="V20" s="116"/>
      <c r="W20" s="116"/>
      <c r="X20" s="116"/>
      <c r="Y20" s="116"/>
      <c r="Z20" s="116"/>
      <c r="AA20" s="116"/>
      <c r="AB20" s="116"/>
      <c r="AC20" s="116"/>
      <c r="AD20" s="116"/>
      <c r="AE20" s="116"/>
      <c r="AF20" s="54" t="s">
        <v>785</v>
      </c>
      <c r="AG20" s="64" t="s">
        <v>364</v>
      </c>
    </row>
    <row r="21" customFormat="false" ht="12.8" hidden="false" customHeight="false" outlineLevel="0" collapsed="false">
      <c r="A21" s="54"/>
      <c r="B21" s="112" t="str">
        <f aca="false">IF(OR(G21="Routine", G21="Sub", G21="drill"), 0&amp;E21&amp;F21&amp;C21,IF(OR(G21="Project", G21="Stream", G21="Action"), 1&amp;E21&amp;F21&amp;C21,"ZZZ"))</f>
        <v>0EQDprd</v>
      </c>
      <c r="C21" s="54"/>
      <c r="D21" s="54"/>
      <c r="E21" s="62" t="s">
        <v>783</v>
      </c>
      <c r="F21" s="62" t="s">
        <v>618</v>
      </c>
      <c r="G21" s="62" t="s">
        <v>462</v>
      </c>
      <c r="H21" s="113" t="s">
        <v>807</v>
      </c>
      <c r="I21" s="113"/>
      <c r="J21" s="114"/>
      <c r="K21" s="62"/>
      <c r="L21" s="70"/>
      <c r="M21" s="40"/>
      <c r="N21" s="68"/>
      <c r="O21" s="68"/>
      <c r="P21" s="117"/>
      <c r="Q21" s="68"/>
      <c r="R21" s="68"/>
      <c r="S21" s="115" t="n">
        <f aca="false">SUM(N21:R21)</f>
        <v>0</v>
      </c>
      <c r="T21" s="116"/>
      <c r="U21" s="116"/>
      <c r="V21" s="116"/>
      <c r="W21" s="116"/>
      <c r="X21" s="116"/>
      <c r="Y21" s="116"/>
      <c r="Z21" s="116"/>
      <c r="AA21" s="116"/>
      <c r="AB21" s="116"/>
      <c r="AC21" s="116"/>
      <c r="AD21" s="116"/>
      <c r="AE21" s="116"/>
      <c r="AF21" s="54" t="s">
        <v>785</v>
      </c>
      <c r="AG21" s="64" t="s">
        <v>364</v>
      </c>
    </row>
    <row r="22" customFormat="false" ht="12.8" hidden="false" customHeight="false" outlineLevel="0" collapsed="false">
      <c r="A22" s="54"/>
      <c r="B22" s="112" t="str">
        <f aca="false">IF(OR(G22="Routine", G22="Sub", G22="drill"), 0&amp;E22&amp;F22&amp;C22,IF(OR(G22="Project", G22="Stream", G22="Action"), 1&amp;E22&amp;F22&amp;C22,"ZZZ"))</f>
        <v>0EQDprd</v>
      </c>
      <c r="C22" s="54"/>
      <c r="D22" s="54"/>
      <c r="E22" s="62" t="s">
        <v>783</v>
      </c>
      <c r="F22" s="62" t="s">
        <v>618</v>
      </c>
      <c r="G22" s="62" t="s">
        <v>462</v>
      </c>
      <c r="H22" s="113" t="s">
        <v>808</v>
      </c>
      <c r="I22" s="113"/>
      <c r="J22" s="114"/>
      <c r="K22" s="62"/>
      <c r="L22" s="70"/>
      <c r="M22" s="40"/>
      <c r="N22" s="68"/>
      <c r="O22" s="68"/>
      <c r="P22" s="117"/>
      <c r="Q22" s="68"/>
      <c r="R22" s="68"/>
      <c r="S22" s="115" t="n">
        <f aca="false">SUM(N22:R22)</f>
        <v>0</v>
      </c>
      <c r="T22" s="116"/>
      <c r="U22" s="116"/>
      <c r="V22" s="116"/>
      <c r="W22" s="116"/>
      <c r="X22" s="116"/>
      <c r="Y22" s="116"/>
      <c r="Z22" s="116"/>
      <c r="AA22" s="116"/>
      <c r="AB22" s="116"/>
      <c r="AC22" s="116"/>
      <c r="AD22" s="116"/>
      <c r="AE22" s="116"/>
      <c r="AF22" s="54" t="s">
        <v>785</v>
      </c>
      <c r="AG22" s="64" t="s">
        <v>364</v>
      </c>
    </row>
    <row r="23" customFormat="false" ht="12.8" hidden="false" customHeight="false" outlineLevel="0" collapsed="false">
      <c r="A23" s="54"/>
      <c r="B23" s="112" t="str">
        <f aca="false">IF(OR(G23="Routine", G23="Sub", G23="drill"), 0&amp;E23&amp;F23&amp;C23,IF(OR(G23="Project", G23="Stream", G23="Action"), 1&amp;E23&amp;F23&amp;C23,"ZZZ"))</f>
        <v>1ALLgroIncrease scope of products</v>
      </c>
      <c r="C23" s="113" t="s">
        <v>809</v>
      </c>
      <c r="D23" s="113"/>
      <c r="E23" s="62" t="s">
        <v>810</v>
      </c>
      <c r="F23" s="62" t="s">
        <v>747</v>
      </c>
      <c r="G23" s="62" t="s">
        <v>548</v>
      </c>
      <c r="H23" s="113" t="s">
        <v>809</v>
      </c>
      <c r="I23" s="113"/>
      <c r="J23" s="114"/>
      <c r="K23" s="62"/>
      <c r="L23" s="70"/>
      <c r="M23" s="40"/>
      <c r="N23" s="68"/>
      <c r="O23" s="68"/>
      <c r="P23" s="117"/>
      <c r="Q23" s="68"/>
      <c r="R23" s="68"/>
      <c r="S23" s="115" t="n">
        <f aca="false">SUM(N23:R23)</f>
        <v>0</v>
      </c>
      <c r="T23" s="116"/>
      <c r="U23" s="116"/>
      <c r="V23" s="116"/>
      <c r="W23" s="116"/>
      <c r="X23" s="116"/>
      <c r="Y23" s="116"/>
      <c r="Z23" s="120"/>
      <c r="AA23" s="120"/>
      <c r="AB23" s="120"/>
      <c r="AC23" s="120"/>
      <c r="AD23" s="120"/>
      <c r="AE23" s="120"/>
      <c r="AF23" s="54" t="s">
        <v>785</v>
      </c>
      <c r="AG23" s="64" t="s">
        <v>364</v>
      </c>
    </row>
    <row r="24" customFormat="false" ht="12.8" hidden="false" customHeight="false" outlineLevel="0" collapsed="false">
      <c r="A24" s="54"/>
      <c r="B24" s="112" t="str">
        <f aca="false">IF(OR(G24="Routine", G24="Sub", G24="drill"), 0&amp;E24&amp;F24&amp;C24,IF(OR(G24="Project", G24="Stream", G24="Action"), 1&amp;E24&amp;F24&amp;C24,"ZZZ"))</f>
        <v>1ALLgroIncrease scope of products1</v>
      </c>
      <c r="C24" s="113" t="s">
        <v>811</v>
      </c>
      <c r="D24" s="113"/>
      <c r="E24" s="62" t="s">
        <v>810</v>
      </c>
      <c r="F24" s="62" t="s">
        <v>747</v>
      </c>
      <c r="G24" s="62" t="s">
        <v>738</v>
      </c>
      <c r="H24" s="113" t="s">
        <v>812</v>
      </c>
      <c r="I24" s="113"/>
      <c r="J24" s="114"/>
      <c r="K24" s="62"/>
      <c r="L24" s="70"/>
      <c r="M24" s="40"/>
      <c r="N24" s="68"/>
      <c r="O24" s="68"/>
      <c r="P24" s="117"/>
      <c r="Q24" s="68"/>
      <c r="R24" s="68"/>
      <c r="S24" s="115" t="n">
        <f aca="false">SUM(N24:R24)</f>
        <v>0</v>
      </c>
      <c r="T24" s="118"/>
      <c r="U24" s="118"/>
      <c r="V24" s="118"/>
      <c r="W24" s="118"/>
      <c r="X24" s="120"/>
      <c r="Y24" s="120"/>
      <c r="Z24" s="120"/>
      <c r="AA24" s="120"/>
      <c r="AB24" s="120"/>
      <c r="AC24" s="120"/>
      <c r="AD24" s="120"/>
      <c r="AE24" s="120"/>
      <c r="AF24" s="54" t="s">
        <v>785</v>
      </c>
      <c r="AG24" s="64" t="s">
        <v>364</v>
      </c>
    </row>
    <row r="25" customFormat="false" ht="12.8" hidden="false" customHeight="false" outlineLevel="0" collapsed="false">
      <c r="A25" s="54"/>
      <c r="B25" s="112" t="str">
        <f aca="false">IF(OR(G25="Routine", G25="Sub", G25="drill"), 0&amp;E25&amp;F25&amp;C25,IF(OR(G25="Project", G25="Stream", G25="Action"), 1&amp;E25&amp;F25&amp;C25,"ZZZ"))</f>
        <v>1ALLgroIncrease scope of products1a</v>
      </c>
      <c r="C25" s="113" t="s">
        <v>813</v>
      </c>
      <c r="D25" s="113"/>
      <c r="E25" s="62" t="s">
        <v>810</v>
      </c>
      <c r="F25" s="62" t="s">
        <v>747</v>
      </c>
      <c r="G25" s="62" t="s">
        <v>741</v>
      </c>
      <c r="H25" s="113" t="s">
        <v>814</v>
      </c>
      <c r="I25" s="113"/>
      <c r="J25" s="114"/>
      <c r="K25" s="62"/>
      <c r="L25" s="70"/>
      <c r="M25" s="40"/>
      <c r="N25" s="68"/>
      <c r="O25" s="68"/>
      <c r="P25" s="117"/>
      <c r="Q25" s="68"/>
      <c r="R25" s="68"/>
      <c r="S25" s="115" t="n">
        <f aca="false">SUM(N25:R25)</f>
        <v>0</v>
      </c>
      <c r="T25" s="120"/>
      <c r="U25" s="120"/>
      <c r="V25" s="119"/>
      <c r="W25" s="119"/>
      <c r="X25" s="120"/>
      <c r="Y25" s="120"/>
      <c r="Z25" s="120"/>
      <c r="AA25" s="120"/>
      <c r="AB25" s="120"/>
      <c r="AC25" s="120"/>
      <c r="AD25" s="120"/>
      <c r="AE25" s="120"/>
      <c r="AF25" s="54" t="s">
        <v>785</v>
      </c>
      <c r="AG25" s="64" t="s">
        <v>364</v>
      </c>
    </row>
    <row r="26" customFormat="false" ht="12.8" hidden="false" customHeight="false" outlineLevel="0" collapsed="false">
      <c r="A26" s="54"/>
      <c r="B26" s="112" t="str">
        <f aca="false">IF(OR(G26="Routine", G26="Sub", G26="drill"), 0&amp;E26&amp;F26&amp;C26,IF(OR(G26="Project", G26="Stream", G26="Action"), 1&amp;E26&amp;F26&amp;C26,"ZZZ"))</f>
        <v>ZZZ</v>
      </c>
      <c r="C26" s="54"/>
      <c r="D26" s="54"/>
      <c r="E26" s="62"/>
      <c r="F26" s="62"/>
      <c r="G26" s="62"/>
      <c r="H26" s="113"/>
      <c r="I26" s="113"/>
      <c r="J26" s="114"/>
      <c r="K26" s="62"/>
      <c r="L26" s="70"/>
      <c r="M26" s="40"/>
      <c r="N26" s="68"/>
      <c r="O26" s="68"/>
      <c r="P26" s="117"/>
      <c r="Q26" s="68"/>
      <c r="R26" s="68"/>
      <c r="S26" s="115" t="n">
        <f aca="false">SUM(N26:R26)</f>
        <v>0</v>
      </c>
      <c r="T26" s="120"/>
      <c r="U26" s="120"/>
      <c r="V26" s="120"/>
      <c r="W26" s="120"/>
      <c r="X26" s="120"/>
      <c r="Y26" s="120"/>
      <c r="Z26" s="120"/>
      <c r="AA26" s="120"/>
      <c r="AB26" s="120"/>
      <c r="AC26" s="120"/>
      <c r="AD26" s="120"/>
      <c r="AE26" s="120"/>
      <c r="AF26" s="54"/>
      <c r="AG26" s="64" t="s">
        <v>364</v>
      </c>
    </row>
    <row r="27" customFormat="false" ht="12.8" hidden="false" customHeight="false" outlineLevel="0" collapsed="false">
      <c r="A27" s="54"/>
      <c r="B27" s="112" t="str">
        <f aca="false">IF(OR(G27="Routine", G27="Sub", G27="drill"), 0&amp;E27&amp;F27&amp;C27,IF(OR(G27="Project", G27="Stream", G27="Action"), 1&amp;E27&amp;F27&amp;C27,"ZZZ"))</f>
        <v>ZZZ</v>
      </c>
      <c r="C27" s="54"/>
      <c r="D27" s="54"/>
      <c r="E27" s="62"/>
      <c r="F27" s="62"/>
      <c r="G27" s="62"/>
      <c r="H27" s="113"/>
      <c r="I27" s="113"/>
      <c r="J27" s="114"/>
      <c r="K27" s="62"/>
      <c r="L27" s="70"/>
      <c r="M27" s="40"/>
      <c r="N27" s="68"/>
      <c r="O27" s="68"/>
      <c r="P27" s="117"/>
      <c r="Q27" s="68"/>
      <c r="R27" s="68"/>
      <c r="S27" s="115" t="n">
        <f aca="false">SUM(N27:R27)</f>
        <v>0</v>
      </c>
      <c r="T27" s="120"/>
      <c r="U27" s="120"/>
      <c r="V27" s="120"/>
      <c r="W27" s="120"/>
      <c r="X27" s="120"/>
      <c r="Y27" s="120"/>
      <c r="Z27" s="120"/>
      <c r="AA27" s="120"/>
      <c r="AB27" s="120"/>
      <c r="AC27" s="120"/>
      <c r="AD27" s="120"/>
      <c r="AE27" s="120"/>
      <c r="AF27" s="54"/>
      <c r="AG27" s="64" t="s">
        <v>364</v>
      </c>
    </row>
    <row r="28" customFormat="false" ht="12.8" hidden="false" customHeight="false" outlineLevel="0" collapsed="false">
      <c r="A28" s="54"/>
      <c r="B28" s="112" t="str">
        <f aca="false">IF(OR(G28="Routine", G28="Sub", G28="drill"), 0&amp;E28&amp;F28&amp;C28,IF(OR(G28="Project", G28="Stream", G28="Action"), 1&amp;E28&amp;F28&amp;C28,"ZZZ"))</f>
        <v>ZZZ</v>
      </c>
      <c r="C28" s="54"/>
      <c r="D28" s="54"/>
      <c r="E28" s="62"/>
      <c r="F28" s="62"/>
      <c r="G28" s="62"/>
      <c r="H28" s="113"/>
      <c r="I28" s="113"/>
      <c r="J28" s="114"/>
      <c r="K28" s="62"/>
      <c r="L28" s="70"/>
      <c r="M28" s="40"/>
      <c r="N28" s="68"/>
      <c r="O28" s="68"/>
      <c r="P28" s="117"/>
      <c r="Q28" s="68"/>
      <c r="R28" s="68"/>
      <c r="S28" s="115" t="n">
        <f aca="false">SUM(N28:R28)</f>
        <v>0</v>
      </c>
      <c r="T28" s="120"/>
      <c r="U28" s="120"/>
      <c r="V28" s="120"/>
      <c r="W28" s="120"/>
      <c r="X28" s="120"/>
      <c r="Y28" s="120"/>
      <c r="Z28" s="120"/>
      <c r="AA28" s="120"/>
      <c r="AB28" s="120"/>
      <c r="AC28" s="120"/>
      <c r="AD28" s="120"/>
      <c r="AE28" s="120"/>
      <c r="AF28" s="54"/>
      <c r="AG28" s="64" t="s">
        <v>364</v>
      </c>
    </row>
    <row r="29" customFormat="false" ht="12.8" hidden="false" customHeight="false" outlineLevel="0" collapsed="false">
      <c r="A29" s="54"/>
      <c r="B29" s="112" t="str">
        <f aca="false">IF(OR(G29="Routine", G29="Sub", G29="drill"), 0&amp;E29&amp;F29&amp;C29,IF(OR(G29="Project", G29="Stream", G29="Action"), 1&amp;E29&amp;F29&amp;C29,"ZZZ"))</f>
        <v>ZZZ</v>
      </c>
      <c r="C29" s="54"/>
      <c r="D29" s="54"/>
      <c r="E29" s="62"/>
      <c r="F29" s="62"/>
      <c r="G29" s="62"/>
      <c r="H29" s="113"/>
      <c r="I29" s="113"/>
      <c r="J29" s="114"/>
      <c r="K29" s="62"/>
      <c r="L29" s="70"/>
      <c r="M29" s="40"/>
      <c r="N29" s="68"/>
      <c r="O29" s="68"/>
      <c r="P29" s="117"/>
      <c r="Q29" s="68"/>
      <c r="R29" s="68"/>
      <c r="S29" s="115" t="n">
        <f aca="false">SUM(N29:R29)</f>
        <v>0</v>
      </c>
      <c r="T29" s="120"/>
      <c r="U29" s="120"/>
      <c r="V29" s="120"/>
      <c r="W29" s="120"/>
      <c r="X29" s="120"/>
      <c r="Y29" s="120"/>
      <c r="Z29" s="120"/>
      <c r="AA29" s="120"/>
      <c r="AB29" s="120"/>
      <c r="AC29" s="120"/>
      <c r="AD29" s="120"/>
      <c r="AE29" s="120"/>
      <c r="AF29" s="54"/>
      <c r="AG29" s="64" t="s">
        <v>364</v>
      </c>
    </row>
    <row r="30" customFormat="false" ht="12.8" hidden="false" customHeight="false" outlineLevel="0" collapsed="false">
      <c r="A30" s="54"/>
      <c r="B30" s="112" t="str">
        <f aca="false">IF(OR(G30="Routine", G30="Sub", G30="drill"), 0&amp;E30&amp;F30&amp;C30,IF(OR(G30="Project", G30="Stream", G30="Action"), 1&amp;E30&amp;F30&amp;C30,"ZZZ"))</f>
        <v>ZZZ</v>
      </c>
      <c r="C30" s="54"/>
      <c r="D30" s="54"/>
      <c r="E30" s="62"/>
      <c r="F30" s="62"/>
      <c r="G30" s="62"/>
      <c r="H30" s="113"/>
      <c r="I30" s="113"/>
      <c r="J30" s="114"/>
      <c r="K30" s="62"/>
      <c r="L30" s="70"/>
      <c r="M30" s="40"/>
      <c r="N30" s="68"/>
      <c r="O30" s="68"/>
      <c r="P30" s="117"/>
      <c r="Q30" s="68"/>
      <c r="R30" s="68"/>
      <c r="S30" s="115" t="n">
        <f aca="false">SUM(N30:R30)</f>
        <v>0</v>
      </c>
      <c r="T30" s="120"/>
      <c r="U30" s="120"/>
      <c r="V30" s="120"/>
      <c r="W30" s="120"/>
      <c r="X30" s="120"/>
      <c r="Y30" s="120"/>
      <c r="Z30" s="120"/>
      <c r="AA30" s="120"/>
      <c r="AB30" s="120"/>
      <c r="AC30" s="120"/>
      <c r="AD30" s="120"/>
      <c r="AE30" s="120"/>
      <c r="AF30" s="54"/>
      <c r="AG30" s="64" t="s">
        <v>364</v>
      </c>
    </row>
    <row r="31" customFormat="false" ht="12.8" hidden="false" customHeight="false" outlineLevel="0" collapsed="false">
      <c r="A31" s="54"/>
      <c r="B31" s="112" t="str">
        <f aca="false">IF(OR(G31="Routine", G31="Sub", G31="drill"), 0&amp;E31&amp;F31&amp;C31,IF(OR(G31="Project", G31="Stream", G31="Action"), 1&amp;E31&amp;F31&amp;C31,"ZZZ"))</f>
        <v>ZZZ</v>
      </c>
      <c r="C31" s="54"/>
      <c r="D31" s="54"/>
      <c r="E31" s="62"/>
      <c r="F31" s="62"/>
      <c r="G31" s="62"/>
      <c r="H31" s="113"/>
      <c r="I31" s="113"/>
      <c r="J31" s="114"/>
      <c r="K31" s="62"/>
      <c r="L31" s="70"/>
      <c r="M31" s="40"/>
      <c r="N31" s="68"/>
      <c r="O31" s="68"/>
      <c r="P31" s="117"/>
      <c r="Q31" s="68"/>
      <c r="R31" s="68"/>
      <c r="S31" s="115" t="n">
        <f aca="false">SUM(N31:R31)</f>
        <v>0</v>
      </c>
      <c r="T31" s="120"/>
      <c r="U31" s="120"/>
      <c r="V31" s="120"/>
      <c r="W31" s="120"/>
      <c r="X31" s="120"/>
      <c r="Y31" s="120"/>
      <c r="Z31" s="120"/>
      <c r="AA31" s="120"/>
      <c r="AB31" s="120"/>
      <c r="AC31" s="120"/>
      <c r="AD31" s="120"/>
      <c r="AE31" s="120"/>
      <c r="AF31" s="54"/>
      <c r="AG31" s="64" t="s">
        <v>364</v>
      </c>
    </row>
    <row r="32" customFormat="false" ht="12.8" hidden="false" customHeight="false" outlineLevel="0" collapsed="false">
      <c r="A32" s="54"/>
      <c r="B32" s="112" t="str">
        <f aca="false">IF(OR(G32="Routine", G32="Sub", G32="drill"), 0&amp;E32&amp;F32&amp;C32,IF(OR(G32="Project", G32="Stream", G32="Action"), 1&amp;E32&amp;F32&amp;C32,"ZZZ"))</f>
        <v>ZZZ</v>
      </c>
      <c r="C32" s="54"/>
      <c r="D32" s="54"/>
      <c r="E32" s="62"/>
      <c r="F32" s="62"/>
      <c r="G32" s="62"/>
      <c r="H32" s="113"/>
      <c r="I32" s="113"/>
      <c r="J32" s="114"/>
      <c r="K32" s="62"/>
      <c r="L32" s="70"/>
      <c r="M32" s="40"/>
      <c r="N32" s="68"/>
      <c r="O32" s="68"/>
      <c r="P32" s="117"/>
      <c r="Q32" s="68"/>
      <c r="R32" s="68"/>
      <c r="S32" s="115" t="n">
        <f aca="false">SUM(N32:R32)</f>
        <v>0</v>
      </c>
      <c r="T32" s="120"/>
      <c r="U32" s="120"/>
      <c r="V32" s="120"/>
      <c r="W32" s="120"/>
      <c r="X32" s="120"/>
      <c r="Y32" s="120"/>
      <c r="Z32" s="120"/>
      <c r="AA32" s="120"/>
      <c r="AB32" s="120"/>
      <c r="AC32" s="120"/>
      <c r="AD32" s="120"/>
      <c r="AE32" s="120"/>
      <c r="AF32" s="54"/>
      <c r="AG32" s="64" t="s">
        <v>364</v>
      </c>
    </row>
    <row r="33" customFormat="false" ht="12.8" hidden="false" customHeight="false" outlineLevel="0" collapsed="false">
      <c r="A33" s="54"/>
      <c r="B33" s="112" t="str">
        <f aca="false">IF(OR(G33="Routine", G33="Sub", G33="drill"), 0&amp;E33&amp;F33&amp;C33,IF(OR(G33="Project", G33="Stream", G33="Action"), 1&amp;E33&amp;F33&amp;C33,"ZZZ"))</f>
        <v>ZZZ</v>
      </c>
      <c r="C33" s="54"/>
      <c r="D33" s="54"/>
      <c r="E33" s="62"/>
      <c r="F33" s="62"/>
      <c r="G33" s="62"/>
      <c r="H33" s="113"/>
      <c r="I33" s="113"/>
      <c r="J33" s="114"/>
      <c r="K33" s="62"/>
      <c r="L33" s="70"/>
      <c r="M33" s="40"/>
      <c r="N33" s="68"/>
      <c r="O33" s="68"/>
      <c r="P33" s="117"/>
      <c r="Q33" s="68"/>
      <c r="R33" s="68"/>
      <c r="S33" s="115" t="n">
        <f aca="false">SUM(N33:R33)</f>
        <v>0</v>
      </c>
      <c r="T33" s="120"/>
      <c r="U33" s="120"/>
      <c r="V33" s="120"/>
      <c r="W33" s="120"/>
      <c r="X33" s="120"/>
      <c r="Y33" s="120"/>
      <c r="Z33" s="120"/>
      <c r="AA33" s="120"/>
      <c r="AB33" s="120"/>
      <c r="AC33" s="120"/>
      <c r="AD33" s="120"/>
      <c r="AE33" s="120"/>
      <c r="AF33" s="54"/>
      <c r="AG33" s="64" t="s">
        <v>364</v>
      </c>
    </row>
    <row r="34" customFormat="false" ht="12.8" hidden="false" customHeight="false" outlineLevel="0" collapsed="false">
      <c r="A34" s="54"/>
      <c r="B34" s="112" t="str">
        <f aca="false">IF(OR(G34="Routine", G34="Sub", G34="drill"), 0&amp;E34&amp;F34&amp;C34,IF(OR(G34="Project", G34="Stream", G34="Action"), 1&amp;E34&amp;F34&amp;C34,"ZZZ"))</f>
        <v>ZZZ</v>
      </c>
      <c r="C34" s="54"/>
      <c r="D34" s="54"/>
      <c r="E34" s="62"/>
      <c r="F34" s="62"/>
      <c r="G34" s="62"/>
      <c r="H34" s="113"/>
      <c r="I34" s="113"/>
      <c r="J34" s="114"/>
      <c r="K34" s="62"/>
      <c r="L34" s="70"/>
      <c r="M34" s="40"/>
      <c r="N34" s="68"/>
      <c r="O34" s="68"/>
      <c r="P34" s="117"/>
      <c r="Q34" s="68"/>
      <c r="R34" s="68"/>
      <c r="S34" s="115" t="n">
        <f aca="false">SUM(N34:R34)</f>
        <v>0</v>
      </c>
      <c r="T34" s="120"/>
      <c r="U34" s="120"/>
      <c r="V34" s="120"/>
      <c r="W34" s="120"/>
      <c r="X34" s="120"/>
      <c r="Y34" s="120"/>
      <c r="Z34" s="120"/>
      <c r="AA34" s="120"/>
      <c r="AB34" s="120"/>
      <c r="AC34" s="120"/>
      <c r="AD34" s="120"/>
      <c r="AE34" s="120"/>
      <c r="AF34" s="54"/>
      <c r="AG34" s="64" t="s">
        <v>364</v>
      </c>
    </row>
    <row r="35" customFormat="false" ht="12.8" hidden="false" customHeight="false" outlineLevel="0" collapsed="false">
      <c r="A35" s="54"/>
      <c r="B35" s="112" t="str">
        <f aca="false">IF(OR(G35="Routine", G35="Sub", G35="drill"), 0&amp;E35&amp;F35&amp;C35,IF(OR(G35="Project", G35="Stream", G35="Action"), 1&amp;E35&amp;F35&amp;C35,"ZZZ"))</f>
        <v>ZZZ</v>
      </c>
      <c r="C35" s="54"/>
      <c r="D35" s="54"/>
      <c r="E35" s="62"/>
      <c r="F35" s="62"/>
      <c r="G35" s="62"/>
      <c r="H35" s="113"/>
      <c r="I35" s="113"/>
      <c r="J35" s="114"/>
      <c r="K35" s="62"/>
      <c r="L35" s="70"/>
      <c r="M35" s="40"/>
      <c r="N35" s="68"/>
      <c r="O35" s="68"/>
      <c r="P35" s="117"/>
      <c r="Q35" s="68"/>
      <c r="R35" s="68"/>
      <c r="S35" s="115" t="n">
        <f aca="false">SUM(N35:R35)</f>
        <v>0</v>
      </c>
      <c r="T35" s="120"/>
      <c r="U35" s="120"/>
      <c r="V35" s="120"/>
      <c r="W35" s="120"/>
      <c r="X35" s="120"/>
      <c r="Y35" s="120"/>
      <c r="Z35" s="120"/>
      <c r="AA35" s="120"/>
      <c r="AB35" s="120"/>
      <c r="AC35" s="120"/>
      <c r="AD35" s="120"/>
      <c r="AE35" s="120"/>
      <c r="AF35" s="54"/>
      <c r="AG35" s="64" t="s">
        <v>364</v>
      </c>
    </row>
    <row r="36" customFormat="false" ht="12.8" hidden="false" customHeight="false" outlineLevel="0" collapsed="false">
      <c r="A36" s="54"/>
      <c r="B36" s="112" t="str">
        <f aca="false">IF(OR(G36="Routine", G36="Sub", G36="drill"), 0&amp;E36&amp;F36&amp;C36,IF(OR(G36="Project", G36="Stream", G36="Action"), 1&amp;E36&amp;F36&amp;C36,"ZZZ"))</f>
        <v>ZZZ</v>
      </c>
      <c r="C36" s="54"/>
      <c r="D36" s="54"/>
      <c r="E36" s="62"/>
      <c r="F36" s="62"/>
      <c r="G36" s="62"/>
      <c r="H36" s="113"/>
      <c r="I36" s="113"/>
      <c r="J36" s="114"/>
      <c r="K36" s="62"/>
      <c r="L36" s="70"/>
      <c r="M36" s="40"/>
      <c r="N36" s="68"/>
      <c r="O36" s="68"/>
      <c r="P36" s="117"/>
      <c r="Q36" s="68"/>
      <c r="R36" s="68"/>
      <c r="S36" s="115" t="n">
        <f aca="false">SUM(N36:R36)</f>
        <v>0</v>
      </c>
      <c r="T36" s="120"/>
      <c r="U36" s="120"/>
      <c r="V36" s="120"/>
      <c r="W36" s="120"/>
      <c r="X36" s="120"/>
      <c r="Y36" s="120"/>
      <c r="Z36" s="120"/>
      <c r="AA36" s="120"/>
      <c r="AB36" s="120"/>
      <c r="AC36" s="120"/>
      <c r="AD36" s="120"/>
      <c r="AE36" s="120"/>
      <c r="AF36" s="54"/>
      <c r="AG36" s="64" t="s">
        <v>364</v>
      </c>
    </row>
  </sheetData>
  <autoFilter ref="A4:AG36"/>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AMJ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3" topLeftCell="S4" activePane="bottomRight" state="frozen"/>
      <selection pane="topLeft" activeCell="A1" activeCellId="0" sqref="A1"/>
      <selection pane="topRight" activeCell="S1" activeCellId="0" sqref="S1"/>
      <selection pane="bottomLeft" activeCell="A4" activeCellId="0" sqref="A4"/>
      <selection pane="bottomRight" activeCell="X1" activeCellId="0" sqref="X1"/>
    </sheetView>
  </sheetViews>
  <sheetFormatPr defaultColWidth="16.1484375" defaultRowHeight="12.8" zeroHeight="false" outlineLevelRow="1" outlineLevelCol="1"/>
  <cols>
    <col collapsed="false" customWidth="true" hidden="false" outlineLevel="0" max="1" min="1" style="3" width="1.8"/>
    <col collapsed="false" customWidth="true" hidden="false" outlineLevel="0" max="2" min="2" style="29" width="9.17"/>
    <col collapsed="false" customWidth="true" hidden="false" outlineLevel="0" max="3" min="3" style="29" width="11.11"/>
    <col collapsed="false" customWidth="true" hidden="false" outlineLevel="0" max="4" min="4" style="1" width="11.11"/>
    <col collapsed="false" customWidth="true" hidden="false" outlineLevel="0" max="6" min="5" style="1" width="23.48"/>
    <col collapsed="false" customWidth="true" hidden="false" outlineLevel="0" max="7" min="7" style="29" width="17.21"/>
    <col collapsed="false" customWidth="true" hidden="false" outlineLevel="0" max="8" min="8" style="29" width="16.53"/>
    <col collapsed="false" customWidth="true" hidden="false" outlineLevel="0" max="9" min="9" style="121" width="13.89"/>
    <col collapsed="false" customWidth="true" hidden="false" outlineLevel="0" max="10" min="10" style="29" width="13.89"/>
    <col collapsed="false" customWidth="true" hidden="false" outlineLevel="1" max="11" min="11" style="3" width="16.26"/>
    <col collapsed="false" customWidth="true" hidden="false" outlineLevel="1" max="13" min="12" style="3" width="13.36"/>
    <col collapsed="false" customWidth="true" hidden="false" outlineLevel="1" max="14" min="14" style="29" width="14.59"/>
    <col collapsed="false" customWidth="true" hidden="false" outlineLevel="0" max="15" min="15" style="29" width="16.53"/>
    <col collapsed="false" customWidth="true" hidden="false" outlineLevel="0" max="16" min="16" style="29" width="11.11"/>
    <col collapsed="false" customWidth="true" hidden="false" outlineLevel="0" max="17" min="17" style="29" width="10"/>
    <col collapsed="false" customWidth="true" hidden="false" outlineLevel="0" max="19" min="18" style="29" width="11.53"/>
    <col collapsed="false" customWidth="true" hidden="false" outlineLevel="0" max="20" min="20" style="29" width="16.67"/>
    <col collapsed="false" customWidth="true" hidden="false" outlineLevel="0" max="21" min="21" style="29" width="9.47"/>
    <col collapsed="false" customWidth="true" hidden="false" outlineLevel="0" max="22" min="22" style="3" width="32.09"/>
    <col collapsed="false" customWidth="true" hidden="false" outlineLevel="0" max="23" min="23" style="3" width="27.62"/>
    <col collapsed="false" customWidth="true" hidden="false" outlineLevel="0" max="24" min="24" style="3" width="22.23"/>
    <col collapsed="false" customWidth="true" hidden="false" outlineLevel="0" max="25" min="25" style="1" width="2.54"/>
  </cols>
  <sheetData>
    <row r="1" customFormat="false" ht="81.3" hidden="false" customHeight="true" outlineLevel="1" collapsed="false">
      <c r="A1" s="31" t="s">
        <v>749</v>
      </c>
      <c r="B1" s="33" t="s">
        <v>815</v>
      </c>
      <c r="C1" s="33" t="s">
        <v>816</v>
      </c>
      <c r="D1" s="33" t="s">
        <v>817</v>
      </c>
      <c r="E1" s="34" t="s">
        <v>818</v>
      </c>
      <c r="F1" s="34" t="s">
        <v>819</v>
      </c>
      <c r="G1" s="33" t="s">
        <v>820</v>
      </c>
      <c r="H1" s="83" t="s">
        <v>821</v>
      </c>
      <c r="I1" s="33" t="s">
        <v>822</v>
      </c>
      <c r="J1" s="83" t="s">
        <v>823</v>
      </c>
      <c r="K1" s="72" t="s">
        <v>824</v>
      </c>
      <c r="L1" s="72" t="s">
        <v>825</v>
      </c>
      <c r="M1" s="72" t="s">
        <v>826</v>
      </c>
      <c r="N1" s="72" t="s">
        <v>827</v>
      </c>
      <c r="O1" s="33" t="s">
        <v>828</v>
      </c>
      <c r="P1" s="33" t="s">
        <v>829</v>
      </c>
      <c r="Q1" s="33" t="s">
        <v>830</v>
      </c>
      <c r="R1" s="33" t="s">
        <v>831</v>
      </c>
      <c r="S1" s="33" t="s">
        <v>832</v>
      </c>
      <c r="T1" s="33" t="s">
        <v>833</v>
      </c>
      <c r="U1" s="33" t="s">
        <v>834</v>
      </c>
      <c r="V1" s="72" t="s">
        <v>757</v>
      </c>
      <c r="W1" s="31" t="s">
        <v>835</v>
      </c>
      <c r="X1" s="31" t="s">
        <v>384</v>
      </c>
      <c r="Y1" s="31" t="s">
        <v>412</v>
      </c>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c r="CT1" s="35"/>
      <c r="CU1" s="35"/>
      <c r="CV1" s="35"/>
      <c r="CW1" s="35"/>
      <c r="CX1" s="35"/>
      <c r="CY1" s="35"/>
      <c r="CZ1" s="35"/>
      <c r="DA1" s="35"/>
      <c r="DB1" s="35"/>
      <c r="DC1" s="35"/>
      <c r="DD1" s="35"/>
      <c r="DE1" s="35"/>
      <c r="DF1" s="35"/>
      <c r="DG1" s="35"/>
      <c r="DH1" s="35"/>
      <c r="DI1" s="35"/>
      <c r="DJ1" s="35"/>
      <c r="DK1" s="35"/>
      <c r="DL1" s="35"/>
      <c r="DM1" s="35"/>
      <c r="DN1" s="35"/>
      <c r="DO1" s="35"/>
      <c r="DP1" s="35"/>
      <c r="DQ1" s="35"/>
      <c r="DR1" s="35"/>
      <c r="DS1" s="35"/>
      <c r="DT1" s="35"/>
      <c r="DU1" s="35"/>
      <c r="DV1" s="35"/>
      <c r="DW1" s="35"/>
      <c r="DX1" s="35"/>
      <c r="DY1" s="35"/>
      <c r="DZ1" s="35"/>
      <c r="EA1" s="35"/>
      <c r="EB1" s="35"/>
      <c r="EC1" s="35"/>
      <c r="ED1" s="35"/>
      <c r="EE1" s="35"/>
      <c r="EF1" s="35"/>
      <c r="EG1" s="35"/>
      <c r="EH1" s="35"/>
      <c r="EI1" s="35"/>
      <c r="EJ1" s="35"/>
      <c r="EK1" s="35"/>
      <c r="EL1" s="35"/>
      <c r="EM1" s="35"/>
      <c r="EN1" s="35"/>
      <c r="EO1" s="35"/>
      <c r="EP1" s="35"/>
      <c r="EQ1" s="35"/>
      <c r="ER1" s="35"/>
      <c r="ES1" s="35"/>
      <c r="ET1" s="35"/>
      <c r="EU1" s="35"/>
      <c r="EV1" s="35"/>
      <c r="EW1" s="35"/>
      <c r="EX1" s="35"/>
      <c r="EY1" s="35"/>
      <c r="EZ1" s="35"/>
      <c r="FA1" s="35"/>
      <c r="FB1" s="35"/>
      <c r="FC1" s="35"/>
      <c r="FD1" s="35"/>
      <c r="FE1" s="35"/>
      <c r="FF1" s="35"/>
      <c r="FG1" s="35"/>
      <c r="FH1" s="35"/>
      <c r="FI1" s="35"/>
      <c r="FJ1" s="35"/>
      <c r="FK1" s="35"/>
      <c r="FL1" s="35"/>
      <c r="FM1" s="35"/>
      <c r="FN1" s="35"/>
      <c r="FO1" s="35"/>
      <c r="FP1" s="35"/>
      <c r="FQ1" s="35"/>
      <c r="FR1" s="35"/>
      <c r="FS1" s="35"/>
      <c r="FT1" s="35"/>
      <c r="FU1" s="35"/>
      <c r="FV1" s="35"/>
      <c r="FW1" s="35"/>
      <c r="FX1" s="35"/>
      <c r="FY1" s="35"/>
      <c r="FZ1" s="35"/>
      <c r="GA1" s="35"/>
      <c r="GB1" s="35"/>
      <c r="GC1" s="35"/>
      <c r="GD1" s="35"/>
      <c r="GE1" s="35"/>
      <c r="GF1" s="35"/>
      <c r="GG1" s="35"/>
      <c r="GH1" s="35"/>
      <c r="GI1" s="35"/>
      <c r="GJ1" s="35"/>
      <c r="GK1" s="35"/>
      <c r="GL1" s="35"/>
      <c r="GM1" s="35"/>
      <c r="GN1" s="35"/>
      <c r="GO1" s="35"/>
      <c r="GP1" s="35"/>
      <c r="GQ1" s="35"/>
      <c r="GR1" s="35"/>
      <c r="GS1" s="35"/>
      <c r="GT1" s="35"/>
      <c r="GU1" s="35"/>
      <c r="GV1" s="35"/>
      <c r="GW1" s="35"/>
      <c r="GX1" s="35"/>
      <c r="GY1" s="35"/>
      <c r="GZ1" s="35"/>
      <c r="HA1" s="35"/>
      <c r="HB1" s="35"/>
      <c r="HC1" s="35"/>
      <c r="HD1" s="35"/>
      <c r="HE1" s="35"/>
      <c r="HF1" s="35"/>
      <c r="HG1" s="35"/>
      <c r="HH1" s="35"/>
      <c r="HI1" s="35"/>
      <c r="HJ1" s="35"/>
      <c r="HK1" s="35"/>
      <c r="HL1" s="35"/>
      <c r="HM1" s="35"/>
      <c r="HN1" s="35"/>
      <c r="HO1" s="35"/>
      <c r="HP1" s="35"/>
      <c r="HQ1" s="35"/>
      <c r="HR1" s="35"/>
      <c r="HS1" s="35"/>
      <c r="HT1" s="35"/>
      <c r="HU1" s="35"/>
      <c r="HV1" s="35"/>
      <c r="HW1" s="35"/>
      <c r="HX1" s="35"/>
      <c r="HY1" s="35"/>
      <c r="HZ1" s="35"/>
      <c r="IA1" s="35"/>
      <c r="IB1" s="35"/>
      <c r="IC1" s="35"/>
      <c r="ID1" s="35"/>
      <c r="IE1" s="35"/>
      <c r="IF1" s="35"/>
      <c r="IG1" s="35"/>
      <c r="IH1" s="35"/>
      <c r="II1" s="35"/>
      <c r="IJ1" s="35"/>
      <c r="IK1" s="35"/>
      <c r="IL1" s="35"/>
      <c r="IM1" s="35"/>
      <c r="IN1" s="35"/>
      <c r="IO1" s="35"/>
      <c r="IP1" s="35"/>
      <c r="IQ1" s="35"/>
      <c r="IR1" s="35"/>
      <c r="IS1" s="35"/>
      <c r="IT1" s="35"/>
      <c r="IU1" s="35"/>
      <c r="IV1" s="35"/>
      <c r="IW1" s="35"/>
      <c r="IX1" s="35"/>
      <c r="IY1" s="35"/>
      <c r="IZ1" s="35"/>
      <c r="JA1" s="35"/>
      <c r="JB1" s="35"/>
      <c r="JC1" s="35"/>
      <c r="JD1" s="35"/>
      <c r="JE1" s="35"/>
      <c r="JF1" s="35"/>
      <c r="JG1" s="35"/>
      <c r="JH1" s="35"/>
      <c r="JI1" s="35"/>
      <c r="JJ1" s="35"/>
      <c r="JK1" s="35"/>
      <c r="JL1" s="35"/>
      <c r="JM1" s="35"/>
      <c r="JN1" s="35"/>
      <c r="JO1" s="35"/>
      <c r="JP1" s="35"/>
      <c r="JQ1" s="35"/>
      <c r="JR1" s="35"/>
      <c r="JS1" s="35"/>
      <c r="JT1" s="35"/>
      <c r="JU1" s="35"/>
      <c r="JV1" s="35"/>
      <c r="JW1" s="35"/>
      <c r="JX1" s="35"/>
      <c r="JY1" s="35"/>
      <c r="JZ1" s="35"/>
      <c r="KA1" s="35"/>
      <c r="KB1" s="35"/>
      <c r="KC1" s="35"/>
      <c r="KD1" s="35"/>
      <c r="KE1" s="35"/>
      <c r="KF1" s="35"/>
      <c r="KG1" s="35"/>
      <c r="KH1" s="35"/>
      <c r="KI1" s="35"/>
      <c r="KJ1" s="35"/>
      <c r="KK1" s="35"/>
      <c r="KL1" s="35"/>
      <c r="KM1" s="35"/>
      <c r="KN1" s="35"/>
      <c r="KO1" s="35"/>
      <c r="KP1" s="35"/>
      <c r="KQ1" s="35"/>
      <c r="KR1" s="35"/>
      <c r="KS1" s="35"/>
      <c r="KT1" s="35"/>
      <c r="KU1" s="35"/>
      <c r="KV1" s="35"/>
      <c r="KW1" s="35"/>
      <c r="KX1" s="35"/>
      <c r="KY1" s="35"/>
      <c r="KZ1" s="35"/>
      <c r="LA1" s="35"/>
      <c r="LB1" s="35"/>
      <c r="LC1" s="35"/>
      <c r="LD1" s="35"/>
      <c r="LE1" s="35"/>
      <c r="LF1" s="35"/>
      <c r="LG1" s="35"/>
      <c r="LH1" s="35"/>
      <c r="LI1" s="35"/>
      <c r="LJ1" s="35"/>
      <c r="LK1" s="35"/>
      <c r="LL1" s="35"/>
      <c r="LM1" s="35"/>
      <c r="LN1" s="35"/>
      <c r="LO1" s="35"/>
      <c r="LP1" s="35"/>
      <c r="LQ1" s="35"/>
      <c r="LR1" s="35"/>
      <c r="LS1" s="35"/>
      <c r="LT1" s="35"/>
      <c r="LU1" s="35"/>
      <c r="LV1" s="35"/>
      <c r="LW1" s="35"/>
      <c r="LX1" s="35"/>
      <c r="LY1" s="35"/>
      <c r="LZ1" s="35"/>
      <c r="MA1" s="35"/>
      <c r="MB1" s="35"/>
      <c r="MC1" s="35"/>
      <c r="MD1" s="35"/>
      <c r="ME1" s="35"/>
      <c r="MF1" s="35"/>
      <c r="MG1" s="35"/>
      <c r="MH1" s="35"/>
      <c r="MI1" s="35"/>
      <c r="MJ1" s="35"/>
      <c r="MK1" s="35"/>
      <c r="ML1" s="35"/>
      <c r="MM1" s="35"/>
      <c r="MN1" s="35"/>
      <c r="MO1" s="35"/>
      <c r="MP1" s="35"/>
      <c r="MQ1" s="35"/>
      <c r="MR1" s="35"/>
      <c r="MS1" s="35"/>
      <c r="MT1" s="35"/>
      <c r="MU1" s="35"/>
      <c r="MV1" s="35"/>
      <c r="MW1" s="35"/>
      <c r="MX1" s="35"/>
      <c r="MY1" s="35"/>
      <c r="MZ1" s="35"/>
      <c r="NA1" s="35"/>
      <c r="NB1" s="35"/>
      <c r="NC1" s="35"/>
      <c r="ND1" s="35"/>
      <c r="NE1" s="35"/>
      <c r="NF1" s="35"/>
      <c r="NG1" s="35"/>
      <c r="NH1" s="35"/>
      <c r="NI1" s="35"/>
      <c r="NJ1" s="35"/>
      <c r="NK1" s="35"/>
      <c r="NL1" s="35"/>
      <c r="NM1" s="35"/>
      <c r="NN1" s="35"/>
      <c r="NO1" s="35"/>
      <c r="NP1" s="35"/>
      <c r="NQ1" s="35"/>
      <c r="NR1" s="35"/>
      <c r="NS1" s="35"/>
      <c r="NT1" s="35"/>
      <c r="NU1" s="35"/>
      <c r="NV1" s="35"/>
      <c r="NW1" s="35"/>
      <c r="NX1" s="35"/>
      <c r="NY1" s="35"/>
      <c r="NZ1" s="35"/>
      <c r="OA1" s="35"/>
      <c r="OB1" s="35"/>
      <c r="OC1" s="35"/>
      <c r="OD1" s="35"/>
      <c r="OE1" s="35"/>
      <c r="OF1" s="35"/>
      <c r="OG1" s="35"/>
      <c r="OH1" s="35"/>
      <c r="OI1" s="35"/>
      <c r="OJ1" s="35"/>
      <c r="OK1" s="35"/>
      <c r="OL1" s="35"/>
      <c r="OM1" s="35"/>
      <c r="ON1" s="35"/>
      <c r="OO1" s="35"/>
      <c r="OP1" s="35"/>
      <c r="OQ1" s="35"/>
      <c r="OR1" s="35"/>
      <c r="OS1" s="35"/>
      <c r="OT1" s="35"/>
      <c r="OU1" s="35"/>
      <c r="OV1" s="35"/>
      <c r="OW1" s="35"/>
      <c r="OX1" s="35"/>
      <c r="OY1" s="35"/>
      <c r="OZ1" s="35"/>
      <c r="PA1" s="35"/>
      <c r="PB1" s="35"/>
      <c r="PC1" s="35"/>
      <c r="PD1" s="35"/>
      <c r="PE1" s="35"/>
      <c r="PF1" s="35"/>
      <c r="PG1" s="35"/>
      <c r="PH1" s="35"/>
      <c r="PI1" s="35"/>
      <c r="PJ1" s="35"/>
      <c r="PK1" s="35"/>
      <c r="PL1" s="35"/>
      <c r="PM1" s="35"/>
      <c r="PN1" s="35"/>
      <c r="PO1" s="35"/>
      <c r="PP1" s="35"/>
      <c r="PQ1" s="35"/>
      <c r="PR1" s="35"/>
      <c r="PS1" s="35"/>
      <c r="PT1" s="35"/>
      <c r="PU1" s="35"/>
      <c r="PV1" s="35"/>
      <c r="PW1" s="35"/>
      <c r="PX1" s="35"/>
      <c r="PY1" s="35"/>
      <c r="PZ1" s="35"/>
      <c r="QA1" s="35"/>
      <c r="QB1" s="35"/>
      <c r="QC1" s="35"/>
      <c r="QD1" s="35"/>
      <c r="QE1" s="35"/>
      <c r="QF1" s="35"/>
      <c r="QG1" s="35"/>
      <c r="QH1" s="35"/>
      <c r="QI1" s="35"/>
      <c r="QJ1" s="35"/>
      <c r="QK1" s="35"/>
      <c r="QL1" s="35"/>
      <c r="QM1" s="35"/>
      <c r="QN1" s="35"/>
      <c r="QO1" s="35"/>
      <c r="QP1" s="35"/>
      <c r="QQ1" s="35"/>
      <c r="QR1" s="35"/>
      <c r="QS1" s="35"/>
      <c r="QT1" s="35"/>
      <c r="QU1" s="35"/>
      <c r="QV1" s="35"/>
      <c r="QW1" s="35"/>
      <c r="QX1" s="35"/>
      <c r="QY1" s="35"/>
      <c r="QZ1" s="35"/>
      <c r="RA1" s="35"/>
      <c r="RB1" s="35"/>
      <c r="RC1" s="35"/>
      <c r="RD1" s="35"/>
      <c r="RE1" s="35"/>
      <c r="RF1" s="35"/>
      <c r="RG1" s="35"/>
      <c r="RH1" s="35"/>
      <c r="RI1" s="35"/>
      <c r="RJ1" s="35"/>
      <c r="RK1" s="35"/>
      <c r="RL1" s="35"/>
      <c r="RM1" s="35"/>
      <c r="RN1" s="35"/>
      <c r="RO1" s="35"/>
      <c r="RP1" s="35"/>
      <c r="RQ1" s="35"/>
      <c r="RR1" s="35"/>
      <c r="RS1" s="35"/>
      <c r="RT1" s="35"/>
      <c r="RU1" s="35"/>
      <c r="RV1" s="35"/>
      <c r="RW1" s="35"/>
      <c r="RX1" s="35"/>
      <c r="RY1" s="35"/>
      <c r="RZ1" s="35"/>
      <c r="SA1" s="35"/>
      <c r="SB1" s="35"/>
      <c r="SC1" s="35"/>
      <c r="SD1" s="35"/>
      <c r="SE1" s="35"/>
      <c r="SF1" s="35"/>
      <c r="SG1" s="35"/>
      <c r="SH1" s="35"/>
      <c r="SI1" s="35"/>
      <c r="SJ1" s="35"/>
      <c r="SK1" s="35"/>
      <c r="SL1" s="35"/>
      <c r="SM1" s="35"/>
      <c r="SN1" s="35"/>
      <c r="SO1" s="35"/>
      <c r="SP1" s="35"/>
      <c r="SQ1" s="35"/>
      <c r="SR1" s="35"/>
      <c r="SS1" s="35"/>
      <c r="ST1" s="35"/>
      <c r="SU1" s="35"/>
      <c r="SV1" s="35"/>
      <c r="SW1" s="35"/>
      <c r="SX1" s="35"/>
      <c r="SY1" s="35"/>
      <c r="SZ1" s="35"/>
      <c r="TA1" s="35"/>
      <c r="TB1" s="35"/>
      <c r="TC1" s="35"/>
      <c r="TD1" s="35"/>
      <c r="TE1" s="35"/>
      <c r="TF1" s="35"/>
      <c r="TG1" s="35"/>
      <c r="TH1" s="35"/>
      <c r="TI1" s="35"/>
      <c r="TJ1" s="35"/>
      <c r="TK1" s="35"/>
      <c r="TL1" s="35"/>
      <c r="TM1" s="35"/>
      <c r="TN1" s="35"/>
      <c r="TO1" s="35"/>
      <c r="TP1" s="35"/>
      <c r="TQ1" s="35"/>
      <c r="TR1" s="35"/>
      <c r="TS1" s="35"/>
      <c r="TT1" s="35"/>
      <c r="TU1" s="35"/>
      <c r="TV1" s="35"/>
      <c r="TW1" s="35"/>
      <c r="TX1" s="35"/>
      <c r="TY1" s="35"/>
      <c r="TZ1" s="35"/>
      <c r="UA1" s="35"/>
      <c r="UB1" s="35"/>
      <c r="UC1" s="35"/>
      <c r="UD1" s="35"/>
      <c r="UE1" s="35"/>
      <c r="UF1" s="35"/>
      <c r="UG1" s="35"/>
      <c r="UH1" s="35"/>
      <c r="UI1" s="35"/>
      <c r="UJ1" s="35"/>
      <c r="UK1" s="35"/>
      <c r="UL1" s="35"/>
      <c r="UM1" s="35"/>
      <c r="UN1" s="35"/>
      <c r="UO1" s="35"/>
      <c r="UP1" s="35"/>
      <c r="UQ1" s="35"/>
      <c r="UR1" s="35"/>
      <c r="US1" s="35"/>
      <c r="UT1" s="35"/>
      <c r="UU1" s="35"/>
      <c r="UV1" s="35"/>
      <c r="UW1" s="35"/>
      <c r="UX1" s="35"/>
      <c r="UY1" s="35"/>
      <c r="UZ1" s="35"/>
      <c r="VA1" s="35"/>
      <c r="VB1" s="35"/>
      <c r="VC1" s="35"/>
      <c r="VD1" s="35"/>
      <c r="VE1" s="35"/>
      <c r="VF1" s="35"/>
      <c r="VG1" s="35"/>
      <c r="VH1" s="35"/>
      <c r="VI1" s="35"/>
      <c r="VJ1" s="35"/>
      <c r="VK1" s="35"/>
      <c r="VL1" s="35"/>
      <c r="VM1" s="35"/>
      <c r="VN1" s="35"/>
      <c r="VO1" s="35"/>
      <c r="VP1" s="35"/>
      <c r="VQ1" s="35"/>
      <c r="VR1" s="35"/>
      <c r="VS1" s="35"/>
      <c r="VT1" s="35"/>
      <c r="VU1" s="35"/>
      <c r="VV1" s="35"/>
      <c r="VW1" s="35"/>
      <c r="VX1" s="35"/>
      <c r="VY1" s="35"/>
      <c r="VZ1" s="35"/>
      <c r="WA1" s="35"/>
      <c r="WB1" s="35"/>
      <c r="WC1" s="35"/>
      <c r="WD1" s="35"/>
      <c r="WE1" s="35"/>
      <c r="WF1" s="35"/>
      <c r="WG1" s="35"/>
      <c r="WH1" s="35"/>
      <c r="WI1" s="35"/>
      <c r="WJ1" s="35"/>
      <c r="WK1" s="35"/>
      <c r="WL1" s="35"/>
      <c r="WM1" s="35"/>
      <c r="WN1" s="35"/>
      <c r="WO1" s="35"/>
      <c r="WP1" s="35"/>
      <c r="WQ1" s="35"/>
      <c r="WR1" s="35"/>
      <c r="WS1" s="35"/>
      <c r="WT1" s="35"/>
      <c r="WU1" s="35"/>
      <c r="WV1" s="35"/>
      <c r="WW1" s="35"/>
      <c r="WX1" s="35"/>
      <c r="WY1" s="35"/>
      <c r="WZ1" s="35"/>
      <c r="XA1" s="35"/>
      <c r="XB1" s="35"/>
      <c r="XC1" s="35"/>
      <c r="XD1" s="35"/>
      <c r="XE1" s="35"/>
      <c r="XF1" s="35"/>
      <c r="XG1" s="35"/>
      <c r="XH1" s="35"/>
      <c r="XI1" s="35"/>
      <c r="XJ1" s="35"/>
      <c r="XK1" s="35"/>
      <c r="XL1" s="35"/>
      <c r="XM1" s="35"/>
      <c r="XN1" s="35"/>
      <c r="XO1" s="35"/>
      <c r="XP1" s="35"/>
      <c r="XQ1" s="35"/>
      <c r="XR1" s="35"/>
      <c r="XS1" s="35"/>
      <c r="XT1" s="35"/>
      <c r="XU1" s="35"/>
      <c r="XV1" s="35"/>
      <c r="XW1" s="35"/>
      <c r="XX1" s="35"/>
      <c r="XY1" s="35"/>
      <c r="XZ1" s="35"/>
      <c r="YA1" s="35"/>
      <c r="YB1" s="35"/>
      <c r="YC1" s="35"/>
      <c r="YD1" s="35"/>
      <c r="YE1" s="35"/>
      <c r="YF1" s="35"/>
      <c r="YG1" s="35"/>
      <c r="YH1" s="35"/>
      <c r="YI1" s="35"/>
      <c r="YJ1" s="35"/>
      <c r="YK1" s="35"/>
      <c r="YL1" s="35"/>
      <c r="YM1" s="35"/>
      <c r="YN1" s="35"/>
      <c r="YO1" s="35"/>
      <c r="YP1" s="35"/>
      <c r="YQ1" s="35"/>
      <c r="YR1" s="35"/>
      <c r="YS1" s="35"/>
      <c r="YT1" s="35"/>
      <c r="YU1" s="35"/>
      <c r="YV1" s="35"/>
      <c r="YW1" s="35"/>
      <c r="YX1" s="35"/>
      <c r="YY1" s="35"/>
      <c r="YZ1" s="35"/>
      <c r="ZA1" s="35"/>
      <c r="ZB1" s="35"/>
      <c r="ZC1" s="35"/>
      <c r="ZD1" s="35"/>
      <c r="ZE1" s="35"/>
      <c r="ZF1" s="35"/>
      <c r="ZG1" s="35"/>
      <c r="ZH1" s="35"/>
      <c r="ZI1" s="35"/>
      <c r="ZJ1" s="35"/>
      <c r="ZK1" s="35"/>
      <c r="ZL1" s="35"/>
      <c r="ZM1" s="35"/>
      <c r="ZN1" s="35"/>
      <c r="ZO1" s="35"/>
      <c r="ZP1" s="35"/>
      <c r="ZQ1" s="35"/>
      <c r="ZR1" s="35"/>
      <c r="ZS1" s="35"/>
      <c r="ZT1" s="35"/>
      <c r="ZU1" s="35"/>
      <c r="ZV1" s="35"/>
      <c r="ZW1" s="35"/>
      <c r="ZX1" s="35"/>
      <c r="ZY1" s="35"/>
      <c r="ZZ1" s="35"/>
      <c r="AAA1" s="35"/>
      <c r="AAB1" s="35"/>
      <c r="AAC1" s="35"/>
      <c r="AAD1" s="35"/>
      <c r="AAE1" s="35"/>
      <c r="AAF1" s="35"/>
      <c r="AAG1" s="35"/>
      <c r="AAH1" s="35"/>
      <c r="AAI1" s="35"/>
      <c r="AAJ1" s="35"/>
      <c r="AAK1" s="35"/>
      <c r="AAL1" s="35"/>
      <c r="AAM1" s="35"/>
      <c r="AAN1" s="35"/>
      <c r="AAO1" s="35"/>
      <c r="AAP1" s="35"/>
      <c r="AAQ1" s="35"/>
      <c r="AAR1" s="35"/>
      <c r="AAS1" s="35"/>
      <c r="AAT1" s="35"/>
      <c r="AAU1" s="35"/>
      <c r="AAV1" s="35"/>
      <c r="AAW1" s="35"/>
      <c r="AAX1" s="35"/>
      <c r="AAY1" s="35"/>
      <c r="AAZ1" s="35"/>
      <c r="ABA1" s="35"/>
      <c r="ABB1" s="35"/>
      <c r="ABC1" s="35"/>
      <c r="ABD1" s="35"/>
      <c r="ABE1" s="35"/>
      <c r="ABF1" s="35"/>
      <c r="ABG1" s="35"/>
      <c r="ABH1" s="35"/>
      <c r="ABI1" s="35"/>
      <c r="ABJ1" s="35"/>
      <c r="ABK1" s="35"/>
      <c r="ABL1" s="35"/>
      <c r="ABM1" s="35"/>
      <c r="ABN1" s="35"/>
      <c r="ABO1" s="35"/>
      <c r="ABP1" s="35"/>
      <c r="ABQ1" s="35"/>
      <c r="ABR1" s="35"/>
      <c r="ABS1" s="35"/>
      <c r="ABT1" s="35"/>
      <c r="ABU1" s="35"/>
      <c r="ABV1" s="35"/>
      <c r="ABW1" s="35"/>
      <c r="ABX1" s="35"/>
      <c r="ABY1" s="35"/>
      <c r="ABZ1" s="35"/>
      <c r="ACA1" s="35"/>
      <c r="ACB1" s="35"/>
      <c r="ACC1" s="35"/>
      <c r="ACD1" s="35"/>
      <c r="ACE1" s="35"/>
      <c r="ACF1" s="35"/>
      <c r="ACG1" s="35"/>
      <c r="ACH1" s="35"/>
      <c r="ACI1" s="35"/>
      <c r="ACJ1" s="35"/>
      <c r="ACK1" s="35"/>
      <c r="ACL1" s="35"/>
      <c r="ACM1" s="35"/>
      <c r="ACN1" s="35"/>
      <c r="ACO1" s="35"/>
      <c r="ACP1" s="35"/>
      <c r="ACQ1" s="35"/>
      <c r="ACR1" s="35"/>
      <c r="ACS1" s="35"/>
      <c r="ACT1" s="35"/>
      <c r="ACU1" s="35"/>
      <c r="ACV1" s="35"/>
      <c r="ACW1" s="35"/>
      <c r="ACX1" s="35"/>
      <c r="ACY1" s="35"/>
      <c r="ACZ1" s="35"/>
      <c r="ADA1" s="35"/>
      <c r="ADB1" s="35"/>
      <c r="ADC1" s="35"/>
      <c r="ADD1" s="35"/>
      <c r="ADE1" s="35"/>
      <c r="ADF1" s="35"/>
      <c r="ADG1" s="35"/>
      <c r="ADH1" s="35"/>
      <c r="ADI1" s="35"/>
      <c r="ADJ1" s="35"/>
      <c r="ADK1" s="35"/>
      <c r="ADL1" s="35"/>
      <c r="ADM1" s="35"/>
      <c r="ADN1" s="35"/>
      <c r="ADO1" s="35"/>
      <c r="ADP1" s="35"/>
      <c r="ADQ1" s="35"/>
      <c r="ADR1" s="35"/>
      <c r="ADS1" s="35"/>
      <c r="ADT1" s="35"/>
      <c r="ADU1" s="35"/>
      <c r="ADV1" s="35"/>
      <c r="ADW1" s="35"/>
      <c r="ADX1" s="35"/>
      <c r="ADY1" s="35"/>
      <c r="ADZ1" s="35"/>
      <c r="AEA1" s="35"/>
      <c r="AEB1" s="35"/>
      <c r="AEC1" s="35"/>
      <c r="AED1" s="35"/>
      <c r="AEE1" s="35"/>
      <c r="AEF1" s="35"/>
      <c r="AEG1" s="35"/>
      <c r="AEH1" s="35"/>
      <c r="AEI1" s="35"/>
      <c r="AEJ1" s="35"/>
      <c r="AEK1" s="35"/>
      <c r="AEL1" s="35"/>
      <c r="AEM1" s="35"/>
      <c r="AEN1" s="35"/>
      <c r="AEO1" s="35"/>
      <c r="AEP1" s="35"/>
      <c r="AEQ1" s="35"/>
      <c r="AER1" s="35"/>
      <c r="AES1" s="35"/>
      <c r="AET1" s="35"/>
      <c r="AEU1" s="35"/>
      <c r="AEV1" s="35"/>
      <c r="AEW1" s="35"/>
      <c r="AEX1" s="35"/>
      <c r="AEY1" s="35"/>
      <c r="AEZ1" s="35"/>
      <c r="AFA1" s="35"/>
      <c r="AFB1" s="35"/>
      <c r="AFC1" s="35"/>
      <c r="AFD1" s="35"/>
      <c r="AFE1" s="35"/>
      <c r="AFF1" s="35"/>
      <c r="AFG1" s="35"/>
      <c r="AFH1" s="35"/>
      <c r="AFI1" s="35"/>
      <c r="AFJ1" s="35"/>
      <c r="AFK1" s="35"/>
      <c r="AFL1" s="35"/>
      <c r="AFM1" s="35"/>
      <c r="AFN1" s="35"/>
      <c r="AFO1" s="35"/>
      <c r="AFP1" s="35"/>
      <c r="AFQ1" s="35"/>
      <c r="AFR1" s="35"/>
      <c r="AFS1" s="35"/>
      <c r="AFT1" s="35"/>
      <c r="AFU1" s="35"/>
      <c r="AFV1" s="35"/>
      <c r="AFW1" s="35"/>
      <c r="AFX1" s="35"/>
      <c r="AFY1" s="35"/>
      <c r="AFZ1" s="35"/>
      <c r="AGA1" s="35"/>
      <c r="AGB1" s="35"/>
      <c r="AGC1" s="35"/>
      <c r="AGD1" s="35"/>
      <c r="AGE1" s="35"/>
      <c r="AGF1" s="35"/>
      <c r="AGG1" s="35"/>
      <c r="AGH1" s="35"/>
      <c r="AGI1" s="35"/>
      <c r="AGJ1" s="35"/>
      <c r="AGK1" s="35"/>
      <c r="AGL1" s="35"/>
      <c r="AGM1" s="35"/>
      <c r="AGN1" s="35"/>
      <c r="AGO1" s="35"/>
      <c r="AGP1" s="35"/>
      <c r="AGQ1" s="35"/>
      <c r="AGR1" s="35"/>
      <c r="AGS1" s="35"/>
      <c r="AGT1" s="35"/>
      <c r="AGU1" s="35"/>
      <c r="AGV1" s="35"/>
      <c r="AGW1" s="35"/>
      <c r="AGX1" s="35"/>
      <c r="AGY1" s="35"/>
      <c r="AGZ1" s="35"/>
      <c r="AHA1" s="35"/>
      <c r="AHB1" s="35"/>
      <c r="AHC1" s="35"/>
      <c r="AHD1" s="35"/>
      <c r="AHE1" s="35"/>
      <c r="AHF1" s="35"/>
      <c r="AHG1" s="35"/>
      <c r="AHH1" s="35"/>
      <c r="AHI1" s="35"/>
      <c r="AHJ1" s="35"/>
      <c r="AHK1" s="35"/>
      <c r="AHL1" s="35"/>
      <c r="AHM1" s="35"/>
      <c r="AHN1" s="35"/>
      <c r="AHO1" s="35"/>
      <c r="AHP1" s="35"/>
      <c r="AHQ1" s="35"/>
      <c r="AHR1" s="35"/>
      <c r="AHS1" s="35"/>
      <c r="AHT1" s="35"/>
      <c r="AHU1" s="35"/>
      <c r="AHV1" s="35"/>
      <c r="AHW1" s="35"/>
      <c r="AHX1" s="35"/>
      <c r="AHY1" s="35"/>
      <c r="AHZ1" s="35"/>
      <c r="AIA1" s="35"/>
      <c r="AIB1" s="35"/>
      <c r="AIC1" s="35"/>
      <c r="AID1" s="35"/>
      <c r="AIE1" s="35"/>
      <c r="AIF1" s="35"/>
      <c r="AIG1" s="35"/>
      <c r="AIH1" s="35"/>
      <c r="AII1" s="35"/>
      <c r="AIJ1" s="35"/>
      <c r="AIK1" s="35"/>
      <c r="AIL1" s="35"/>
      <c r="AIM1" s="35"/>
      <c r="AIN1" s="35"/>
      <c r="AIO1" s="35"/>
      <c r="AIP1" s="35"/>
      <c r="AIQ1" s="35"/>
      <c r="AIR1" s="35"/>
      <c r="AIS1" s="35"/>
      <c r="AIT1" s="35"/>
      <c r="AIU1" s="35"/>
      <c r="AIV1" s="35"/>
      <c r="AIW1" s="35"/>
      <c r="AIX1" s="35"/>
      <c r="AIY1" s="35"/>
      <c r="AIZ1" s="35"/>
      <c r="AJA1" s="35"/>
      <c r="AJB1" s="35"/>
      <c r="AJC1" s="35"/>
      <c r="AJD1" s="35"/>
      <c r="AJE1" s="35"/>
      <c r="AJF1" s="35"/>
      <c r="AJG1" s="35"/>
      <c r="AJH1" s="35"/>
      <c r="AJI1" s="35"/>
      <c r="AJJ1" s="35"/>
      <c r="AJK1" s="35"/>
      <c r="AJL1" s="35"/>
      <c r="AJM1" s="35"/>
      <c r="AJN1" s="35"/>
      <c r="AJO1" s="35"/>
      <c r="AJP1" s="35"/>
      <c r="AJQ1" s="35"/>
      <c r="AJR1" s="35"/>
      <c r="AJS1" s="35"/>
      <c r="AJT1" s="35"/>
      <c r="AJU1" s="35"/>
      <c r="AJV1" s="35"/>
      <c r="AJW1" s="35"/>
      <c r="AJX1" s="35"/>
      <c r="AJY1" s="35"/>
      <c r="AJZ1" s="35"/>
      <c r="AKA1" s="35"/>
      <c r="AKB1" s="35"/>
      <c r="AKC1" s="35"/>
      <c r="AKD1" s="35"/>
      <c r="AKE1" s="35"/>
      <c r="AKF1" s="35"/>
      <c r="AKG1" s="35"/>
      <c r="AKH1" s="35"/>
      <c r="AKI1" s="35"/>
      <c r="AKJ1" s="35"/>
      <c r="AKK1" s="35"/>
      <c r="AKL1" s="35"/>
      <c r="AKM1" s="35"/>
      <c r="AKN1" s="35"/>
      <c r="AKO1" s="35"/>
      <c r="AKP1" s="35"/>
      <c r="AKQ1" s="35"/>
      <c r="AKR1" s="35"/>
      <c r="AKS1" s="35"/>
      <c r="AKT1" s="35"/>
      <c r="AKU1" s="35"/>
      <c r="AKV1" s="35"/>
      <c r="AKW1" s="35"/>
      <c r="AKX1" s="35"/>
      <c r="AKY1" s="35"/>
      <c r="AKZ1" s="35"/>
      <c r="ALA1" s="35"/>
      <c r="ALB1" s="35"/>
      <c r="ALC1" s="35"/>
      <c r="ALD1" s="35"/>
      <c r="ALE1" s="35"/>
      <c r="ALF1" s="35"/>
      <c r="ALG1" s="35"/>
      <c r="ALH1" s="35"/>
      <c r="ALI1" s="35"/>
      <c r="ALJ1" s="35"/>
      <c r="ALK1" s="35"/>
      <c r="ALL1" s="35"/>
      <c r="ALM1" s="35"/>
      <c r="ALN1" s="35"/>
      <c r="ALO1" s="35"/>
      <c r="ALP1" s="35"/>
      <c r="ALQ1" s="35"/>
      <c r="ALR1" s="35"/>
      <c r="ALS1" s="35"/>
      <c r="ALT1" s="35"/>
      <c r="ALU1" s="35"/>
      <c r="ALV1" s="35"/>
      <c r="ALW1" s="35"/>
      <c r="ALX1" s="35"/>
      <c r="ALY1" s="35"/>
      <c r="ALZ1" s="35"/>
      <c r="AMA1" s="35"/>
      <c r="AMB1" s="35"/>
      <c r="AMC1" s="35"/>
      <c r="AMD1" s="35"/>
      <c r="AME1" s="35"/>
      <c r="AMF1" s="35"/>
      <c r="AMG1" s="35"/>
      <c r="AMH1" s="35"/>
      <c r="AMI1" s="35"/>
      <c r="AMJ1" s="1"/>
    </row>
    <row r="2" customFormat="false" ht="12.8" hidden="false" customHeight="false" outlineLevel="1" collapsed="false">
      <c r="A2" s="31"/>
      <c r="B2" s="33"/>
      <c r="C2" s="33"/>
      <c r="D2" s="33"/>
      <c r="E2" s="34"/>
      <c r="F2" s="34"/>
      <c r="G2" s="33"/>
      <c r="H2" s="83"/>
      <c r="I2" s="33"/>
      <c r="J2" s="83"/>
      <c r="K2" s="72"/>
      <c r="L2" s="72"/>
      <c r="M2" s="72"/>
      <c r="N2" s="72"/>
      <c r="O2" s="33"/>
      <c r="P2" s="33"/>
      <c r="Q2" s="33"/>
      <c r="R2" s="33"/>
      <c r="S2" s="33"/>
      <c r="T2" s="33"/>
      <c r="U2" s="33"/>
      <c r="V2" s="72"/>
      <c r="W2" s="31"/>
      <c r="X2" s="31"/>
      <c r="Y2" s="31"/>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c r="CF2" s="35"/>
      <c r="CG2" s="35"/>
      <c r="CH2" s="35"/>
      <c r="CI2" s="35"/>
      <c r="CJ2" s="35"/>
      <c r="CK2" s="35"/>
      <c r="CL2" s="35"/>
      <c r="CM2" s="35"/>
      <c r="CN2" s="35"/>
      <c r="CO2" s="35"/>
      <c r="CP2" s="35"/>
      <c r="CQ2" s="35"/>
      <c r="CR2" s="35"/>
      <c r="CS2" s="35"/>
      <c r="CT2" s="35"/>
      <c r="CU2" s="35"/>
      <c r="CV2" s="35"/>
      <c r="CW2" s="35"/>
      <c r="CX2" s="35"/>
      <c r="CY2" s="35"/>
      <c r="CZ2" s="35"/>
      <c r="DA2" s="35"/>
      <c r="DB2" s="35"/>
      <c r="DC2" s="35"/>
      <c r="DD2" s="35"/>
      <c r="DE2" s="35"/>
      <c r="DF2" s="35"/>
      <c r="DG2" s="35"/>
      <c r="DH2" s="35"/>
      <c r="DI2" s="35"/>
      <c r="DJ2" s="35"/>
      <c r="DK2" s="35"/>
      <c r="DL2" s="35"/>
      <c r="DM2" s="35"/>
      <c r="DN2" s="35"/>
      <c r="DO2" s="35"/>
      <c r="DP2" s="35"/>
      <c r="DQ2" s="35"/>
      <c r="DR2" s="35"/>
      <c r="DS2" s="35"/>
      <c r="DT2" s="35"/>
      <c r="DU2" s="35"/>
      <c r="DV2" s="35"/>
      <c r="DW2" s="35"/>
      <c r="DX2" s="35"/>
      <c r="DY2" s="35"/>
      <c r="DZ2" s="35"/>
      <c r="EA2" s="35"/>
      <c r="EB2" s="35"/>
      <c r="EC2" s="35"/>
      <c r="ED2" s="35"/>
      <c r="EE2" s="35"/>
      <c r="EF2" s="35"/>
      <c r="EG2" s="35"/>
      <c r="EH2" s="35"/>
      <c r="EI2" s="35"/>
      <c r="EJ2" s="35"/>
      <c r="EK2" s="35"/>
      <c r="EL2" s="35"/>
      <c r="EM2" s="35"/>
      <c r="EN2" s="35"/>
      <c r="EO2" s="35"/>
      <c r="EP2" s="35"/>
      <c r="EQ2" s="35"/>
      <c r="ER2" s="35"/>
      <c r="ES2" s="35"/>
      <c r="ET2" s="35"/>
      <c r="EU2" s="35"/>
      <c r="EV2" s="35"/>
      <c r="EW2" s="35"/>
      <c r="EX2" s="35"/>
      <c r="EY2" s="35"/>
      <c r="EZ2" s="35"/>
      <c r="FA2" s="35"/>
      <c r="FB2" s="35"/>
      <c r="FC2" s="35"/>
      <c r="FD2" s="35"/>
      <c r="FE2" s="35"/>
      <c r="FF2" s="35"/>
      <c r="FG2" s="35"/>
      <c r="FH2" s="35"/>
      <c r="FI2" s="35"/>
      <c r="FJ2" s="35"/>
      <c r="FK2" s="35"/>
      <c r="FL2" s="35"/>
      <c r="FM2" s="35"/>
      <c r="FN2" s="35"/>
      <c r="FO2" s="35"/>
      <c r="FP2" s="35"/>
      <c r="FQ2" s="35"/>
      <c r="FR2" s="35"/>
      <c r="FS2" s="35"/>
      <c r="FT2" s="35"/>
      <c r="FU2" s="35"/>
      <c r="FV2" s="35"/>
      <c r="FW2" s="35"/>
      <c r="FX2" s="35"/>
      <c r="FY2" s="35"/>
      <c r="FZ2" s="35"/>
      <c r="GA2" s="35"/>
      <c r="GB2" s="35"/>
      <c r="GC2" s="35"/>
      <c r="GD2" s="35"/>
      <c r="GE2" s="35"/>
      <c r="GF2" s="35"/>
      <c r="GG2" s="35"/>
      <c r="GH2" s="35"/>
      <c r="GI2" s="35"/>
      <c r="GJ2" s="35"/>
      <c r="GK2" s="35"/>
      <c r="GL2" s="35"/>
      <c r="GM2" s="35"/>
      <c r="GN2" s="35"/>
      <c r="GO2" s="35"/>
      <c r="GP2" s="35"/>
      <c r="GQ2" s="35"/>
      <c r="GR2" s="35"/>
      <c r="GS2" s="35"/>
      <c r="GT2" s="35"/>
      <c r="GU2" s="35"/>
      <c r="GV2" s="35"/>
      <c r="GW2" s="35"/>
      <c r="GX2" s="35"/>
      <c r="GY2" s="35"/>
      <c r="GZ2" s="35"/>
      <c r="HA2" s="35"/>
      <c r="HB2" s="35"/>
      <c r="HC2" s="35"/>
      <c r="HD2" s="35"/>
      <c r="HE2" s="35"/>
      <c r="HF2" s="35"/>
      <c r="HG2" s="35"/>
      <c r="HH2" s="35"/>
      <c r="HI2" s="35"/>
      <c r="HJ2" s="35"/>
      <c r="HK2" s="35"/>
      <c r="HL2" s="35"/>
      <c r="HM2" s="35"/>
      <c r="HN2" s="35"/>
      <c r="HO2" s="35"/>
      <c r="HP2" s="35"/>
      <c r="HQ2" s="35"/>
      <c r="HR2" s="35"/>
      <c r="HS2" s="35"/>
      <c r="HT2" s="35"/>
      <c r="HU2" s="35"/>
      <c r="HV2" s="35"/>
      <c r="HW2" s="35"/>
      <c r="HX2" s="35"/>
      <c r="HY2" s="35"/>
      <c r="HZ2" s="35"/>
      <c r="IA2" s="35"/>
      <c r="IB2" s="35"/>
      <c r="IC2" s="35"/>
      <c r="ID2" s="35"/>
      <c r="IE2" s="35"/>
      <c r="IF2" s="35"/>
      <c r="IG2" s="35"/>
      <c r="IH2" s="35"/>
      <c r="II2" s="35"/>
      <c r="IJ2" s="35"/>
      <c r="IK2" s="35"/>
      <c r="IL2" s="35"/>
      <c r="IM2" s="35"/>
      <c r="IN2" s="35"/>
      <c r="IO2" s="35"/>
      <c r="IP2" s="35"/>
      <c r="IQ2" s="35"/>
      <c r="IR2" s="35"/>
      <c r="IS2" s="35"/>
      <c r="IT2" s="35"/>
      <c r="IU2" s="35"/>
      <c r="IV2" s="35"/>
      <c r="IW2" s="35"/>
      <c r="IX2" s="35"/>
      <c r="IY2" s="35"/>
      <c r="IZ2" s="35"/>
      <c r="JA2" s="35"/>
      <c r="JB2" s="35"/>
      <c r="JC2" s="35"/>
      <c r="JD2" s="35"/>
      <c r="JE2" s="35"/>
      <c r="JF2" s="35"/>
      <c r="JG2" s="35"/>
      <c r="JH2" s="35"/>
      <c r="JI2" s="35"/>
      <c r="JJ2" s="35"/>
      <c r="JK2" s="35"/>
      <c r="JL2" s="35"/>
      <c r="JM2" s="35"/>
      <c r="JN2" s="35"/>
      <c r="JO2" s="35"/>
      <c r="JP2" s="35"/>
      <c r="JQ2" s="35"/>
      <c r="JR2" s="35"/>
      <c r="JS2" s="35"/>
      <c r="JT2" s="35"/>
      <c r="JU2" s="35"/>
      <c r="JV2" s="35"/>
      <c r="JW2" s="35"/>
      <c r="JX2" s="35"/>
      <c r="JY2" s="35"/>
      <c r="JZ2" s="35"/>
      <c r="KA2" s="35"/>
      <c r="KB2" s="35"/>
      <c r="KC2" s="35"/>
      <c r="KD2" s="35"/>
      <c r="KE2" s="35"/>
      <c r="KF2" s="35"/>
      <c r="KG2" s="35"/>
      <c r="KH2" s="35"/>
      <c r="KI2" s="35"/>
      <c r="KJ2" s="35"/>
      <c r="KK2" s="35"/>
      <c r="KL2" s="35"/>
      <c r="KM2" s="35"/>
      <c r="KN2" s="35"/>
      <c r="KO2" s="35"/>
      <c r="KP2" s="35"/>
      <c r="KQ2" s="35"/>
      <c r="KR2" s="35"/>
      <c r="KS2" s="35"/>
      <c r="KT2" s="35"/>
      <c r="KU2" s="35"/>
      <c r="KV2" s="35"/>
      <c r="KW2" s="35"/>
      <c r="KX2" s="35"/>
      <c r="KY2" s="35"/>
      <c r="KZ2" s="35"/>
      <c r="LA2" s="35"/>
      <c r="LB2" s="35"/>
      <c r="LC2" s="35"/>
      <c r="LD2" s="35"/>
      <c r="LE2" s="35"/>
      <c r="LF2" s="35"/>
      <c r="LG2" s="35"/>
      <c r="LH2" s="35"/>
      <c r="LI2" s="35"/>
      <c r="LJ2" s="35"/>
      <c r="LK2" s="35"/>
      <c r="LL2" s="35"/>
      <c r="LM2" s="35"/>
      <c r="LN2" s="35"/>
      <c r="LO2" s="35"/>
      <c r="LP2" s="35"/>
      <c r="LQ2" s="35"/>
      <c r="LR2" s="35"/>
      <c r="LS2" s="35"/>
      <c r="LT2" s="35"/>
      <c r="LU2" s="35"/>
      <c r="LV2" s="35"/>
      <c r="LW2" s="35"/>
      <c r="LX2" s="35"/>
      <c r="LY2" s="35"/>
      <c r="LZ2" s="35"/>
      <c r="MA2" s="35"/>
      <c r="MB2" s="35"/>
      <c r="MC2" s="35"/>
      <c r="MD2" s="35"/>
      <c r="ME2" s="35"/>
      <c r="MF2" s="35"/>
      <c r="MG2" s="35"/>
      <c r="MH2" s="35"/>
      <c r="MI2" s="35"/>
      <c r="MJ2" s="35"/>
      <c r="MK2" s="35"/>
      <c r="ML2" s="35"/>
      <c r="MM2" s="35"/>
      <c r="MN2" s="35"/>
      <c r="MO2" s="35"/>
      <c r="MP2" s="35"/>
      <c r="MQ2" s="35"/>
      <c r="MR2" s="35"/>
      <c r="MS2" s="35"/>
      <c r="MT2" s="35"/>
      <c r="MU2" s="35"/>
      <c r="MV2" s="35"/>
      <c r="MW2" s="35"/>
      <c r="MX2" s="35"/>
      <c r="MY2" s="35"/>
      <c r="MZ2" s="35"/>
      <c r="NA2" s="35"/>
      <c r="NB2" s="35"/>
      <c r="NC2" s="35"/>
      <c r="ND2" s="35"/>
      <c r="NE2" s="35"/>
      <c r="NF2" s="35"/>
      <c r="NG2" s="35"/>
      <c r="NH2" s="35"/>
      <c r="NI2" s="35"/>
      <c r="NJ2" s="35"/>
      <c r="NK2" s="35"/>
      <c r="NL2" s="35"/>
      <c r="NM2" s="35"/>
      <c r="NN2" s="35"/>
      <c r="NO2" s="35"/>
      <c r="NP2" s="35"/>
      <c r="NQ2" s="35"/>
      <c r="NR2" s="35"/>
      <c r="NS2" s="35"/>
      <c r="NT2" s="35"/>
      <c r="NU2" s="35"/>
      <c r="NV2" s="35"/>
      <c r="NW2" s="35"/>
      <c r="NX2" s="35"/>
      <c r="NY2" s="35"/>
      <c r="NZ2" s="35"/>
      <c r="OA2" s="35"/>
      <c r="OB2" s="35"/>
      <c r="OC2" s="35"/>
      <c r="OD2" s="35"/>
      <c r="OE2" s="35"/>
      <c r="OF2" s="35"/>
      <c r="OG2" s="35"/>
      <c r="OH2" s="35"/>
      <c r="OI2" s="35"/>
      <c r="OJ2" s="35"/>
      <c r="OK2" s="35"/>
      <c r="OL2" s="35"/>
      <c r="OM2" s="35"/>
      <c r="ON2" s="35"/>
      <c r="OO2" s="35"/>
      <c r="OP2" s="35"/>
      <c r="OQ2" s="35"/>
      <c r="OR2" s="35"/>
      <c r="OS2" s="35"/>
      <c r="OT2" s="35"/>
      <c r="OU2" s="35"/>
      <c r="OV2" s="35"/>
      <c r="OW2" s="35"/>
      <c r="OX2" s="35"/>
      <c r="OY2" s="35"/>
      <c r="OZ2" s="35"/>
      <c r="PA2" s="35"/>
      <c r="PB2" s="35"/>
      <c r="PC2" s="35"/>
      <c r="PD2" s="35"/>
      <c r="PE2" s="35"/>
      <c r="PF2" s="35"/>
      <c r="PG2" s="35"/>
      <c r="PH2" s="35"/>
      <c r="PI2" s="35"/>
      <c r="PJ2" s="35"/>
      <c r="PK2" s="35"/>
      <c r="PL2" s="35"/>
      <c r="PM2" s="35"/>
      <c r="PN2" s="35"/>
      <c r="PO2" s="35"/>
      <c r="PP2" s="35"/>
      <c r="PQ2" s="35"/>
      <c r="PR2" s="35"/>
      <c r="PS2" s="35"/>
      <c r="PT2" s="35"/>
      <c r="PU2" s="35"/>
      <c r="PV2" s="35"/>
      <c r="PW2" s="35"/>
      <c r="PX2" s="35"/>
      <c r="PY2" s="35"/>
      <c r="PZ2" s="35"/>
      <c r="QA2" s="35"/>
      <c r="QB2" s="35"/>
      <c r="QC2" s="35"/>
      <c r="QD2" s="35"/>
      <c r="QE2" s="35"/>
      <c r="QF2" s="35"/>
      <c r="QG2" s="35"/>
      <c r="QH2" s="35"/>
      <c r="QI2" s="35"/>
      <c r="QJ2" s="35"/>
      <c r="QK2" s="35"/>
      <c r="QL2" s="35"/>
      <c r="QM2" s="35"/>
      <c r="QN2" s="35"/>
      <c r="QO2" s="35"/>
      <c r="QP2" s="35"/>
      <c r="QQ2" s="35"/>
      <c r="QR2" s="35"/>
      <c r="QS2" s="35"/>
      <c r="QT2" s="35"/>
      <c r="QU2" s="35"/>
      <c r="QV2" s="35"/>
      <c r="QW2" s="35"/>
      <c r="QX2" s="35"/>
      <c r="QY2" s="35"/>
      <c r="QZ2" s="35"/>
      <c r="RA2" s="35"/>
      <c r="RB2" s="35"/>
      <c r="RC2" s="35"/>
      <c r="RD2" s="35"/>
      <c r="RE2" s="35"/>
      <c r="RF2" s="35"/>
      <c r="RG2" s="35"/>
      <c r="RH2" s="35"/>
      <c r="RI2" s="35"/>
      <c r="RJ2" s="35"/>
      <c r="RK2" s="35"/>
      <c r="RL2" s="35"/>
      <c r="RM2" s="35"/>
      <c r="RN2" s="35"/>
      <c r="RO2" s="35"/>
      <c r="RP2" s="35"/>
      <c r="RQ2" s="35"/>
      <c r="RR2" s="35"/>
      <c r="RS2" s="35"/>
      <c r="RT2" s="35"/>
      <c r="RU2" s="35"/>
      <c r="RV2" s="35"/>
      <c r="RW2" s="35"/>
      <c r="RX2" s="35"/>
      <c r="RY2" s="35"/>
      <c r="RZ2" s="35"/>
      <c r="SA2" s="35"/>
      <c r="SB2" s="35"/>
      <c r="SC2" s="35"/>
      <c r="SD2" s="35"/>
      <c r="SE2" s="35"/>
      <c r="SF2" s="35"/>
      <c r="SG2" s="35"/>
      <c r="SH2" s="35"/>
      <c r="SI2" s="35"/>
      <c r="SJ2" s="35"/>
      <c r="SK2" s="35"/>
      <c r="SL2" s="35"/>
      <c r="SM2" s="35"/>
      <c r="SN2" s="35"/>
      <c r="SO2" s="35"/>
      <c r="SP2" s="35"/>
      <c r="SQ2" s="35"/>
      <c r="SR2" s="35"/>
      <c r="SS2" s="35"/>
      <c r="ST2" s="35"/>
      <c r="SU2" s="35"/>
      <c r="SV2" s="35"/>
      <c r="SW2" s="35"/>
      <c r="SX2" s="35"/>
      <c r="SY2" s="35"/>
      <c r="SZ2" s="35"/>
      <c r="TA2" s="35"/>
      <c r="TB2" s="35"/>
      <c r="TC2" s="35"/>
      <c r="TD2" s="35"/>
      <c r="TE2" s="35"/>
      <c r="TF2" s="35"/>
      <c r="TG2" s="35"/>
      <c r="TH2" s="35"/>
      <c r="TI2" s="35"/>
      <c r="TJ2" s="35"/>
      <c r="TK2" s="35"/>
      <c r="TL2" s="35"/>
      <c r="TM2" s="35"/>
      <c r="TN2" s="35"/>
      <c r="TO2" s="35"/>
      <c r="TP2" s="35"/>
      <c r="TQ2" s="35"/>
      <c r="TR2" s="35"/>
      <c r="TS2" s="35"/>
      <c r="TT2" s="35"/>
      <c r="TU2" s="35"/>
      <c r="TV2" s="35"/>
      <c r="TW2" s="35"/>
      <c r="TX2" s="35"/>
      <c r="TY2" s="35"/>
      <c r="TZ2" s="35"/>
      <c r="UA2" s="35"/>
      <c r="UB2" s="35"/>
      <c r="UC2" s="35"/>
      <c r="UD2" s="35"/>
      <c r="UE2" s="35"/>
      <c r="UF2" s="35"/>
      <c r="UG2" s="35"/>
      <c r="UH2" s="35"/>
      <c r="UI2" s="35"/>
      <c r="UJ2" s="35"/>
      <c r="UK2" s="35"/>
      <c r="UL2" s="35"/>
      <c r="UM2" s="35"/>
      <c r="UN2" s="35"/>
      <c r="UO2" s="35"/>
      <c r="UP2" s="35"/>
      <c r="UQ2" s="35"/>
      <c r="UR2" s="35"/>
      <c r="US2" s="35"/>
      <c r="UT2" s="35"/>
      <c r="UU2" s="35"/>
      <c r="UV2" s="35"/>
      <c r="UW2" s="35"/>
      <c r="UX2" s="35"/>
      <c r="UY2" s="35"/>
      <c r="UZ2" s="35"/>
      <c r="VA2" s="35"/>
      <c r="VB2" s="35"/>
      <c r="VC2" s="35"/>
      <c r="VD2" s="35"/>
      <c r="VE2" s="35"/>
      <c r="VF2" s="35"/>
      <c r="VG2" s="35"/>
      <c r="VH2" s="35"/>
      <c r="VI2" s="35"/>
      <c r="VJ2" s="35"/>
      <c r="VK2" s="35"/>
      <c r="VL2" s="35"/>
      <c r="VM2" s="35"/>
      <c r="VN2" s="35"/>
      <c r="VO2" s="35"/>
      <c r="VP2" s="35"/>
      <c r="VQ2" s="35"/>
      <c r="VR2" s="35"/>
      <c r="VS2" s="35"/>
      <c r="VT2" s="35"/>
      <c r="VU2" s="35"/>
      <c r="VV2" s="35"/>
      <c r="VW2" s="35"/>
      <c r="VX2" s="35"/>
      <c r="VY2" s="35"/>
      <c r="VZ2" s="35"/>
      <c r="WA2" s="35"/>
      <c r="WB2" s="35"/>
      <c r="WC2" s="35"/>
      <c r="WD2" s="35"/>
      <c r="WE2" s="35"/>
      <c r="WF2" s="35"/>
      <c r="WG2" s="35"/>
      <c r="WH2" s="35"/>
      <c r="WI2" s="35"/>
      <c r="WJ2" s="35"/>
      <c r="WK2" s="35"/>
      <c r="WL2" s="35"/>
      <c r="WM2" s="35"/>
      <c r="WN2" s="35"/>
      <c r="WO2" s="35"/>
      <c r="WP2" s="35"/>
      <c r="WQ2" s="35"/>
      <c r="WR2" s="35"/>
      <c r="WS2" s="35"/>
      <c r="WT2" s="35"/>
      <c r="WU2" s="35"/>
      <c r="WV2" s="35"/>
      <c r="WW2" s="35"/>
      <c r="WX2" s="35"/>
      <c r="WY2" s="35"/>
      <c r="WZ2" s="35"/>
      <c r="XA2" s="35"/>
      <c r="XB2" s="35"/>
      <c r="XC2" s="35"/>
      <c r="XD2" s="35"/>
      <c r="XE2" s="35"/>
      <c r="XF2" s="35"/>
      <c r="XG2" s="35"/>
      <c r="XH2" s="35"/>
      <c r="XI2" s="35"/>
      <c r="XJ2" s="35"/>
      <c r="XK2" s="35"/>
      <c r="XL2" s="35"/>
      <c r="XM2" s="35"/>
      <c r="XN2" s="35"/>
      <c r="XO2" s="35"/>
      <c r="XP2" s="35"/>
      <c r="XQ2" s="35"/>
      <c r="XR2" s="35"/>
      <c r="XS2" s="35"/>
      <c r="XT2" s="35"/>
      <c r="XU2" s="35"/>
      <c r="XV2" s="35"/>
      <c r="XW2" s="35"/>
      <c r="XX2" s="35"/>
      <c r="XY2" s="35"/>
      <c r="XZ2" s="35"/>
      <c r="YA2" s="35"/>
      <c r="YB2" s="35"/>
      <c r="YC2" s="35"/>
      <c r="YD2" s="35"/>
      <c r="YE2" s="35"/>
      <c r="YF2" s="35"/>
      <c r="YG2" s="35"/>
      <c r="YH2" s="35"/>
      <c r="YI2" s="35"/>
      <c r="YJ2" s="35"/>
      <c r="YK2" s="35"/>
      <c r="YL2" s="35"/>
      <c r="YM2" s="35"/>
      <c r="YN2" s="35"/>
      <c r="YO2" s="35"/>
      <c r="YP2" s="35"/>
      <c r="YQ2" s="35"/>
      <c r="YR2" s="35"/>
      <c r="YS2" s="35"/>
      <c r="YT2" s="35"/>
      <c r="YU2" s="35"/>
      <c r="YV2" s="35"/>
      <c r="YW2" s="35"/>
      <c r="YX2" s="35"/>
      <c r="YY2" s="35"/>
      <c r="YZ2" s="35"/>
      <c r="ZA2" s="35"/>
      <c r="ZB2" s="35"/>
      <c r="ZC2" s="35"/>
      <c r="ZD2" s="35"/>
      <c r="ZE2" s="35"/>
      <c r="ZF2" s="35"/>
      <c r="ZG2" s="35"/>
      <c r="ZH2" s="35"/>
      <c r="ZI2" s="35"/>
      <c r="ZJ2" s="35"/>
      <c r="ZK2" s="35"/>
      <c r="ZL2" s="35"/>
      <c r="ZM2" s="35"/>
      <c r="ZN2" s="35"/>
      <c r="ZO2" s="35"/>
      <c r="ZP2" s="35"/>
      <c r="ZQ2" s="35"/>
      <c r="ZR2" s="35"/>
      <c r="ZS2" s="35"/>
      <c r="ZT2" s="35"/>
      <c r="ZU2" s="35"/>
      <c r="ZV2" s="35"/>
      <c r="ZW2" s="35"/>
      <c r="ZX2" s="35"/>
      <c r="ZY2" s="35"/>
      <c r="ZZ2" s="35"/>
      <c r="AAA2" s="35"/>
      <c r="AAB2" s="35"/>
      <c r="AAC2" s="35"/>
      <c r="AAD2" s="35"/>
      <c r="AAE2" s="35"/>
      <c r="AAF2" s="35"/>
      <c r="AAG2" s="35"/>
      <c r="AAH2" s="35"/>
      <c r="AAI2" s="35"/>
      <c r="AAJ2" s="35"/>
      <c r="AAK2" s="35"/>
      <c r="AAL2" s="35"/>
      <c r="AAM2" s="35"/>
      <c r="AAN2" s="35"/>
      <c r="AAO2" s="35"/>
      <c r="AAP2" s="35"/>
      <c r="AAQ2" s="35"/>
      <c r="AAR2" s="35"/>
      <c r="AAS2" s="35"/>
      <c r="AAT2" s="35"/>
      <c r="AAU2" s="35"/>
      <c r="AAV2" s="35"/>
      <c r="AAW2" s="35"/>
      <c r="AAX2" s="35"/>
      <c r="AAY2" s="35"/>
      <c r="AAZ2" s="35"/>
      <c r="ABA2" s="35"/>
      <c r="ABB2" s="35"/>
      <c r="ABC2" s="35"/>
      <c r="ABD2" s="35"/>
      <c r="ABE2" s="35"/>
      <c r="ABF2" s="35"/>
      <c r="ABG2" s="35"/>
      <c r="ABH2" s="35"/>
      <c r="ABI2" s="35"/>
      <c r="ABJ2" s="35"/>
      <c r="ABK2" s="35"/>
      <c r="ABL2" s="35"/>
      <c r="ABM2" s="35"/>
      <c r="ABN2" s="35"/>
      <c r="ABO2" s="35"/>
      <c r="ABP2" s="35"/>
      <c r="ABQ2" s="35"/>
      <c r="ABR2" s="35"/>
      <c r="ABS2" s="35"/>
      <c r="ABT2" s="35"/>
      <c r="ABU2" s="35"/>
      <c r="ABV2" s="35"/>
      <c r="ABW2" s="35"/>
      <c r="ABX2" s="35"/>
      <c r="ABY2" s="35"/>
      <c r="ABZ2" s="35"/>
      <c r="ACA2" s="35"/>
      <c r="ACB2" s="35"/>
      <c r="ACC2" s="35"/>
      <c r="ACD2" s="35"/>
      <c r="ACE2" s="35"/>
      <c r="ACF2" s="35"/>
      <c r="ACG2" s="35"/>
      <c r="ACH2" s="35"/>
      <c r="ACI2" s="35"/>
      <c r="ACJ2" s="35"/>
      <c r="ACK2" s="35"/>
      <c r="ACL2" s="35"/>
      <c r="ACM2" s="35"/>
      <c r="ACN2" s="35"/>
      <c r="ACO2" s="35"/>
      <c r="ACP2" s="35"/>
      <c r="ACQ2" s="35"/>
      <c r="ACR2" s="35"/>
      <c r="ACS2" s="35"/>
      <c r="ACT2" s="35"/>
      <c r="ACU2" s="35"/>
      <c r="ACV2" s="35"/>
      <c r="ACW2" s="35"/>
      <c r="ACX2" s="35"/>
      <c r="ACY2" s="35"/>
      <c r="ACZ2" s="35"/>
      <c r="ADA2" s="35"/>
      <c r="ADB2" s="35"/>
      <c r="ADC2" s="35"/>
      <c r="ADD2" s="35"/>
      <c r="ADE2" s="35"/>
      <c r="ADF2" s="35"/>
      <c r="ADG2" s="35"/>
      <c r="ADH2" s="35"/>
      <c r="ADI2" s="35"/>
      <c r="ADJ2" s="35"/>
      <c r="ADK2" s="35"/>
      <c r="ADL2" s="35"/>
      <c r="ADM2" s="35"/>
      <c r="ADN2" s="35"/>
      <c r="ADO2" s="35"/>
      <c r="ADP2" s="35"/>
      <c r="ADQ2" s="35"/>
      <c r="ADR2" s="35"/>
      <c r="ADS2" s="35"/>
      <c r="ADT2" s="35"/>
      <c r="ADU2" s="35"/>
      <c r="ADV2" s="35"/>
      <c r="ADW2" s="35"/>
      <c r="ADX2" s="35"/>
      <c r="ADY2" s="35"/>
      <c r="ADZ2" s="35"/>
      <c r="AEA2" s="35"/>
      <c r="AEB2" s="35"/>
      <c r="AEC2" s="35"/>
      <c r="AED2" s="35"/>
      <c r="AEE2" s="35"/>
      <c r="AEF2" s="35"/>
      <c r="AEG2" s="35"/>
      <c r="AEH2" s="35"/>
      <c r="AEI2" s="35"/>
      <c r="AEJ2" s="35"/>
      <c r="AEK2" s="35"/>
      <c r="AEL2" s="35"/>
      <c r="AEM2" s="35"/>
      <c r="AEN2" s="35"/>
      <c r="AEO2" s="35"/>
      <c r="AEP2" s="35"/>
      <c r="AEQ2" s="35"/>
      <c r="AER2" s="35"/>
      <c r="AES2" s="35"/>
      <c r="AET2" s="35"/>
      <c r="AEU2" s="35"/>
      <c r="AEV2" s="35"/>
      <c r="AEW2" s="35"/>
      <c r="AEX2" s="35"/>
      <c r="AEY2" s="35"/>
      <c r="AEZ2" s="35"/>
      <c r="AFA2" s="35"/>
      <c r="AFB2" s="35"/>
      <c r="AFC2" s="35"/>
      <c r="AFD2" s="35"/>
      <c r="AFE2" s="35"/>
      <c r="AFF2" s="35"/>
      <c r="AFG2" s="35"/>
      <c r="AFH2" s="35"/>
      <c r="AFI2" s="35"/>
      <c r="AFJ2" s="35"/>
      <c r="AFK2" s="35"/>
      <c r="AFL2" s="35"/>
      <c r="AFM2" s="35"/>
      <c r="AFN2" s="35"/>
      <c r="AFO2" s="35"/>
      <c r="AFP2" s="35"/>
      <c r="AFQ2" s="35"/>
      <c r="AFR2" s="35"/>
      <c r="AFS2" s="35"/>
      <c r="AFT2" s="35"/>
      <c r="AFU2" s="35"/>
      <c r="AFV2" s="35"/>
      <c r="AFW2" s="35"/>
      <c r="AFX2" s="35"/>
      <c r="AFY2" s="35"/>
      <c r="AFZ2" s="35"/>
      <c r="AGA2" s="35"/>
      <c r="AGB2" s="35"/>
      <c r="AGC2" s="35"/>
      <c r="AGD2" s="35"/>
      <c r="AGE2" s="35"/>
      <c r="AGF2" s="35"/>
      <c r="AGG2" s="35"/>
      <c r="AGH2" s="35"/>
      <c r="AGI2" s="35"/>
      <c r="AGJ2" s="35"/>
      <c r="AGK2" s="35"/>
      <c r="AGL2" s="35"/>
      <c r="AGM2" s="35"/>
      <c r="AGN2" s="35"/>
      <c r="AGO2" s="35"/>
      <c r="AGP2" s="35"/>
      <c r="AGQ2" s="35"/>
      <c r="AGR2" s="35"/>
      <c r="AGS2" s="35"/>
      <c r="AGT2" s="35"/>
      <c r="AGU2" s="35"/>
      <c r="AGV2" s="35"/>
      <c r="AGW2" s="35"/>
      <c r="AGX2" s="35"/>
      <c r="AGY2" s="35"/>
      <c r="AGZ2" s="35"/>
      <c r="AHA2" s="35"/>
      <c r="AHB2" s="35"/>
      <c r="AHC2" s="35"/>
      <c r="AHD2" s="35"/>
      <c r="AHE2" s="35"/>
      <c r="AHF2" s="35"/>
      <c r="AHG2" s="35"/>
      <c r="AHH2" s="35"/>
      <c r="AHI2" s="35"/>
      <c r="AHJ2" s="35"/>
      <c r="AHK2" s="35"/>
      <c r="AHL2" s="35"/>
      <c r="AHM2" s="35"/>
      <c r="AHN2" s="35"/>
      <c r="AHO2" s="35"/>
      <c r="AHP2" s="35"/>
      <c r="AHQ2" s="35"/>
      <c r="AHR2" s="35"/>
      <c r="AHS2" s="35"/>
      <c r="AHT2" s="35"/>
      <c r="AHU2" s="35"/>
      <c r="AHV2" s="35"/>
      <c r="AHW2" s="35"/>
      <c r="AHX2" s="35"/>
      <c r="AHY2" s="35"/>
      <c r="AHZ2" s="35"/>
      <c r="AIA2" s="35"/>
      <c r="AIB2" s="35"/>
      <c r="AIC2" s="35"/>
      <c r="AID2" s="35"/>
      <c r="AIE2" s="35"/>
      <c r="AIF2" s="35"/>
      <c r="AIG2" s="35"/>
      <c r="AIH2" s="35"/>
      <c r="AII2" s="35"/>
      <c r="AIJ2" s="35"/>
      <c r="AIK2" s="35"/>
      <c r="AIL2" s="35"/>
      <c r="AIM2" s="35"/>
      <c r="AIN2" s="35"/>
      <c r="AIO2" s="35"/>
      <c r="AIP2" s="35"/>
      <c r="AIQ2" s="35"/>
      <c r="AIR2" s="35"/>
      <c r="AIS2" s="35"/>
      <c r="AIT2" s="35"/>
      <c r="AIU2" s="35"/>
      <c r="AIV2" s="35"/>
      <c r="AIW2" s="35"/>
      <c r="AIX2" s="35"/>
      <c r="AIY2" s="35"/>
      <c r="AIZ2" s="35"/>
      <c r="AJA2" s="35"/>
      <c r="AJB2" s="35"/>
      <c r="AJC2" s="35"/>
      <c r="AJD2" s="35"/>
      <c r="AJE2" s="35"/>
      <c r="AJF2" s="35"/>
      <c r="AJG2" s="35"/>
      <c r="AJH2" s="35"/>
      <c r="AJI2" s="35"/>
      <c r="AJJ2" s="35"/>
      <c r="AJK2" s="35"/>
      <c r="AJL2" s="35"/>
      <c r="AJM2" s="35"/>
      <c r="AJN2" s="35"/>
      <c r="AJO2" s="35"/>
      <c r="AJP2" s="35"/>
      <c r="AJQ2" s="35"/>
      <c r="AJR2" s="35"/>
      <c r="AJS2" s="35"/>
      <c r="AJT2" s="35"/>
      <c r="AJU2" s="35"/>
      <c r="AJV2" s="35"/>
      <c r="AJW2" s="35"/>
      <c r="AJX2" s="35"/>
      <c r="AJY2" s="35"/>
      <c r="AJZ2" s="35"/>
      <c r="AKA2" s="35"/>
      <c r="AKB2" s="35"/>
      <c r="AKC2" s="35"/>
      <c r="AKD2" s="35"/>
      <c r="AKE2" s="35"/>
      <c r="AKF2" s="35"/>
      <c r="AKG2" s="35"/>
      <c r="AKH2" s="35"/>
      <c r="AKI2" s="35"/>
      <c r="AKJ2" s="35"/>
      <c r="AKK2" s="35"/>
      <c r="AKL2" s="35"/>
      <c r="AKM2" s="35"/>
      <c r="AKN2" s="35"/>
      <c r="AKO2" s="35"/>
      <c r="AKP2" s="35"/>
      <c r="AKQ2" s="35"/>
      <c r="AKR2" s="35"/>
      <c r="AKS2" s="35"/>
      <c r="AKT2" s="35"/>
      <c r="AKU2" s="35"/>
      <c r="AKV2" s="35"/>
      <c r="AKW2" s="35"/>
      <c r="AKX2" s="35"/>
      <c r="AKY2" s="35"/>
      <c r="AKZ2" s="35"/>
      <c r="ALA2" s="35"/>
      <c r="ALB2" s="35"/>
      <c r="ALC2" s="35"/>
      <c r="ALD2" s="35"/>
      <c r="ALE2" s="35"/>
      <c r="ALF2" s="35"/>
      <c r="ALG2" s="35"/>
      <c r="ALH2" s="35"/>
      <c r="ALI2" s="35"/>
      <c r="ALJ2" s="35"/>
      <c r="ALK2" s="35"/>
      <c r="ALL2" s="35"/>
      <c r="ALM2" s="35"/>
      <c r="ALN2" s="35"/>
      <c r="ALO2" s="35"/>
      <c r="ALP2" s="35"/>
      <c r="ALQ2" s="35"/>
      <c r="ALR2" s="35"/>
      <c r="ALS2" s="35"/>
      <c r="ALT2" s="35"/>
      <c r="ALU2" s="35"/>
      <c r="ALV2" s="35"/>
      <c r="ALW2" s="35"/>
      <c r="ALX2" s="35"/>
      <c r="ALY2" s="35"/>
      <c r="ALZ2" s="35"/>
      <c r="AMA2" s="35"/>
      <c r="AMB2" s="35"/>
      <c r="AMC2" s="35"/>
      <c r="AMD2" s="35"/>
      <c r="AME2" s="35"/>
      <c r="AMF2" s="35"/>
      <c r="AMG2" s="35"/>
      <c r="AMH2" s="35"/>
      <c r="AMI2" s="35"/>
      <c r="AMJ2" s="1"/>
    </row>
    <row r="3" customFormat="false" ht="23.85" hidden="false" customHeight="false" outlineLevel="0" collapsed="false">
      <c r="A3" s="43" t="s">
        <v>414</v>
      </c>
      <c r="B3" s="45" t="s">
        <v>439</v>
      </c>
      <c r="C3" s="45" t="s">
        <v>836</v>
      </c>
      <c r="D3" s="48" t="s">
        <v>837</v>
      </c>
      <c r="E3" s="48" t="s">
        <v>440</v>
      </c>
      <c r="F3" s="48" t="s">
        <v>601</v>
      </c>
      <c r="G3" s="45" t="s">
        <v>838</v>
      </c>
      <c r="H3" s="45" t="s">
        <v>839</v>
      </c>
      <c r="I3" s="122" t="s">
        <v>840</v>
      </c>
      <c r="J3" s="49" t="s">
        <v>841</v>
      </c>
      <c r="K3" s="123" t="s">
        <v>842</v>
      </c>
      <c r="L3" s="123" t="s">
        <v>843</v>
      </c>
      <c r="M3" s="123" t="s">
        <v>844</v>
      </c>
      <c r="N3" s="49" t="s">
        <v>845</v>
      </c>
      <c r="O3" s="45" t="s">
        <v>846</v>
      </c>
      <c r="P3" s="45" t="s">
        <v>847</v>
      </c>
      <c r="Q3" s="45" t="s">
        <v>848</v>
      </c>
      <c r="R3" s="45" t="s">
        <v>849</v>
      </c>
      <c r="S3" s="45" t="s">
        <v>850</v>
      </c>
      <c r="T3" s="45" t="s">
        <v>851</v>
      </c>
      <c r="U3" s="45" t="s">
        <v>852</v>
      </c>
      <c r="V3" s="43" t="s">
        <v>561</v>
      </c>
      <c r="W3" s="43" t="s">
        <v>442</v>
      </c>
      <c r="X3" s="43" t="s">
        <v>443</v>
      </c>
      <c r="Y3" s="48" t="s">
        <v>454</v>
      </c>
    </row>
    <row r="4" customFormat="false" ht="9.7" hidden="false" customHeight="true" outlineLevel="0" collapsed="false">
      <c r="A4" s="39" t="str">
        <f aca="false">A3</f>
        <v>A</v>
      </c>
      <c r="B4" s="51" t="str">
        <f aca="false">B3</f>
        <v>Status</v>
      </c>
      <c r="C4" s="51" t="str">
        <f aca="false">C3</f>
        <v>Staff Type</v>
      </c>
      <c r="D4" s="52" t="str">
        <f aca="false">D3</f>
        <v>Alias</v>
      </c>
      <c r="E4" s="52" t="str">
        <f aca="false">E3</f>
        <v>Name</v>
      </c>
      <c r="F4" s="52" t="str">
        <f aca="false">F3</f>
        <v>Overview</v>
      </c>
      <c r="G4" s="51" t="str">
        <f aca="false">G3</f>
        <v>Parent</v>
      </c>
      <c r="H4" s="51" t="str">
        <f aca="false">H3</f>
        <v>Category</v>
      </c>
      <c r="I4" s="124" t="str">
        <f aca="false">I3</f>
        <v>Private Phone</v>
      </c>
      <c r="J4" s="51" t="str">
        <f aca="false">J3</f>
        <v>Group</v>
      </c>
      <c r="K4" s="39" t="str">
        <f aca="false">K3</f>
        <v>Skills</v>
      </c>
      <c r="L4" s="39" t="str">
        <f aca="false">L3</f>
        <v>Training</v>
      </c>
      <c r="M4" s="39" t="str">
        <f aca="false">M3</f>
        <v>Evaluation</v>
      </c>
      <c r="N4" s="73" t="str">
        <f aca="false">N3</f>
        <v>Remuneration</v>
      </c>
      <c r="O4" s="51" t="str">
        <f aca="false">O3</f>
        <v>Role</v>
      </c>
      <c r="P4" s="51" t="str">
        <f aca="false">H3</f>
        <v>Category</v>
      </c>
      <c r="Q4" s="51" t="str">
        <f aca="false">I3</f>
        <v>Private Phone</v>
      </c>
      <c r="R4" s="51" t="str">
        <f aca="false">J3</f>
        <v>Group</v>
      </c>
      <c r="S4" s="51" t="str">
        <f aca="false">K3</f>
        <v>Skills</v>
      </c>
      <c r="T4" s="51" t="str">
        <f aca="false">L3</f>
        <v>Training</v>
      </c>
      <c r="U4" s="51" t="str">
        <f aca="false">M3</f>
        <v>Evaluation</v>
      </c>
      <c r="V4" s="51" t="str">
        <f aca="false">N3</f>
        <v>Remuneration</v>
      </c>
      <c r="W4" s="51" t="str">
        <f aca="false">O3</f>
        <v>Role</v>
      </c>
      <c r="X4" s="51" t="str">
        <f aca="false">X3</f>
        <v>Tasks</v>
      </c>
      <c r="Y4" s="52" t="str">
        <f aca="false">Y3</f>
        <v>Z</v>
      </c>
    </row>
    <row r="5" customFormat="false" ht="12.8" hidden="false" customHeight="false" outlineLevel="0" collapsed="false">
      <c r="A5" s="54"/>
      <c r="B5" s="60" t="str">
        <f aca="true">IF(S5&lt;&gt;"",IF(TODAY()&gt;S5,"Inactive","Active"),"Active")</f>
        <v>Active</v>
      </c>
      <c r="C5" s="62" t="s">
        <v>853</v>
      </c>
      <c r="D5" s="64" t="s">
        <v>729</v>
      </c>
      <c r="E5" s="64" t="s">
        <v>854</v>
      </c>
      <c r="F5" s="64" t="s">
        <v>854</v>
      </c>
      <c r="G5" s="62" t="s">
        <v>855</v>
      </c>
      <c r="H5" s="62" t="s">
        <v>856</v>
      </c>
      <c r="I5" s="125" t="s">
        <v>857</v>
      </c>
      <c r="J5" s="70" t="s">
        <v>858</v>
      </c>
      <c r="K5" s="63"/>
      <c r="L5" s="63"/>
      <c r="M5" s="63"/>
      <c r="N5" s="70"/>
      <c r="O5" s="62" t="s">
        <v>859</v>
      </c>
      <c r="P5" s="62"/>
      <c r="Q5" s="126"/>
      <c r="R5" s="120"/>
      <c r="S5" s="120"/>
      <c r="T5" s="120"/>
      <c r="U5" s="120"/>
      <c r="V5" s="114"/>
      <c r="W5" s="54"/>
      <c r="X5" s="54"/>
      <c r="Y5" s="64" t="s">
        <v>364</v>
      </c>
    </row>
    <row r="6" customFormat="false" ht="12.8" hidden="false" customHeight="false" outlineLevel="0" collapsed="false">
      <c r="A6" s="54"/>
      <c r="B6" s="60" t="str">
        <f aca="true">IF(S6&lt;&gt;"",IF(TODAY()&gt;S6,"Inactive","Active"),"Active")</f>
        <v>Active</v>
      </c>
      <c r="C6" s="62" t="s">
        <v>853</v>
      </c>
      <c r="D6" s="64"/>
      <c r="E6" s="64"/>
      <c r="F6" s="64"/>
      <c r="G6" s="62"/>
      <c r="H6" s="62"/>
      <c r="I6" s="125"/>
      <c r="J6" s="70"/>
      <c r="K6" s="63"/>
      <c r="L6" s="63"/>
      <c r="M6" s="63"/>
      <c r="N6" s="70"/>
      <c r="O6" s="62"/>
      <c r="P6" s="62"/>
      <c r="Q6" s="126"/>
      <c r="R6" s="120"/>
      <c r="S6" s="120"/>
      <c r="T6" s="120"/>
      <c r="U6" s="120"/>
      <c r="V6" s="114"/>
      <c r="W6" s="54"/>
      <c r="X6" s="54"/>
      <c r="Y6" s="64" t="s">
        <v>364</v>
      </c>
    </row>
    <row r="7" customFormat="false" ht="12.8" hidden="false" customHeight="false" outlineLevel="0" collapsed="false">
      <c r="A7" s="54"/>
      <c r="B7" s="60" t="str">
        <f aca="true">IF(S7&lt;&gt;"",IF(TODAY()&gt;S7,"Inactive","Active"),"Active")</f>
        <v>Active</v>
      </c>
      <c r="C7" s="62"/>
      <c r="D7" s="64"/>
      <c r="E7" s="64"/>
      <c r="F7" s="64"/>
      <c r="G7" s="62"/>
      <c r="H7" s="62"/>
      <c r="I7" s="125"/>
      <c r="J7" s="70"/>
      <c r="K7" s="63"/>
      <c r="L7" s="63"/>
      <c r="M7" s="63"/>
      <c r="N7" s="70"/>
      <c r="O7" s="62"/>
      <c r="P7" s="62"/>
      <c r="Q7" s="126"/>
      <c r="R7" s="120"/>
      <c r="S7" s="120"/>
      <c r="T7" s="120"/>
      <c r="U7" s="120"/>
      <c r="V7" s="114"/>
      <c r="W7" s="54"/>
      <c r="X7" s="54"/>
      <c r="Y7" s="64" t="s">
        <v>364</v>
      </c>
    </row>
    <row r="8" customFormat="false" ht="12.8" hidden="false" customHeight="false" outlineLevel="0" collapsed="false">
      <c r="A8" s="54"/>
      <c r="B8" s="60" t="str">
        <f aca="true">IF(S8&lt;&gt;"",IF(TODAY()&gt;S8,"Inactive","Active"),"Active")</f>
        <v>Active</v>
      </c>
      <c r="C8" s="62"/>
      <c r="D8" s="64"/>
      <c r="E8" s="64"/>
      <c r="F8" s="64"/>
      <c r="G8" s="62"/>
      <c r="H8" s="62"/>
      <c r="I8" s="125"/>
      <c r="J8" s="70"/>
      <c r="K8" s="63"/>
      <c r="L8" s="63"/>
      <c r="M8" s="63"/>
      <c r="N8" s="70"/>
      <c r="O8" s="62"/>
      <c r="P8" s="62"/>
      <c r="Q8" s="126"/>
      <c r="R8" s="120"/>
      <c r="S8" s="120"/>
      <c r="T8" s="120"/>
      <c r="U8" s="120"/>
      <c r="V8" s="114"/>
      <c r="W8" s="54"/>
      <c r="X8" s="54"/>
      <c r="Y8" s="64" t="s">
        <v>364</v>
      </c>
    </row>
    <row r="9" customFormat="false" ht="12.8" hidden="false" customHeight="false" outlineLevel="0" collapsed="false">
      <c r="A9" s="54"/>
      <c r="B9" s="60" t="str">
        <f aca="true">IF(S9&lt;&gt;"",IF(TODAY()&gt;S9,"Inactive","Active"),"Active")</f>
        <v>Active</v>
      </c>
      <c r="C9" s="62"/>
      <c r="D9" s="64"/>
      <c r="E9" s="64"/>
      <c r="F9" s="64"/>
      <c r="G9" s="62"/>
      <c r="H9" s="62"/>
      <c r="I9" s="125"/>
      <c r="J9" s="70"/>
      <c r="K9" s="63"/>
      <c r="L9" s="63"/>
      <c r="M9" s="63"/>
      <c r="N9" s="70"/>
      <c r="O9" s="62"/>
      <c r="P9" s="62"/>
      <c r="Q9" s="126"/>
      <c r="R9" s="120"/>
      <c r="S9" s="120"/>
      <c r="T9" s="120"/>
      <c r="U9" s="120"/>
      <c r="V9" s="114"/>
      <c r="W9" s="54"/>
      <c r="X9" s="54"/>
      <c r="Y9" s="64" t="s">
        <v>364</v>
      </c>
    </row>
    <row r="10" customFormat="false" ht="12.8" hidden="false" customHeight="false" outlineLevel="0" collapsed="false">
      <c r="A10" s="54"/>
      <c r="B10" s="60" t="str">
        <f aca="true">IF(S10&lt;&gt;"",IF(TODAY()&gt;S10,"Inactive","Active"),"Active")</f>
        <v>Active</v>
      </c>
      <c r="C10" s="62"/>
      <c r="D10" s="64"/>
      <c r="E10" s="64"/>
      <c r="F10" s="64"/>
      <c r="G10" s="62"/>
      <c r="H10" s="62"/>
      <c r="I10" s="125"/>
      <c r="J10" s="70"/>
      <c r="K10" s="63"/>
      <c r="L10" s="63"/>
      <c r="M10" s="63"/>
      <c r="N10" s="70"/>
      <c r="O10" s="62"/>
      <c r="P10" s="62"/>
      <c r="Q10" s="126"/>
      <c r="R10" s="120"/>
      <c r="S10" s="120"/>
      <c r="T10" s="120"/>
      <c r="U10" s="120"/>
      <c r="V10" s="114"/>
      <c r="W10" s="54"/>
      <c r="X10" s="54"/>
      <c r="Y10" s="64" t="s">
        <v>364</v>
      </c>
    </row>
    <row r="11" customFormat="false" ht="12.8" hidden="false" customHeight="false" outlineLevel="0" collapsed="false">
      <c r="A11" s="54"/>
      <c r="B11" s="60" t="str">
        <f aca="true">IF(S11&lt;&gt;"",IF(TODAY()&gt;S11,"Inactive","Active"),"Active")</f>
        <v>Active</v>
      </c>
      <c r="C11" s="62"/>
      <c r="D11" s="64"/>
      <c r="E11" s="64"/>
      <c r="F11" s="64"/>
      <c r="G11" s="62"/>
      <c r="H11" s="62"/>
      <c r="I11" s="125"/>
      <c r="J11" s="70"/>
      <c r="K11" s="63"/>
      <c r="L11" s="63"/>
      <c r="M11" s="63"/>
      <c r="N11" s="70"/>
      <c r="O11" s="62"/>
      <c r="P11" s="62"/>
      <c r="Q11" s="126"/>
      <c r="R11" s="120"/>
      <c r="S11" s="120"/>
      <c r="T11" s="120"/>
      <c r="U11" s="120"/>
      <c r="V11" s="114"/>
      <c r="W11" s="54"/>
      <c r="X11" s="54"/>
      <c r="Y11" s="64" t="s">
        <v>364</v>
      </c>
    </row>
    <row r="12" customFormat="false" ht="12.8" hidden="false" customHeight="false" outlineLevel="0" collapsed="false">
      <c r="A12" s="54"/>
      <c r="B12" s="60" t="str">
        <f aca="true">IF(S12&lt;&gt;"",IF(TODAY()&gt;S12,"Inactive","Active"),"Active")</f>
        <v>Active</v>
      </c>
      <c r="C12" s="62"/>
      <c r="D12" s="64"/>
      <c r="E12" s="64"/>
      <c r="F12" s="64"/>
      <c r="G12" s="62"/>
      <c r="H12" s="62"/>
      <c r="I12" s="125"/>
      <c r="J12" s="70"/>
      <c r="K12" s="63"/>
      <c r="L12" s="63"/>
      <c r="M12" s="63"/>
      <c r="N12" s="70"/>
      <c r="O12" s="62"/>
      <c r="P12" s="62"/>
      <c r="Q12" s="126"/>
      <c r="R12" s="120"/>
      <c r="S12" s="120"/>
      <c r="T12" s="120"/>
      <c r="U12" s="120"/>
      <c r="V12" s="114"/>
      <c r="W12" s="54"/>
      <c r="X12" s="54"/>
      <c r="Y12" s="64" t="s">
        <v>364</v>
      </c>
    </row>
    <row r="13" customFormat="false" ht="12.8" hidden="false" customHeight="false" outlineLevel="0" collapsed="false">
      <c r="A13" s="54"/>
      <c r="B13" s="60" t="str">
        <f aca="true">IF(S13&lt;&gt;"",IF(TODAY()&gt;S13,"Inactive","Active"),"Active")</f>
        <v>Active</v>
      </c>
      <c r="C13" s="62"/>
      <c r="D13" s="64"/>
      <c r="E13" s="64"/>
      <c r="F13" s="64"/>
      <c r="G13" s="62"/>
      <c r="H13" s="62"/>
      <c r="I13" s="125"/>
      <c r="J13" s="70"/>
      <c r="K13" s="63"/>
      <c r="L13" s="63"/>
      <c r="M13" s="63"/>
      <c r="N13" s="70"/>
      <c r="O13" s="62"/>
      <c r="P13" s="62"/>
      <c r="Q13" s="126"/>
      <c r="R13" s="120"/>
      <c r="S13" s="120"/>
      <c r="T13" s="120"/>
      <c r="U13" s="120"/>
      <c r="V13" s="114"/>
      <c r="W13" s="54"/>
      <c r="X13" s="54"/>
      <c r="Y13" s="64" t="s">
        <v>364</v>
      </c>
    </row>
    <row r="14" customFormat="false" ht="12.8" hidden="false" customHeight="false" outlineLevel="0" collapsed="false">
      <c r="A14" s="54"/>
      <c r="B14" s="60" t="str">
        <f aca="true">IF(S14&lt;&gt;"",IF(TODAY()&gt;S14,"Inactive","Active"),"Active")</f>
        <v>Active</v>
      </c>
      <c r="C14" s="62"/>
      <c r="D14" s="64"/>
      <c r="E14" s="64"/>
      <c r="F14" s="64"/>
      <c r="G14" s="62"/>
      <c r="H14" s="62"/>
      <c r="I14" s="125"/>
      <c r="J14" s="70"/>
      <c r="K14" s="63"/>
      <c r="L14" s="63"/>
      <c r="M14" s="63"/>
      <c r="N14" s="70"/>
      <c r="O14" s="62"/>
      <c r="P14" s="62"/>
      <c r="Q14" s="126"/>
      <c r="R14" s="120"/>
      <c r="S14" s="120"/>
      <c r="T14" s="120"/>
      <c r="U14" s="120"/>
      <c r="V14" s="114"/>
      <c r="W14" s="54"/>
      <c r="X14" s="54"/>
      <c r="Y14" s="64" t="s">
        <v>364</v>
      </c>
    </row>
    <row r="15" customFormat="false" ht="12.8" hidden="false" customHeight="false" outlineLevel="0" collapsed="false">
      <c r="A15" s="54"/>
      <c r="B15" s="60" t="str">
        <f aca="true">IF(S15&lt;&gt;"",IF(TODAY()&gt;S15,"Inactive","Active"),"Active")</f>
        <v>Active</v>
      </c>
      <c r="C15" s="62"/>
      <c r="D15" s="64"/>
      <c r="E15" s="64"/>
      <c r="F15" s="64"/>
      <c r="G15" s="62"/>
      <c r="H15" s="62"/>
      <c r="I15" s="125"/>
      <c r="J15" s="70"/>
      <c r="K15" s="63"/>
      <c r="L15" s="63"/>
      <c r="M15" s="63"/>
      <c r="N15" s="70"/>
      <c r="O15" s="62"/>
      <c r="P15" s="62"/>
      <c r="Q15" s="126"/>
      <c r="R15" s="120"/>
      <c r="S15" s="120"/>
      <c r="T15" s="120"/>
      <c r="U15" s="120"/>
      <c r="V15" s="114"/>
      <c r="W15" s="54"/>
      <c r="X15" s="54"/>
      <c r="Y15" s="64" t="s">
        <v>364</v>
      </c>
    </row>
    <row r="16" customFormat="false" ht="12.8" hidden="false" customHeight="false" outlineLevel="0" collapsed="false">
      <c r="A16" s="54"/>
      <c r="B16" s="60" t="str">
        <f aca="true">IF(S16&lt;&gt;"",IF(TODAY()&gt;S16,"Inactive","Active"),"Active")</f>
        <v>Active</v>
      </c>
      <c r="C16" s="62"/>
      <c r="D16" s="64"/>
      <c r="E16" s="64"/>
      <c r="F16" s="64"/>
      <c r="G16" s="62"/>
      <c r="H16" s="62"/>
      <c r="I16" s="125"/>
      <c r="J16" s="70"/>
      <c r="K16" s="63"/>
      <c r="L16" s="63"/>
      <c r="M16" s="63"/>
      <c r="N16" s="70"/>
      <c r="O16" s="62"/>
      <c r="P16" s="62"/>
      <c r="Q16" s="126"/>
      <c r="R16" s="120"/>
      <c r="S16" s="120"/>
      <c r="T16" s="120"/>
      <c r="U16" s="120"/>
      <c r="V16" s="114"/>
      <c r="W16" s="54"/>
      <c r="X16" s="54"/>
      <c r="Y16" s="64" t="s">
        <v>364</v>
      </c>
    </row>
    <row r="17" customFormat="false" ht="12.8" hidden="false" customHeight="false" outlineLevel="0" collapsed="false">
      <c r="A17" s="54"/>
      <c r="B17" s="60" t="str">
        <f aca="true">IF(S17&lt;&gt;"",IF(TODAY()&gt;S17,"Inactive","Active"),"Active")</f>
        <v>Active</v>
      </c>
      <c r="C17" s="62"/>
      <c r="D17" s="64"/>
      <c r="E17" s="64"/>
      <c r="F17" s="64"/>
      <c r="G17" s="62"/>
      <c r="H17" s="62"/>
      <c r="I17" s="125"/>
      <c r="J17" s="70"/>
      <c r="K17" s="63"/>
      <c r="L17" s="63"/>
      <c r="M17" s="63"/>
      <c r="N17" s="70"/>
      <c r="O17" s="62"/>
      <c r="P17" s="62"/>
      <c r="Q17" s="126"/>
      <c r="R17" s="120"/>
      <c r="S17" s="120"/>
      <c r="T17" s="120"/>
      <c r="U17" s="120"/>
      <c r="V17" s="114"/>
      <c r="W17" s="54"/>
      <c r="X17" s="54"/>
      <c r="Y17" s="64" t="s">
        <v>364</v>
      </c>
    </row>
    <row r="18" customFormat="false" ht="12.8" hidden="false" customHeight="false" outlineLevel="0" collapsed="false">
      <c r="A18" s="54"/>
      <c r="B18" s="60" t="str">
        <f aca="true">IF(S18&lt;&gt;"",IF(TODAY()&gt;S18,"Inactive","Active"),"Active")</f>
        <v>Active</v>
      </c>
      <c r="C18" s="62"/>
      <c r="D18" s="64"/>
      <c r="E18" s="64"/>
      <c r="F18" s="64"/>
      <c r="G18" s="62"/>
      <c r="H18" s="62"/>
      <c r="I18" s="125"/>
      <c r="J18" s="70"/>
      <c r="K18" s="63"/>
      <c r="L18" s="63"/>
      <c r="M18" s="63"/>
      <c r="N18" s="70"/>
      <c r="O18" s="62"/>
      <c r="P18" s="62"/>
      <c r="Q18" s="126"/>
      <c r="R18" s="120"/>
      <c r="S18" s="120"/>
      <c r="T18" s="120"/>
      <c r="U18" s="120"/>
      <c r="V18" s="114"/>
      <c r="W18" s="54"/>
      <c r="X18" s="54"/>
      <c r="Y18" s="64" t="s">
        <v>364</v>
      </c>
    </row>
    <row r="19" customFormat="false" ht="12.8" hidden="false" customHeight="false" outlineLevel="0" collapsed="false">
      <c r="A19" s="54"/>
      <c r="B19" s="60" t="str">
        <f aca="true">IF(S19&lt;&gt;"",IF(TODAY()&gt;S19,"Inactive","Active"),"Active")</f>
        <v>Active</v>
      </c>
      <c r="C19" s="62"/>
      <c r="D19" s="64"/>
      <c r="E19" s="64"/>
      <c r="F19" s="64"/>
      <c r="G19" s="62"/>
      <c r="H19" s="62"/>
      <c r="I19" s="125"/>
      <c r="J19" s="70"/>
      <c r="K19" s="63"/>
      <c r="L19" s="63"/>
      <c r="M19" s="63"/>
      <c r="N19" s="70"/>
      <c r="O19" s="62"/>
      <c r="P19" s="62"/>
      <c r="Q19" s="126"/>
      <c r="R19" s="120"/>
      <c r="S19" s="120"/>
      <c r="T19" s="120"/>
      <c r="U19" s="120"/>
      <c r="V19" s="114"/>
      <c r="W19" s="54"/>
      <c r="X19" s="54"/>
      <c r="Y19" s="64" t="s">
        <v>364</v>
      </c>
    </row>
    <row r="20" customFormat="false" ht="12.8" hidden="false" customHeight="false" outlineLevel="0" collapsed="false">
      <c r="A20" s="54"/>
      <c r="B20" s="60" t="str">
        <f aca="true">IF(S20&lt;&gt;"",IF(TODAY()&gt;S20,"Inactive","Active"),"Active")</f>
        <v>Active</v>
      </c>
      <c r="C20" s="62"/>
      <c r="D20" s="64"/>
      <c r="E20" s="64"/>
      <c r="F20" s="64"/>
      <c r="G20" s="62"/>
      <c r="H20" s="62"/>
      <c r="I20" s="125"/>
      <c r="J20" s="70"/>
      <c r="K20" s="63"/>
      <c r="L20" s="63"/>
      <c r="M20" s="63"/>
      <c r="N20" s="70"/>
      <c r="O20" s="62"/>
      <c r="P20" s="62"/>
      <c r="Q20" s="126"/>
      <c r="R20" s="120"/>
      <c r="S20" s="120"/>
      <c r="T20" s="120"/>
      <c r="U20" s="120"/>
      <c r="V20" s="114"/>
      <c r="W20" s="54"/>
      <c r="X20" s="54"/>
      <c r="Y20" s="64" t="s">
        <v>364</v>
      </c>
    </row>
    <row r="21" customFormat="false" ht="12.8" hidden="false" customHeight="false" outlineLevel="0" collapsed="false">
      <c r="A21" s="54"/>
      <c r="B21" s="60" t="str">
        <f aca="true">IF(S21&lt;&gt;"",IF(TODAY()&gt;S21,"Inactive","Active"),"Active")</f>
        <v>Active</v>
      </c>
      <c r="C21" s="62"/>
      <c r="D21" s="64"/>
      <c r="E21" s="64"/>
      <c r="F21" s="64"/>
      <c r="G21" s="62"/>
      <c r="H21" s="62"/>
      <c r="I21" s="125"/>
      <c r="J21" s="70"/>
      <c r="K21" s="63"/>
      <c r="L21" s="63"/>
      <c r="M21" s="63"/>
      <c r="N21" s="70"/>
      <c r="O21" s="62"/>
      <c r="P21" s="62"/>
      <c r="Q21" s="126"/>
      <c r="R21" s="120"/>
      <c r="S21" s="120"/>
      <c r="T21" s="120"/>
      <c r="U21" s="120"/>
      <c r="V21" s="114"/>
      <c r="W21" s="54"/>
      <c r="X21" s="54"/>
      <c r="Y21" s="64" t="s">
        <v>364</v>
      </c>
    </row>
    <row r="22" customFormat="false" ht="12.8" hidden="false" customHeight="false" outlineLevel="0" collapsed="false">
      <c r="A22" s="54"/>
      <c r="B22" s="60" t="str">
        <f aca="true">IF(S22&lt;&gt;"",IF(TODAY()&gt;S22,"Inactive","Active"),"Active")</f>
        <v>Active</v>
      </c>
      <c r="C22" s="62"/>
      <c r="D22" s="64"/>
      <c r="E22" s="64"/>
      <c r="F22" s="64"/>
      <c r="G22" s="62"/>
      <c r="H22" s="62"/>
      <c r="I22" s="125"/>
      <c r="J22" s="70"/>
      <c r="K22" s="63"/>
      <c r="L22" s="63"/>
      <c r="M22" s="63"/>
      <c r="N22" s="70"/>
      <c r="O22" s="62"/>
      <c r="P22" s="62"/>
      <c r="Q22" s="126"/>
      <c r="R22" s="120"/>
      <c r="S22" s="120"/>
      <c r="T22" s="120"/>
      <c r="U22" s="120"/>
      <c r="V22" s="114"/>
      <c r="W22" s="54"/>
      <c r="X22" s="54"/>
      <c r="Y22" s="64" t="s">
        <v>364</v>
      </c>
    </row>
    <row r="23" customFormat="false" ht="12.8" hidden="false" customHeight="false" outlineLevel="0" collapsed="false">
      <c r="A23" s="54"/>
      <c r="B23" s="60" t="str">
        <f aca="true">IF(S23&lt;&gt;"",IF(TODAY()&gt;S23,"Inactive","Active"),"Active")</f>
        <v>Active</v>
      </c>
      <c r="C23" s="62"/>
      <c r="D23" s="64"/>
      <c r="E23" s="64"/>
      <c r="F23" s="64"/>
      <c r="G23" s="62"/>
      <c r="H23" s="62"/>
      <c r="I23" s="125"/>
      <c r="J23" s="70"/>
      <c r="K23" s="63"/>
      <c r="L23" s="63"/>
      <c r="M23" s="63"/>
      <c r="N23" s="70"/>
      <c r="O23" s="62"/>
      <c r="P23" s="62"/>
      <c r="Q23" s="126"/>
      <c r="R23" s="120"/>
      <c r="S23" s="120"/>
      <c r="T23" s="120"/>
      <c r="U23" s="120"/>
      <c r="V23" s="114"/>
      <c r="W23" s="54"/>
      <c r="X23" s="54"/>
      <c r="Y23" s="64" t="s">
        <v>364</v>
      </c>
    </row>
    <row r="24" customFormat="false" ht="12.8" hidden="false" customHeight="false" outlineLevel="0" collapsed="false">
      <c r="A24" s="54"/>
      <c r="B24" s="60" t="str">
        <f aca="true">IF(S24&lt;&gt;"",IF(TODAY()&gt;S24,"Inactive","Active"),"Active")</f>
        <v>Active</v>
      </c>
      <c r="C24" s="62"/>
      <c r="D24" s="64"/>
      <c r="E24" s="64"/>
      <c r="F24" s="64"/>
      <c r="G24" s="62"/>
      <c r="H24" s="62"/>
      <c r="I24" s="125"/>
      <c r="J24" s="70"/>
      <c r="K24" s="63"/>
      <c r="L24" s="63"/>
      <c r="M24" s="63"/>
      <c r="N24" s="70"/>
      <c r="O24" s="62"/>
      <c r="P24" s="62"/>
      <c r="Q24" s="126"/>
      <c r="R24" s="120"/>
      <c r="S24" s="120"/>
      <c r="T24" s="120"/>
      <c r="U24" s="120"/>
      <c r="V24" s="114"/>
      <c r="W24" s="54"/>
      <c r="X24" s="54"/>
      <c r="Y24" s="64" t="s">
        <v>364</v>
      </c>
    </row>
    <row r="25" customFormat="false" ht="12.8" hidden="false" customHeight="false" outlineLevel="0" collapsed="false">
      <c r="A25" s="54"/>
      <c r="B25" s="60" t="str">
        <f aca="true">IF(S25&lt;&gt;"",IF(TODAY()&gt;S25,"Inactive","Active"),"Active")</f>
        <v>Active</v>
      </c>
      <c r="C25" s="62"/>
      <c r="D25" s="64"/>
      <c r="E25" s="64"/>
      <c r="F25" s="64"/>
      <c r="G25" s="62"/>
      <c r="H25" s="62"/>
      <c r="I25" s="125"/>
      <c r="J25" s="70"/>
      <c r="K25" s="63"/>
      <c r="L25" s="63"/>
      <c r="M25" s="63"/>
      <c r="N25" s="70"/>
      <c r="O25" s="62"/>
      <c r="P25" s="62"/>
      <c r="Q25" s="126"/>
      <c r="R25" s="120"/>
      <c r="S25" s="120"/>
      <c r="T25" s="120"/>
      <c r="U25" s="120"/>
      <c r="V25" s="114"/>
      <c r="W25" s="54"/>
      <c r="X25" s="54"/>
      <c r="Y25" s="64" t="s">
        <v>364</v>
      </c>
    </row>
    <row r="26" customFormat="false" ht="12.8" hidden="false" customHeight="false" outlineLevel="0" collapsed="false">
      <c r="A26" s="54"/>
      <c r="B26" s="60" t="str">
        <f aca="true">IF(S26&lt;&gt;"",IF(TODAY()&gt;S26,"Inactive","Active"),"Active")</f>
        <v>Active</v>
      </c>
      <c r="C26" s="62"/>
      <c r="D26" s="64"/>
      <c r="E26" s="64"/>
      <c r="F26" s="64"/>
      <c r="G26" s="62"/>
      <c r="H26" s="62"/>
      <c r="I26" s="125"/>
      <c r="J26" s="70"/>
      <c r="K26" s="63"/>
      <c r="L26" s="63"/>
      <c r="M26" s="63"/>
      <c r="N26" s="70"/>
      <c r="O26" s="62"/>
      <c r="P26" s="62"/>
      <c r="Q26" s="126"/>
      <c r="R26" s="120"/>
      <c r="S26" s="120"/>
      <c r="T26" s="120"/>
      <c r="U26" s="120"/>
      <c r="V26" s="114"/>
      <c r="W26" s="54"/>
      <c r="X26" s="54"/>
      <c r="Y26" s="64" t="s">
        <v>364</v>
      </c>
    </row>
    <row r="27" customFormat="false" ht="12.8" hidden="false" customHeight="false" outlineLevel="0" collapsed="false">
      <c r="A27" s="54"/>
      <c r="B27" s="60" t="str">
        <f aca="true">IF(S27&lt;&gt;"",IF(TODAY()&gt;S27,"Inactive","Active"),"Active")</f>
        <v>Active</v>
      </c>
      <c r="C27" s="62"/>
      <c r="D27" s="64"/>
      <c r="E27" s="64"/>
      <c r="F27" s="64"/>
      <c r="G27" s="62"/>
      <c r="H27" s="62"/>
      <c r="I27" s="125"/>
      <c r="J27" s="70"/>
      <c r="K27" s="63"/>
      <c r="L27" s="63"/>
      <c r="M27" s="63"/>
      <c r="N27" s="70"/>
      <c r="O27" s="62"/>
      <c r="P27" s="62"/>
      <c r="Q27" s="126"/>
      <c r="R27" s="120"/>
      <c r="S27" s="120"/>
      <c r="T27" s="120"/>
      <c r="U27" s="120"/>
      <c r="V27" s="114"/>
      <c r="W27" s="54"/>
      <c r="X27" s="54"/>
      <c r="Y27" s="64" t="s">
        <v>364</v>
      </c>
    </row>
    <row r="28" customFormat="false" ht="12.8" hidden="false" customHeight="false" outlineLevel="0" collapsed="false">
      <c r="A28" s="54"/>
      <c r="B28" s="60" t="str">
        <f aca="true">IF(S28&lt;&gt;"",IF(TODAY()&gt;S28,"Inactive","Active"),"Active")</f>
        <v>Active</v>
      </c>
      <c r="C28" s="62"/>
      <c r="D28" s="64"/>
      <c r="E28" s="64"/>
      <c r="F28" s="64"/>
      <c r="G28" s="62"/>
      <c r="H28" s="62"/>
      <c r="I28" s="125"/>
      <c r="J28" s="70"/>
      <c r="K28" s="63"/>
      <c r="L28" s="63"/>
      <c r="M28" s="63"/>
      <c r="N28" s="70"/>
      <c r="O28" s="62"/>
      <c r="P28" s="62"/>
      <c r="Q28" s="126"/>
      <c r="R28" s="120"/>
      <c r="S28" s="120"/>
      <c r="T28" s="120"/>
      <c r="U28" s="120"/>
      <c r="V28" s="114"/>
      <c r="W28" s="54"/>
      <c r="X28" s="54"/>
      <c r="Y28" s="64" t="s">
        <v>364</v>
      </c>
    </row>
    <row r="29" customFormat="false" ht="12.8" hidden="false" customHeight="false" outlineLevel="0" collapsed="false">
      <c r="A29" s="54"/>
      <c r="B29" s="60" t="str">
        <f aca="true">IF(S29&lt;&gt;"",IF(TODAY()&gt;S29,"Inactive","Active"),"Active")</f>
        <v>Active</v>
      </c>
      <c r="C29" s="62"/>
      <c r="D29" s="64"/>
      <c r="E29" s="64"/>
      <c r="F29" s="64"/>
      <c r="G29" s="62"/>
      <c r="H29" s="62"/>
      <c r="I29" s="125"/>
      <c r="J29" s="70"/>
      <c r="K29" s="63"/>
      <c r="L29" s="63"/>
      <c r="M29" s="63"/>
      <c r="N29" s="70"/>
      <c r="O29" s="62"/>
      <c r="P29" s="62"/>
      <c r="Q29" s="126"/>
      <c r="R29" s="120"/>
      <c r="S29" s="120"/>
      <c r="T29" s="120"/>
      <c r="U29" s="120"/>
      <c r="V29" s="114"/>
      <c r="W29" s="54"/>
      <c r="X29" s="54"/>
      <c r="Y29" s="64" t="s">
        <v>364</v>
      </c>
    </row>
    <row r="30" customFormat="false" ht="12.8" hidden="false" customHeight="false" outlineLevel="0" collapsed="false">
      <c r="A30" s="54"/>
      <c r="B30" s="60" t="str">
        <f aca="true">IF(S30&lt;&gt;"",IF(TODAY()&gt;S30,"Inactive","Active"),"Active")</f>
        <v>Active</v>
      </c>
      <c r="C30" s="62"/>
      <c r="D30" s="64"/>
      <c r="E30" s="64"/>
      <c r="F30" s="64"/>
      <c r="G30" s="62"/>
      <c r="H30" s="62"/>
      <c r="I30" s="125"/>
      <c r="J30" s="70"/>
      <c r="K30" s="63"/>
      <c r="L30" s="63"/>
      <c r="M30" s="63"/>
      <c r="N30" s="70"/>
      <c r="O30" s="62"/>
      <c r="P30" s="62"/>
      <c r="Q30" s="126"/>
      <c r="R30" s="120"/>
      <c r="S30" s="120"/>
      <c r="T30" s="120"/>
      <c r="U30" s="120"/>
      <c r="V30" s="114"/>
      <c r="W30" s="54"/>
      <c r="X30" s="54"/>
      <c r="Y30" s="64" t="s">
        <v>364</v>
      </c>
    </row>
    <row r="31" customFormat="false" ht="12.8" hidden="false" customHeight="false" outlineLevel="0" collapsed="false">
      <c r="A31" s="54"/>
      <c r="B31" s="60" t="str">
        <f aca="true">IF(S31&lt;&gt;"",IF(TODAY()&gt;S31,"Inactive","Active"),"Active")</f>
        <v>Active</v>
      </c>
      <c r="C31" s="62"/>
      <c r="D31" s="64"/>
      <c r="E31" s="64"/>
      <c r="F31" s="64"/>
      <c r="G31" s="62"/>
      <c r="H31" s="62"/>
      <c r="I31" s="125"/>
      <c r="J31" s="70"/>
      <c r="K31" s="63"/>
      <c r="L31" s="63"/>
      <c r="M31" s="63"/>
      <c r="N31" s="70"/>
      <c r="O31" s="62"/>
      <c r="P31" s="62"/>
      <c r="Q31" s="126"/>
      <c r="R31" s="120"/>
      <c r="S31" s="120"/>
      <c r="T31" s="120"/>
      <c r="U31" s="120"/>
      <c r="V31" s="114"/>
      <c r="W31" s="54"/>
      <c r="X31" s="54"/>
      <c r="Y31" s="64" t="s">
        <v>364</v>
      </c>
    </row>
    <row r="32" customFormat="false" ht="12.8" hidden="false" customHeight="false" outlineLevel="0" collapsed="false">
      <c r="A32" s="54"/>
      <c r="B32" s="60" t="str">
        <f aca="true">IF(S32&lt;&gt;"",IF(TODAY()&gt;S32,"Inactive","Active"),"Active")</f>
        <v>Active</v>
      </c>
      <c r="C32" s="62"/>
      <c r="D32" s="64"/>
      <c r="E32" s="64"/>
      <c r="F32" s="64"/>
      <c r="G32" s="62"/>
      <c r="H32" s="62"/>
      <c r="I32" s="125"/>
      <c r="J32" s="70"/>
      <c r="K32" s="63"/>
      <c r="L32" s="63"/>
      <c r="M32" s="63"/>
      <c r="N32" s="70"/>
      <c r="O32" s="62"/>
      <c r="P32" s="62"/>
      <c r="Q32" s="126"/>
      <c r="R32" s="120"/>
      <c r="S32" s="120"/>
      <c r="T32" s="120"/>
      <c r="U32" s="120"/>
      <c r="V32" s="114"/>
      <c r="W32" s="54"/>
      <c r="X32" s="54"/>
      <c r="Y32" s="64" t="s">
        <v>364</v>
      </c>
    </row>
    <row r="33" customFormat="false" ht="12.8" hidden="false" customHeight="false" outlineLevel="0" collapsed="false">
      <c r="A33" s="54"/>
      <c r="B33" s="60" t="str">
        <f aca="true">IF(S33&lt;&gt;"",IF(TODAY()&gt;S33,"Inactive","Active"),"Active")</f>
        <v>Active</v>
      </c>
      <c r="C33" s="62"/>
      <c r="D33" s="64"/>
      <c r="E33" s="64"/>
      <c r="F33" s="64"/>
      <c r="G33" s="62"/>
      <c r="H33" s="62"/>
      <c r="I33" s="125"/>
      <c r="J33" s="70"/>
      <c r="K33" s="63"/>
      <c r="L33" s="63"/>
      <c r="M33" s="63"/>
      <c r="N33" s="70"/>
      <c r="O33" s="62"/>
      <c r="P33" s="62"/>
      <c r="Q33" s="126"/>
      <c r="R33" s="120"/>
      <c r="S33" s="120"/>
      <c r="T33" s="120"/>
      <c r="U33" s="120"/>
      <c r="V33" s="114"/>
      <c r="W33" s="54"/>
      <c r="X33" s="54"/>
      <c r="Y33" s="64" t="s">
        <v>364</v>
      </c>
    </row>
    <row r="34" customFormat="false" ht="12.8" hidden="false" customHeight="false" outlineLevel="0" collapsed="false">
      <c r="A34" s="54"/>
      <c r="B34" s="60" t="str">
        <f aca="true">IF(S34&lt;&gt;"",IF(TODAY()&gt;S34,"Inactive","Active"),"Active")</f>
        <v>Active</v>
      </c>
      <c r="C34" s="62"/>
      <c r="D34" s="64"/>
      <c r="E34" s="64"/>
      <c r="F34" s="64"/>
      <c r="G34" s="62"/>
      <c r="H34" s="62"/>
      <c r="I34" s="125"/>
      <c r="J34" s="70"/>
      <c r="K34" s="63"/>
      <c r="L34" s="63"/>
      <c r="M34" s="63"/>
      <c r="N34" s="70"/>
      <c r="O34" s="62"/>
      <c r="P34" s="62"/>
      <c r="Q34" s="126"/>
      <c r="R34" s="120"/>
      <c r="S34" s="120"/>
      <c r="T34" s="120"/>
      <c r="U34" s="120"/>
      <c r="V34" s="114"/>
      <c r="W34" s="54"/>
      <c r="X34" s="54"/>
      <c r="Y34" s="64" t="s">
        <v>364</v>
      </c>
    </row>
    <row r="35" customFormat="false" ht="12.8" hidden="false" customHeight="false" outlineLevel="0" collapsed="false">
      <c r="A35" s="54"/>
      <c r="B35" s="60" t="str">
        <f aca="true">IF(S35&lt;&gt;"",IF(TODAY()&gt;S35,"Inactive","Active"),"Active")</f>
        <v>Active</v>
      </c>
      <c r="C35" s="62"/>
      <c r="D35" s="64"/>
      <c r="E35" s="64"/>
      <c r="F35" s="64"/>
      <c r="G35" s="62"/>
      <c r="H35" s="62"/>
      <c r="I35" s="125"/>
      <c r="J35" s="70"/>
      <c r="K35" s="63"/>
      <c r="L35" s="63"/>
      <c r="M35" s="63"/>
      <c r="N35" s="70"/>
      <c r="O35" s="62"/>
      <c r="P35" s="62"/>
      <c r="Q35" s="126"/>
      <c r="R35" s="120"/>
      <c r="S35" s="120"/>
      <c r="T35" s="120"/>
      <c r="U35" s="120"/>
      <c r="V35" s="114"/>
      <c r="W35" s="54"/>
      <c r="X35" s="54"/>
      <c r="Y35" s="64" t="s">
        <v>364</v>
      </c>
    </row>
    <row r="36" customFormat="false" ht="12.8" hidden="false" customHeight="false" outlineLevel="0" collapsed="false">
      <c r="A36" s="54"/>
      <c r="B36" s="60" t="str">
        <f aca="true">IF(S36&lt;&gt;"",IF(TODAY()&gt;S36,"Inactive","Active"),"Active")</f>
        <v>Active</v>
      </c>
      <c r="C36" s="62"/>
      <c r="D36" s="64"/>
      <c r="E36" s="64"/>
      <c r="F36" s="64"/>
      <c r="G36" s="62"/>
      <c r="H36" s="62"/>
      <c r="I36" s="125"/>
      <c r="J36" s="70"/>
      <c r="K36" s="63"/>
      <c r="L36" s="63"/>
      <c r="M36" s="63"/>
      <c r="N36" s="70"/>
      <c r="O36" s="62"/>
      <c r="P36" s="62"/>
      <c r="Q36" s="126"/>
      <c r="R36" s="120"/>
      <c r="S36" s="120"/>
      <c r="T36" s="120"/>
      <c r="U36" s="120"/>
      <c r="V36" s="114"/>
      <c r="W36" s="54"/>
      <c r="X36" s="54"/>
      <c r="Y36" s="64" t="s">
        <v>364</v>
      </c>
    </row>
    <row r="37" customFormat="false" ht="12.8" hidden="false" customHeight="false" outlineLevel="0" collapsed="false">
      <c r="A37" s="54"/>
      <c r="B37" s="60" t="str">
        <f aca="true">IF(S37&lt;&gt;"",IF(TODAY()&gt;S37,"Inactive","Active"),"Active")</f>
        <v>Active</v>
      </c>
      <c r="C37" s="62"/>
      <c r="D37" s="64"/>
      <c r="E37" s="64"/>
      <c r="F37" s="64"/>
      <c r="G37" s="62"/>
      <c r="H37" s="62"/>
      <c r="I37" s="125"/>
      <c r="J37" s="70"/>
      <c r="K37" s="63"/>
      <c r="L37" s="63"/>
      <c r="M37" s="63"/>
      <c r="N37" s="70"/>
      <c r="O37" s="62"/>
      <c r="P37" s="62"/>
      <c r="Q37" s="126"/>
      <c r="R37" s="120"/>
      <c r="S37" s="120"/>
      <c r="T37" s="120"/>
      <c r="U37" s="120"/>
      <c r="V37" s="114"/>
      <c r="W37" s="54"/>
      <c r="X37" s="54"/>
      <c r="Y37" s="64" t="s">
        <v>364</v>
      </c>
    </row>
    <row r="38" customFormat="false" ht="12.8" hidden="false" customHeight="false" outlineLevel="0" collapsed="false">
      <c r="A38" s="54"/>
      <c r="B38" s="60" t="str">
        <f aca="true">IF(S38&lt;&gt;"",IF(TODAY()&gt;S38,"Inactive","Active"),"Active")</f>
        <v>Active</v>
      </c>
      <c r="C38" s="62"/>
      <c r="D38" s="64"/>
      <c r="E38" s="64"/>
      <c r="F38" s="64"/>
      <c r="G38" s="62"/>
      <c r="H38" s="62"/>
      <c r="I38" s="125"/>
      <c r="J38" s="70"/>
      <c r="K38" s="63"/>
      <c r="L38" s="63"/>
      <c r="M38" s="63"/>
      <c r="N38" s="70"/>
      <c r="O38" s="62"/>
      <c r="P38" s="62"/>
      <c r="Q38" s="126"/>
      <c r="R38" s="120"/>
      <c r="S38" s="120"/>
      <c r="T38" s="120"/>
      <c r="U38" s="120"/>
      <c r="V38" s="114"/>
      <c r="W38" s="54"/>
      <c r="X38" s="54"/>
      <c r="Y38" s="64" t="s">
        <v>364</v>
      </c>
    </row>
    <row r="39" customFormat="false" ht="12.8" hidden="false" customHeight="false" outlineLevel="0" collapsed="false">
      <c r="A39" s="54"/>
      <c r="B39" s="60" t="str">
        <f aca="true">IF(S39&lt;&gt;"",IF(TODAY()&gt;S39,"Inactive","Active"),"Active")</f>
        <v>Active</v>
      </c>
      <c r="C39" s="62"/>
      <c r="D39" s="64"/>
      <c r="E39" s="64"/>
      <c r="F39" s="64"/>
      <c r="G39" s="62"/>
      <c r="H39" s="62"/>
      <c r="I39" s="125"/>
      <c r="J39" s="70"/>
      <c r="K39" s="63"/>
      <c r="L39" s="63"/>
      <c r="M39" s="63"/>
      <c r="N39" s="70"/>
      <c r="O39" s="62"/>
      <c r="P39" s="62"/>
      <c r="Q39" s="126"/>
      <c r="R39" s="120"/>
      <c r="S39" s="120"/>
      <c r="T39" s="120"/>
      <c r="U39" s="120"/>
      <c r="V39" s="114"/>
      <c r="W39" s="54"/>
      <c r="X39" s="54"/>
      <c r="Y39" s="64" t="s">
        <v>364</v>
      </c>
    </row>
    <row r="40" customFormat="false" ht="12.8" hidden="false" customHeight="false" outlineLevel="0" collapsed="false">
      <c r="B40" s="3"/>
    </row>
  </sheetData>
  <autoFilter ref="A4:Y39"/>
  <dataValidations count="2">
    <dataValidation allowBlank="true" errorStyle="stop" operator="equal" showDropDown="false" showErrorMessage="true" showInputMessage="false" sqref="C5:C39" type="list">
      <formula1>Static!$AG$5:$AG$6</formula1>
      <formula2>0</formula2>
    </dataValidation>
    <dataValidation allowBlank="true" errorStyle="stop" operator="equal" showDropDown="false" showErrorMessage="true" showInputMessage="false" sqref="H5:H39" type="list">
      <formula1>Static!$AH$5:$AH$14</formula1>
      <formula2>0</formula2>
    </dataValidation>
  </dataValidation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AMJ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3" topLeftCell="N4" activePane="bottomRight" state="frozen"/>
      <selection pane="topLeft" activeCell="A1" activeCellId="0" sqref="A1"/>
      <selection pane="topRight" activeCell="N1" activeCellId="0" sqref="N1"/>
      <selection pane="bottomLeft" activeCell="A4" activeCellId="0" sqref="A4"/>
      <selection pane="bottomRight" activeCell="N1" activeCellId="0" sqref="N1"/>
    </sheetView>
  </sheetViews>
  <sheetFormatPr defaultColWidth="16.1484375" defaultRowHeight="12.8" zeroHeight="false" outlineLevelRow="1" outlineLevelCol="0"/>
  <cols>
    <col collapsed="false" customWidth="true" hidden="false" outlineLevel="0" max="1" min="1" style="3" width="1.8"/>
    <col collapsed="false" customWidth="true" hidden="false" outlineLevel="0" max="2" min="2" style="29" width="6.54"/>
    <col collapsed="false" customWidth="true" hidden="false" outlineLevel="0" max="3" min="3" style="29" width="11.38"/>
    <col collapsed="false" customWidth="true" hidden="false" outlineLevel="0" max="4" min="4" style="29" width="13.47"/>
    <col collapsed="false" customWidth="true" hidden="false" outlineLevel="0" max="6" min="6" style="1" width="35.43"/>
    <col collapsed="false" customWidth="true" hidden="false" outlineLevel="0" max="7" min="7" style="29" width="15.28"/>
    <col collapsed="false" customWidth="true" hidden="false" outlineLevel="0" max="8" min="8" style="29" width="15.42"/>
    <col collapsed="false" customWidth="true" hidden="false" outlineLevel="0" max="9" min="9" style="29" width="14.59"/>
    <col collapsed="false" customWidth="true" hidden="false" outlineLevel="0" max="10" min="10" style="3" width="36.68"/>
    <col collapsed="false" customWidth="true" hidden="false" outlineLevel="0" max="11" min="11" style="121" width="15.04"/>
    <col collapsed="false" customWidth="true" hidden="false" outlineLevel="0" max="12" min="12" style="3" width="34.59"/>
    <col collapsed="false" customWidth="true" hidden="false" outlineLevel="0" max="13" min="13" style="3" width="35.58"/>
    <col collapsed="false" customWidth="true" hidden="false" outlineLevel="0" max="14" min="14" style="3" width="20.56"/>
    <col collapsed="false" customWidth="true" hidden="false" outlineLevel="0" max="15" min="15" style="1" width="2.54"/>
  </cols>
  <sheetData>
    <row r="1" customFormat="false" ht="81.3" hidden="false" customHeight="true" outlineLevel="1" collapsed="false">
      <c r="A1" s="31" t="s">
        <v>749</v>
      </c>
      <c r="B1" s="33" t="s">
        <v>860</v>
      </c>
      <c r="C1" s="33" t="s">
        <v>861</v>
      </c>
      <c r="D1" s="33" t="s">
        <v>817</v>
      </c>
      <c r="E1" s="34" t="s">
        <v>862</v>
      </c>
      <c r="F1" s="34" t="s">
        <v>819</v>
      </c>
      <c r="G1" s="83" t="s">
        <v>863</v>
      </c>
      <c r="H1" s="83" t="s">
        <v>864</v>
      </c>
      <c r="I1" s="83" t="s">
        <v>865</v>
      </c>
      <c r="J1" s="72" t="s">
        <v>866</v>
      </c>
      <c r="K1" s="127" t="s">
        <v>867</v>
      </c>
      <c r="L1" s="72" t="s">
        <v>757</v>
      </c>
      <c r="M1" s="31" t="s">
        <v>835</v>
      </c>
      <c r="N1" s="31" t="s">
        <v>384</v>
      </c>
      <c r="O1" s="31" t="s">
        <v>412</v>
      </c>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c r="CT1" s="35"/>
      <c r="CU1" s="35"/>
      <c r="CV1" s="35"/>
      <c r="CW1" s="35"/>
      <c r="CX1" s="35"/>
      <c r="CY1" s="35"/>
      <c r="CZ1" s="35"/>
      <c r="DA1" s="35"/>
      <c r="DB1" s="35"/>
      <c r="DC1" s="35"/>
      <c r="DD1" s="35"/>
      <c r="DE1" s="35"/>
      <c r="DF1" s="35"/>
      <c r="DG1" s="35"/>
      <c r="DH1" s="35"/>
      <c r="DI1" s="35"/>
      <c r="DJ1" s="35"/>
      <c r="DK1" s="35"/>
      <c r="DL1" s="35"/>
      <c r="DM1" s="35"/>
      <c r="DN1" s="35"/>
      <c r="DO1" s="35"/>
      <c r="DP1" s="35"/>
      <c r="DQ1" s="35"/>
      <c r="DR1" s="35"/>
      <c r="DS1" s="35"/>
      <c r="DT1" s="35"/>
      <c r="DU1" s="35"/>
      <c r="DV1" s="35"/>
      <c r="DW1" s="35"/>
      <c r="DX1" s="35"/>
      <c r="DY1" s="35"/>
      <c r="DZ1" s="35"/>
      <c r="EA1" s="35"/>
      <c r="EB1" s="35"/>
      <c r="EC1" s="35"/>
      <c r="ED1" s="35"/>
      <c r="EE1" s="35"/>
      <c r="EF1" s="35"/>
      <c r="EG1" s="35"/>
      <c r="EH1" s="35"/>
      <c r="EI1" s="35"/>
      <c r="EJ1" s="35"/>
      <c r="EK1" s="35"/>
      <c r="EL1" s="35"/>
      <c r="EM1" s="35"/>
      <c r="EN1" s="35"/>
      <c r="EO1" s="35"/>
      <c r="EP1" s="35"/>
      <c r="EQ1" s="35"/>
      <c r="ER1" s="35"/>
      <c r="ES1" s="35"/>
      <c r="ET1" s="35"/>
      <c r="EU1" s="35"/>
      <c r="EV1" s="35"/>
      <c r="EW1" s="35"/>
      <c r="EX1" s="35"/>
      <c r="EY1" s="35"/>
      <c r="EZ1" s="35"/>
      <c r="FA1" s="35"/>
      <c r="FB1" s="35"/>
      <c r="FC1" s="35"/>
      <c r="FD1" s="35"/>
      <c r="FE1" s="35"/>
      <c r="FF1" s="35"/>
      <c r="FG1" s="35"/>
      <c r="FH1" s="35"/>
      <c r="FI1" s="35"/>
      <c r="FJ1" s="35"/>
      <c r="FK1" s="35"/>
      <c r="FL1" s="35"/>
      <c r="FM1" s="35"/>
      <c r="FN1" s="35"/>
      <c r="FO1" s="35"/>
      <c r="FP1" s="35"/>
      <c r="FQ1" s="35"/>
      <c r="FR1" s="35"/>
      <c r="FS1" s="35"/>
      <c r="FT1" s="35"/>
      <c r="FU1" s="35"/>
      <c r="FV1" s="35"/>
      <c r="FW1" s="35"/>
      <c r="FX1" s="35"/>
      <c r="FY1" s="35"/>
      <c r="FZ1" s="35"/>
      <c r="GA1" s="35"/>
      <c r="GB1" s="35"/>
      <c r="GC1" s="35"/>
      <c r="GD1" s="35"/>
      <c r="GE1" s="35"/>
      <c r="GF1" s="35"/>
      <c r="GG1" s="35"/>
      <c r="GH1" s="35"/>
      <c r="GI1" s="35"/>
      <c r="GJ1" s="35"/>
      <c r="GK1" s="35"/>
      <c r="GL1" s="35"/>
      <c r="GM1" s="35"/>
      <c r="GN1" s="35"/>
      <c r="GO1" s="35"/>
      <c r="GP1" s="35"/>
      <c r="GQ1" s="35"/>
      <c r="GR1" s="35"/>
      <c r="GS1" s="35"/>
      <c r="GT1" s="35"/>
      <c r="GU1" s="35"/>
      <c r="GV1" s="35"/>
      <c r="GW1" s="35"/>
      <c r="GX1" s="35"/>
      <c r="GY1" s="35"/>
      <c r="GZ1" s="35"/>
      <c r="HA1" s="35"/>
      <c r="HB1" s="35"/>
      <c r="HC1" s="35"/>
      <c r="HD1" s="35"/>
      <c r="HE1" s="35"/>
      <c r="HF1" s="35"/>
      <c r="HG1" s="35"/>
      <c r="HH1" s="35"/>
      <c r="HI1" s="35"/>
      <c r="HJ1" s="35"/>
      <c r="HK1" s="35"/>
      <c r="HL1" s="35"/>
      <c r="HM1" s="35"/>
      <c r="HN1" s="35"/>
      <c r="HO1" s="35"/>
      <c r="HP1" s="35"/>
      <c r="HQ1" s="35"/>
      <c r="HR1" s="35"/>
      <c r="HS1" s="35"/>
      <c r="HT1" s="35"/>
      <c r="HU1" s="35"/>
      <c r="HV1" s="35"/>
      <c r="HW1" s="35"/>
      <c r="HX1" s="35"/>
      <c r="HY1" s="35"/>
      <c r="HZ1" s="35"/>
      <c r="IA1" s="35"/>
      <c r="IB1" s="35"/>
      <c r="IC1" s="35"/>
      <c r="ID1" s="35"/>
      <c r="IE1" s="35"/>
      <c r="IF1" s="35"/>
      <c r="IG1" s="35"/>
      <c r="IH1" s="35"/>
      <c r="II1" s="35"/>
      <c r="IJ1" s="35"/>
      <c r="IK1" s="35"/>
      <c r="IL1" s="35"/>
      <c r="IM1" s="35"/>
      <c r="IN1" s="35"/>
      <c r="IO1" s="35"/>
      <c r="IP1" s="35"/>
      <c r="IQ1" s="35"/>
      <c r="IR1" s="35"/>
      <c r="IS1" s="35"/>
      <c r="IT1" s="35"/>
      <c r="IU1" s="35"/>
      <c r="IV1" s="35"/>
      <c r="IW1" s="35"/>
      <c r="IX1" s="35"/>
      <c r="IY1" s="35"/>
      <c r="IZ1" s="35"/>
      <c r="JA1" s="35"/>
      <c r="JB1" s="35"/>
      <c r="JC1" s="35"/>
      <c r="JD1" s="35"/>
      <c r="JE1" s="35"/>
      <c r="JF1" s="35"/>
      <c r="JG1" s="35"/>
      <c r="JH1" s="35"/>
      <c r="JI1" s="35"/>
      <c r="JJ1" s="35"/>
      <c r="JK1" s="35"/>
      <c r="JL1" s="35"/>
      <c r="JM1" s="35"/>
      <c r="JN1" s="35"/>
      <c r="JO1" s="35"/>
      <c r="JP1" s="35"/>
      <c r="JQ1" s="35"/>
      <c r="JR1" s="35"/>
      <c r="JS1" s="35"/>
      <c r="JT1" s="35"/>
      <c r="JU1" s="35"/>
      <c r="JV1" s="35"/>
      <c r="JW1" s="35"/>
      <c r="JX1" s="35"/>
      <c r="JY1" s="35"/>
      <c r="JZ1" s="35"/>
      <c r="KA1" s="35"/>
      <c r="KB1" s="35"/>
      <c r="KC1" s="35"/>
      <c r="KD1" s="35"/>
      <c r="KE1" s="35"/>
      <c r="KF1" s="35"/>
      <c r="KG1" s="35"/>
      <c r="KH1" s="35"/>
      <c r="KI1" s="35"/>
      <c r="KJ1" s="35"/>
      <c r="KK1" s="35"/>
      <c r="KL1" s="35"/>
      <c r="KM1" s="35"/>
      <c r="KN1" s="35"/>
      <c r="KO1" s="35"/>
      <c r="KP1" s="35"/>
      <c r="KQ1" s="35"/>
      <c r="KR1" s="35"/>
      <c r="KS1" s="35"/>
      <c r="KT1" s="35"/>
      <c r="KU1" s="35"/>
      <c r="KV1" s="35"/>
      <c r="KW1" s="35"/>
      <c r="KX1" s="35"/>
      <c r="KY1" s="35"/>
      <c r="KZ1" s="35"/>
      <c r="LA1" s="35"/>
      <c r="LB1" s="35"/>
      <c r="LC1" s="35"/>
      <c r="LD1" s="35"/>
      <c r="LE1" s="35"/>
      <c r="LF1" s="35"/>
      <c r="LG1" s="35"/>
      <c r="LH1" s="35"/>
      <c r="LI1" s="35"/>
      <c r="LJ1" s="35"/>
      <c r="LK1" s="35"/>
      <c r="LL1" s="35"/>
      <c r="LM1" s="35"/>
      <c r="LN1" s="35"/>
      <c r="LO1" s="35"/>
      <c r="LP1" s="35"/>
      <c r="LQ1" s="35"/>
      <c r="LR1" s="35"/>
      <c r="LS1" s="35"/>
      <c r="LT1" s="35"/>
      <c r="LU1" s="35"/>
      <c r="LV1" s="35"/>
      <c r="LW1" s="35"/>
      <c r="LX1" s="35"/>
      <c r="LY1" s="35"/>
      <c r="LZ1" s="35"/>
      <c r="MA1" s="35"/>
      <c r="MB1" s="35"/>
      <c r="MC1" s="35"/>
      <c r="MD1" s="35"/>
      <c r="ME1" s="35"/>
      <c r="MF1" s="35"/>
      <c r="MG1" s="35"/>
      <c r="MH1" s="35"/>
      <c r="MI1" s="35"/>
      <c r="MJ1" s="35"/>
      <c r="MK1" s="35"/>
      <c r="ML1" s="35"/>
      <c r="MM1" s="35"/>
      <c r="MN1" s="35"/>
      <c r="MO1" s="35"/>
      <c r="MP1" s="35"/>
      <c r="MQ1" s="35"/>
      <c r="MR1" s="35"/>
      <c r="MS1" s="35"/>
      <c r="MT1" s="35"/>
      <c r="MU1" s="35"/>
      <c r="MV1" s="35"/>
      <c r="MW1" s="35"/>
      <c r="MX1" s="35"/>
      <c r="MY1" s="35"/>
      <c r="MZ1" s="35"/>
      <c r="NA1" s="35"/>
      <c r="NB1" s="35"/>
      <c r="NC1" s="35"/>
      <c r="ND1" s="35"/>
      <c r="NE1" s="35"/>
      <c r="NF1" s="35"/>
      <c r="NG1" s="35"/>
      <c r="NH1" s="35"/>
      <c r="NI1" s="35"/>
      <c r="NJ1" s="35"/>
      <c r="NK1" s="35"/>
      <c r="NL1" s="35"/>
      <c r="NM1" s="35"/>
      <c r="NN1" s="35"/>
      <c r="NO1" s="35"/>
      <c r="NP1" s="35"/>
      <c r="NQ1" s="35"/>
      <c r="NR1" s="35"/>
      <c r="NS1" s="35"/>
      <c r="NT1" s="35"/>
      <c r="NU1" s="35"/>
      <c r="NV1" s="35"/>
      <c r="NW1" s="35"/>
      <c r="NX1" s="35"/>
      <c r="NY1" s="35"/>
      <c r="NZ1" s="35"/>
      <c r="OA1" s="35"/>
      <c r="OB1" s="35"/>
      <c r="OC1" s="35"/>
      <c r="OD1" s="35"/>
      <c r="OE1" s="35"/>
      <c r="OF1" s="35"/>
      <c r="OG1" s="35"/>
      <c r="OH1" s="35"/>
      <c r="OI1" s="35"/>
      <c r="OJ1" s="35"/>
      <c r="OK1" s="35"/>
      <c r="OL1" s="35"/>
      <c r="OM1" s="35"/>
      <c r="ON1" s="35"/>
      <c r="OO1" s="35"/>
      <c r="OP1" s="35"/>
      <c r="OQ1" s="35"/>
      <c r="OR1" s="35"/>
      <c r="OS1" s="35"/>
      <c r="OT1" s="35"/>
      <c r="OU1" s="35"/>
      <c r="OV1" s="35"/>
      <c r="OW1" s="35"/>
      <c r="OX1" s="35"/>
      <c r="OY1" s="35"/>
      <c r="OZ1" s="35"/>
      <c r="PA1" s="35"/>
      <c r="PB1" s="35"/>
      <c r="PC1" s="35"/>
      <c r="PD1" s="35"/>
      <c r="PE1" s="35"/>
      <c r="PF1" s="35"/>
      <c r="PG1" s="35"/>
      <c r="PH1" s="35"/>
      <c r="PI1" s="35"/>
      <c r="PJ1" s="35"/>
      <c r="PK1" s="35"/>
      <c r="PL1" s="35"/>
      <c r="PM1" s="35"/>
      <c r="PN1" s="35"/>
      <c r="PO1" s="35"/>
      <c r="PP1" s="35"/>
      <c r="PQ1" s="35"/>
      <c r="PR1" s="35"/>
      <c r="PS1" s="35"/>
      <c r="PT1" s="35"/>
      <c r="PU1" s="35"/>
      <c r="PV1" s="35"/>
      <c r="PW1" s="35"/>
      <c r="PX1" s="35"/>
      <c r="PY1" s="35"/>
      <c r="PZ1" s="35"/>
      <c r="QA1" s="35"/>
      <c r="QB1" s="35"/>
      <c r="QC1" s="35"/>
      <c r="QD1" s="35"/>
      <c r="QE1" s="35"/>
      <c r="QF1" s="35"/>
      <c r="QG1" s="35"/>
      <c r="QH1" s="35"/>
      <c r="QI1" s="35"/>
      <c r="QJ1" s="35"/>
      <c r="QK1" s="35"/>
      <c r="QL1" s="35"/>
      <c r="QM1" s="35"/>
      <c r="QN1" s="35"/>
      <c r="QO1" s="35"/>
      <c r="QP1" s="35"/>
      <c r="QQ1" s="35"/>
      <c r="QR1" s="35"/>
      <c r="QS1" s="35"/>
      <c r="QT1" s="35"/>
      <c r="QU1" s="35"/>
      <c r="QV1" s="35"/>
      <c r="QW1" s="35"/>
      <c r="QX1" s="35"/>
      <c r="QY1" s="35"/>
      <c r="QZ1" s="35"/>
      <c r="RA1" s="35"/>
      <c r="RB1" s="35"/>
      <c r="RC1" s="35"/>
      <c r="RD1" s="35"/>
      <c r="RE1" s="35"/>
      <c r="RF1" s="35"/>
      <c r="RG1" s="35"/>
      <c r="RH1" s="35"/>
      <c r="RI1" s="35"/>
      <c r="RJ1" s="35"/>
      <c r="RK1" s="35"/>
      <c r="RL1" s="35"/>
      <c r="RM1" s="35"/>
      <c r="RN1" s="35"/>
      <c r="RO1" s="35"/>
      <c r="RP1" s="35"/>
      <c r="RQ1" s="35"/>
      <c r="RR1" s="35"/>
      <c r="RS1" s="35"/>
      <c r="RT1" s="35"/>
      <c r="RU1" s="35"/>
      <c r="RV1" s="35"/>
      <c r="RW1" s="35"/>
      <c r="RX1" s="35"/>
      <c r="RY1" s="35"/>
      <c r="RZ1" s="35"/>
      <c r="SA1" s="35"/>
      <c r="SB1" s="35"/>
      <c r="SC1" s="35"/>
      <c r="SD1" s="35"/>
      <c r="SE1" s="35"/>
      <c r="SF1" s="35"/>
      <c r="SG1" s="35"/>
      <c r="SH1" s="35"/>
      <c r="SI1" s="35"/>
      <c r="SJ1" s="35"/>
      <c r="SK1" s="35"/>
      <c r="SL1" s="35"/>
      <c r="SM1" s="35"/>
      <c r="SN1" s="35"/>
      <c r="SO1" s="35"/>
      <c r="SP1" s="35"/>
      <c r="SQ1" s="35"/>
      <c r="SR1" s="35"/>
      <c r="SS1" s="35"/>
      <c r="ST1" s="35"/>
      <c r="SU1" s="35"/>
      <c r="SV1" s="35"/>
      <c r="SW1" s="35"/>
      <c r="SX1" s="35"/>
      <c r="SY1" s="35"/>
      <c r="SZ1" s="35"/>
      <c r="TA1" s="35"/>
      <c r="TB1" s="35"/>
      <c r="TC1" s="35"/>
      <c r="TD1" s="35"/>
      <c r="TE1" s="35"/>
      <c r="TF1" s="35"/>
      <c r="TG1" s="35"/>
      <c r="TH1" s="35"/>
      <c r="TI1" s="35"/>
      <c r="TJ1" s="35"/>
      <c r="TK1" s="35"/>
      <c r="TL1" s="35"/>
      <c r="TM1" s="35"/>
      <c r="TN1" s="35"/>
      <c r="TO1" s="35"/>
      <c r="TP1" s="35"/>
      <c r="TQ1" s="35"/>
      <c r="TR1" s="35"/>
      <c r="TS1" s="35"/>
      <c r="TT1" s="35"/>
      <c r="TU1" s="35"/>
      <c r="TV1" s="35"/>
      <c r="TW1" s="35"/>
      <c r="TX1" s="35"/>
      <c r="TY1" s="35"/>
      <c r="TZ1" s="35"/>
      <c r="UA1" s="35"/>
      <c r="UB1" s="35"/>
      <c r="UC1" s="35"/>
      <c r="UD1" s="35"/>
      <c r="UE1" s="35"/>
      <c r="UF1" s="35"/>
      <c r="UG1" s="35"/>
      <c r="UH1" s="35"/>
      <c r="UI1" s="35"/>
      <c r="UJ1" s="35"/>
      <c r="UK1" s="35"/>
      <c r="UL1" s="35"/>
      <c r="UM1" s="35"/>
      <c r="UN1" s="35"/>
      <c r="UO1" s="35"/>
      <c r="UP1" s="35"/>
      <c r="UQ1" s="35"/>
      <c r="UR1" s="35"/>
      <c r="US1" s="35"/>
      <c r="UT1" s="35"/>
      <c r="UU1" s="35"/>
      <c r="UV1" s="35"/>
      <c r="UW1" s="35"/>
      <c r="UX1" s="35"/>
      <c r="UY1" s="35"/>
      <c r="UZ1" s="35"/>
      <c r="VA1" s="35"/>
      <c r="VB1" s="35"/>
      <c r="VC1" s="35"/>
      <c r="VD1" s="35"/>
      <c r="VE1" s="35"/>
      <c r="VF1" s="35"/>
      <c r="VG1" s="35"/>
      <c r="VH1" s="35"/>
      <c r="VI1" s="35"/>
      <c r="VJ1" s="35"/>
      <c r="VK1" s="35"/>
      <c r="VL1" s="35"/>
      <c r="VM1" s="35"/>
      <c r="VN1" s="35"/>
      <c r="VO1" s="35"/>
      <c r="VP1" s="35"/>
      <c r="VQ1" s="35"/>
      <c r="VR1" s="35"/>
      <c r="VS1" s="35"/>
      <c r="VT1" s="35"/>
      <c r="VU1" s="35"/>
      <c r="VV1" s="35"/>
      <c r="VW1" s="35"/>
      <c r="VX1" s="35"/>
      <c r="VY1" s="35"/>
      <c r="VZ1" s="35"/>
      <c r="WA1" s="35"/>
      <c r="WB1" s="35"/>
      <c r="WC1" s="35"/>
      <c r="WD1" s="35"/>
      <c r="WE1" s="35"/>
      <c r="WF1" s="35"/>
      <c r="WG1" s="35"/>
      <c r="WH1" s="35"/>
      <c r="WI1" s="35"/>
      <c r="WJ1" s="35"/>
      <c r="WK1" s="35"/>
      <c r="WL1" s="35"/>
      <c r="WM1" s="35"/>
      <c r="WN1" s="35"/>
      <c r="WO1" s="35"/>
      <c r="WP1" s="35"/>
      <c r="WQ1" s="35"/>
      <c r="WR1" s="35"/>
      <c r="WS1" s="35"/>
      <c r="WT1" s="35"/>
      <c r="WU1" s="35"/>
      <c r="WV1" s="35"/>
      <c r="WW1" s="35"/>
      <c r="WX1" s="35"/>
      <c r="WY1" s="35"/>
      <c r="WZ1" s="35"/>
      <c r="XA1" s="35"/>
      <c r="XB1" s="35"/>
      <c r="XC1" s="35"/>
      <c r="XD1" s="35"/>
      <c r="XE1" s="35"/>
      <c r="XF1" s="35"/>
      <c r="XG1" s="35"/>
      <c r="XH1" s="35"/>
      <c r="XI1" s="35"/>
      <c r="XJ1" s="35"/>
      <c r="XK1" s="35"/>
      <c r="XL1" s="35"/>
      <c r="XM1" s="35"/>
      <c r="XN1" s="35"/>
      <c r="XO1" s="35"/>
      <c r="XP1" s="35"/>
      <c r="XQ1" s="35"/>
      <c r="XR1" s="35"/>
      <c r="XS1" s="35"/>
      <c r="XT1" s="35"/>
      <c r="XU1" s="35"/>
      <c r="XV1" s="35"/>
      <c r="XW1" s="35"/>
      <c r="XX1" s="35"/>
      <c r="XY1" s="35"/>
      <c r="XZ1" s="35"/>
      <c r="YA1" s="35"/>
      <c r="YB1" s="35"/>
      <c r="YC1" s="35"/>
      <c r="YD1" s="35"/>
      <c r="YE1" s="35"/>
      <c r="YF1" s="35"/>
      <c r="YG1" s="35"/>
      <c r="YH1" s="35"/>
      <c r="YI1" s="35"/>
      <c r="YJ1" s="35"/>
      <c r="YK1" s="35"/>
      <c r="YL1" s="35"/>
      <c r="YM1" s="35"/>
      <c r="YN1" s="35"/>
      <c r="YO1" s="35"/>
      <c r="YP1" s="35"/>
      <c r="YQ1" s="35"/>
      <c r="YR1" s="35"/>
      <c r="YS1" s="35"/>
      <c r="YT1" s="35"/>
      <c r="YU1" s="35"/>
      <c r="YV1" s="35"/>
      <c r="YW1" s="35"/>
      <c r="YX1" s="35"/>
      <c r="YY1" s="35"/>
      <c r="YZ1" s="35"/>
      <c r="ZA1" s="35"/>
      <c r="ZB1" s="35"/>
      <c r="ZC1" s="35"/>
      <c r="ZD1" s="35"/>
      <c r="ZE1" s="35"/>
      <c r="ZF1" s="35"/>
      <c r="ZG1" s="35"/>
      <c r="ZH1" s="35"/>
      <c r="ZI1" s="35"/>
      <c r="ZJ1" s="35"/>
      <c r="ZK1" s="35"/>
      <c r="ZL1" s="35"/>
      <c r="ZM1" s="35"/>
      <c r="ZN1" s="35"/>
      <c r="ZO1" s="35"/>
      <c r="ZP1" s="35"/>
      <c r="ZQ1" s="35"/>
      <c r="ZR1" s="35"/>
      <c r="ZS1" s="35"/>
      <c r="ZT1" s="35"/>
      <c r="ZU1" s="35"/>
      <c r="ZV1" s="35"/>
      <c r="ZW1" s="35"/>
      <c r="ZX1" s="35"/>
      <c r="ZY1" s="35"/>
      <c r="ZZ1" s="35"/>
      <c r="AAA1" s="35"/>
      <c r="AAB1" s="35"/>
      <c r="AAC1" s="35"/>
      <c r="AAD1" s="35"/>
      <c r="AAE1" s="35"/>
      <c r="AAF1" s="35"/>
      <c r="AAG1" s="35"/>
      <c r="AAH1" s="35"/>
      <c r="AAI1" s="35"/>
      <c r="AAJ1" s="35"/>
      <c r="AAK1" s="35"/>
      <c r="AAL1" s="35"/>
      <c r="AAM1" s="35"/>
      <c r="AAN1" s="35"/>
      <c r="AAO1" s="35"/>
      <c r="AAP1" s="35"/>
      <c r="AAQ1" s="35"/>
      <c r="AAR1" s="35"/>
      <c r="AAS1" s="35"/>
      <c r="AAT1" s="35"/>
      <c r="AAU1" s="35"/>
      <c r="AAV1" s="35"/>
      <c r="AAW1" s="35"/>
      <c r="AAX1" s="35"/>
      <c r="AAY1" s="35"/>
      <c r="AAZ1" s="35"/>
      <c r="ABA1" s="35"/>
      <c r="ABB1" s="35"/>
      <c r="ABC1" s="35"/>
      <c r="ABD1" s="35"/>
      <c r="ABE1" s="35"/>
      <c r="ABF1" s="35"/>
      <c r="ABG1" s="35"/>
      <c r="ABH1" s="35"/>
      <c r="ABI1" s="35"/>
      <c r="ABJ1" s="35"/>
      <c r="ABK1" s="35"/>
      <c r="ABL1" s="35"/>
      <c r="ABM1" s="35"/>
      <c r="ABN1" s="35"/>
      <c r="ABO1" s="35"/>
      <c r="ABP1" s="35"/>
      <c r="ABQ1" s="35"/>
      <c r="ABR1" s="35"/>
      <c r="ABS1" s="35"/>
      <c r="ABT1" s="35"/>
      <c r="ABU1" s="35"/>
      <c r="ABV1" s="35"/>
      <c r="ABW1" s="35"/>
      <c r="ABX1" s="35"/>
      <c r="ABY1" s="35"/>
      <c r="ABZ1" s="35"/>
      <c r="ACA1" s="35"/>
      <c r="ACB1" s="35"/>
      <c r="ACC1" s="35"/>
      <c r="ACD1" s="35"/>
      <c r="ACE1" s="35"/>
      <c r="ACF1" s="35"/>
      <c r="ACG1" s="35"/>
      <c r="ACH1" s="35"/>
      <c r="ACI1" s="35"/>
      <c r="ACJ1" s="35"/>
      <c r="ACK1" s="35"/>
      <c r="ACL1" s="35"/>
      <c r="ACM1" s="35"/>
      <c r="ACN1" s="35"/>
      <c r="ACO1" s="35"/>
      <c r="ACP1" s="35"/>
      <c r="ACQ1" s="35"/>
      <c r="ACR1" s="35"/>
      <c r="ACS1" s="35"/>
      <c r="ACT1" s="35"/>
      <c r="ACU1" s="35"/>
      <c r="ACV1" s="35"/>
      <c r="ACW1" s="35"/>
      <c r="ACX1" s="35"/>
      <c r="ACY1" s="35"/>
      <c r="ACZ1" s="35"/>
      <c r="ADA1" s="35"/>
      <c r="ADB1" s="35"/>
      <c r="ADC1" s="35"/>
      <c r="ADD1" s="35"/>
      <c r="ADE1" s="35"/>
      <c r="ADF1" s="35"/>
      <c r="ADG1" s="35"/>
      <c r="ADH1" s="35"/>
      <c r="ADI1" s="35"/>
      <c r="ADJ1" s="35"/>
      <c r="ADK1" s="35"/>
      <c r="ADL1" s="35"/>
      <c r="ADM1" s="35"/>
      <c r="ADN1" s="35"/>
      <c r="ADO1" s="35"/>
      <c r="ADP1" s="35"/>
      <c r="ADQ1" s="35"/>
      <c r="ADR1" s="35"/>
      <c r="ADS1" s="35"/>
      <c r="ADT1" s="35"/>
      <c r="ADU1" s="35"/>
      <c r="ADV1" s="35"/>
      <c r="ADW1" s="35"/>
      <c r="ADX1" s="35"/>
      <c r="ADY1" s="35"/>
      <c r="ADZ1" s="35"/>
      <c r="AEA1" s="35"/>
      <c r="AEB1" s="35"/>
      <c r="AEC1" s="35"/>
      <c r="AED1" s="35"/>
      <c r="AEE1" s="35"/>
      <c r="AEF1" s="35"/>
      <c r="AEG1" s="35"/>
      <c r="AEH1" s="35"/>
      <c r="AEI1" s="35"/>
      <c r="AEJ1" s="35"/>
      <c r="AEK1" s="35"/>
      <c r="AEL1" s="35"/>
      <c r="AEM1" s="35"/>
      <c r="AEN1" s="35"/>
      <c r="AEO1" s="35"/>
      <c r="AEP1" s="35"/>
      <c r="AEQ1" s="35"/>
      <c r="AER1" s="35"/>
      <c r="AES1" s="35"/>
      <c r="AET1" s="35"/>
      <c r="AEU1" s="35"/>
      <c r="AEV1" s="35"/>
      <c r="AEW1" s="35"/>
      <c r="AEX1" s="35"/>
      <c r="AEY1" s="35"/>
      <c r="AEZ1" s="35"/>
      <c r="AFA1" s="35"/>
      <c r="AFB1" s="35"/>
      <c r="AFC1" s="35"/>
      <c r="AFD1" s="35"/>
      <c r="AFE1" s="35"/>
      <c r="AFF1" s="35"/>
      <c r="AFG1" s="35"/>
      <c r="AFH1" s="35"/>
      <c r="AFI1" s="35"/>
      <c r="AFJ1" s="35"/>
      <c r="AFK1" s="35"/>
      <c r="AFL1" s="35"/>
      <c r="AFM1" s="35"/>
      <c r="AFN1" s="35"/>
      <c r="AFO1" s="35"/>
      <c r="AFP1" s="35"/>
      <c r="AFQ1" s="35"/>
      <c r="AFR1" s="35"/>
      <c r="AFS1" s="35"/>
      <c r="AFT1" s="35"/>
      <c r="AFU1" s="35"/>
      <c r="AFV1" s="35"/>
      <c r="AFW1" s="35"/>
      <c r="AFX1" s="35"/>
      <c r="AFY1" s="35"/>
      <c r="AFZ1" s="35"/>
      <c r="AGA1" s="35"/>
      <c r="AGB1" s="35"/>
      <c r="AGC1" s="35"/>
      <c r="AGD1" s="35"/>
      <c r="AGE1" s="35"/>
      <c r="AGF1" s="35"/>
      <c r="AGG1" s="35"/>
      <c r="AGH1" s="35"/>
      <c r="AGI1" s="35"/>
      <c r="AGJ1" s="35"/>
      <c r="AGK1" s="35"/>
      <c r="AGL1" s="35"/>
      <c r="AGM1" s="35"/>
      <c r="AGN1" s="35"/>
      <c r="AGO1" s="35"/>
      <c r="AGP1" s="35"/>
      <c r="AGQ1" s="35"/>
      <c r="AGR1" s="35"/>
      <c r="AGS1" s="35"/>
      <c r="AGT1" s="35"/>
      <c r="AGU1" s="35"/>
      <c r="AGV1" s="35"/>
      <c r="AGW1" s="35"/>
      <c r="AGX1" s="35"/>
      <c r="AGY1" s="35"/>
      <c r="AGZ1" s="35"/>
      <c r="AHA1" s="35"/>
      <c r="AHB1" s="35"/>
      <c r="AHC1" s="35"/>
      <c r="AHD1" s="35"/>
      <c r="AHE1" s="35"/>
      <c r="AHF1" s="35"/>
      <c r="AHG1" s="35"/>
      <c r="AHH1" s="35"/>
      <c r="AHI1" s="35"/>
      <c r="AHJ1" s="35"/>
      <c r="AHK1" s="35"/>
      <c r="AHL1" s="35"/>
      <c r="AHM1" s="35"/>
      <c r="AHN1" s="35"/>
      <c r="AHO1" s="35"/>
      <c r="AHP1" s="35"/>
      <c r="AHQ1" s="35"/>
      <c r="AHR1" s="35"/>
      <c r="AHS1" s="35"/>
      <c r="AHT1" s="35"/>
      <c r="AHU1" s="35"/>
      <c r="AHV1" s="35"/>
      <c r="AHW1" s="35"/>
      <c r="AHX1" s="35"/>
      <c r="AHY1" s="35"/>
      <c r="AHZ1" s="35"/>
      <c r="AIA1" s="35"/>
      <c r="AIB1" s="35"/>
      <c r="AIC1" s="35"/>
      <c r="AID1" s="35"/>
      <c r="AIE1" s="35"/>
      <c r="AIF1" s="35"/>
      <c r="AIG1" s="35"/>
      <c r="AIH1" s="35"/>
      <c r="AII1" s="35"/>
      <c r="AIJ1" s="35"/>
      <c r="AIK1" s="35"/>
      <c r="AIL1" s="35"/>
      <c r="AIM1" s="35"/>
      <c r="AIN1" s="35"/>
      <c r="AIO1" s="35"/>
      <c r="AIP1" s="35"/>
      <c r="AIQ1" s="35"/>
      <c r="AIR1" s="35"/>
      <c r="AIS1" s="35"/>
      <c r="AIT1" s="35"/>
      <c r="AIU1" s="35"/>
      <c r="AIV1" s="35"/>
      <c r="AIW1" s="35"/>
      <c r="AIX1" s="35"/>
      <c r="AIY1" s="35"/>
      <c r="AIZ1" s="35"/>
      <c r="AJA1" s="35"/>
      <c r="AJB1" s="35"/>
      <c r="AJC1" s="35"/>
      <c r="AJD1" s="35"/>
      <c r="AJE1" s="35"/>
      <c r="AJF1" s="35"/>
      <c r="AJG1" s="35"/>
      <c r="AJH1" s="35"/>
      <c r="AJI1" s="35"/>
      <c r="AJJ1" s="35"/>
      <c r="AJK1" s="35"/>
      <c r="AJL1" s="35"/>
      <c r="AJM1" s="35"/>
      <c r="AJN1" s="35"/>
      <c r="AJO1" s="35"/>
      <c r="AJP1" s="35"/>
      <c r="AJQ1" s="35"/>
      <c r="AJR1" s="35"/>
      <c r="AJS1" s="35"/>
      <c r="AJT1" s="35"/>
      <c r="AJU1" s="35"/>
      <c r="AJV1" s="35"/>
      <c r="AJW1" s="35"/>
      <c r="AJX1" s="35"/>
      <c r="AJY1" s="35"/>
      <c r="AJZ1" s="35"/>
      <c r="AKA1" s="35"/>
      <c r="AKB1" s="35"/>
      <c r="AKC1" s="35"/>
      <c r="AKD1" s="35"/>
      <c r="AKE1" s="35"/>
      <c r="AKF1" s="35"/>
      <c r="AKG1" s="35"/>
      <c r="AKH1" s="35"/>
      <c r="AKI1" s="35"/>
      <c r="AKJ1" s="35"/>
      <c r="AKK1" s="35"/>
      <c r="AKL1" s="35"/>
      <c r="AKM1" s="35"/>
      <c r="AKN1" s="35"/>
      <c r="AKO1" s="35"/>
      <c r="AKP1" s="35"/>
      <c r="AKQ1" s="35"/>
      <c r="AKR1" s="35"/>
      <c r="AKS1" s="35"/>
      <c r="AKT1" s="35"/>
      <c r="AKU1" s="35"/>
      <c r="AKV1" s="35"/>
      <c r="AKW1" s="35"/>
      <c r="AKX1" s="35"/>
      <c r="AKY1" s="35"/>
      <c r="AKZ1" s="35"/>
      <c r="ALA1" s="35"/>
      <c r="ALB1" s="35"/>
      <c r="ALC1" s="35"/>
      <c r="ALD1" s="35"/>
      <c r="ALE1" s="35"/>
      <c r="ALF1" s="35"/>
      <c r="ALG1" s="35"/>
      <c r="ALH1" s="35"/>
      <c r="ALI1" s="35"/>
      <c r="ALJ1" s="35"/>
      <c r="ALK1" s="35"/>
      <c r="ALL1" s="35"/>
      <c r="ALM1" s="35"/>
      <c r="ALN1" s="35"/>
      <c r="ALO1" s="35"/>
      <c r="ALP1" s="35"/>
      <c r="ALQ1" s="35"/>
      <c r="ALR1" s="35"/>
      <c r="ALS1" s="35"/>
      <c r="ALT1" s="35"/>
      <c r="ALU1" s="35"/>
      <c r="ALV1" s="35"/>
      <c r="ALW1" s="35"/>
      <c r="ALX1" s="35"/>
      <c r="ALY1" s="35"/>
      <c r="ALZ1" s="1"/>
      <c r="AMA1" s="1"/>
      <c r="AMB1" s="1"/>
      <c r="AMC1" s="1"/>
      <c r="AMD1" s="1"/>
      <c r="AME1" s="1"/>
      <c r="AMF1" s="1"/>
      <c r="AMG1" s="1"/>
      <c r="AMH1" s="1"/>
      <c r="AMI1" s="1"/>
      <c r="AMJ1" s="1"/>
    </row>
    <row r="2" customFormat="false" ht="12.8" hidden="false" customHeight="false" outlineLevel="1" collapsed="false">
      <c r="A2" s="31"/>
      <c r="B2" s="33"/>
      <c r="C2" s="33"/>
      <c r="D2" s="33"/>
      <c r="E2" s="34"/>
      <c r="F2" s="34"/>
      <c r="G2" s="83"/>
      <c r="H2" s="83"/>
      <c r="I2" s="83"/>
      <c r="J2" s="72"/>
      <c r="K2" s="127"/>
      <c r="L2" s="72"/>
      <c r="M2" s="31"/>
      <c r="N2" s="31"/>
      <c r="O2" s="31"/>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c r="CF2" s="35"/>
      <c r="CG2" s="35"/>
      <c r="CH2" s="35"/>
      <c r="CI2" s="35"/>
      <c r="CJ2" s="35"/>
      <c r="CK2" s="35"/>
      <c r="CL2" s="35"/>
      <c r="CM2" s="35"/>
      <c r="CN2" s="35"/>
      <c r="CO2" s="35"/>
      <c r="CP2" s="35"/>
      <c r="CQ2" s="35"/>
      <c r="CR2" s="35"/>
      <c r="CS2" s="35"/>
      <c r="CT2" s="35"/>
      <c r="CU2" s="35"/>
      <c r="CV2" s="35"/>
      <c r="CW2" s="35"/>
      <c r="CX2" s="35"/>
      <c r="CY2" s="35"/>
      <c r="CZ2" s="35"/>
      <c r="DA2" s="35"/>
      <c r="DB2" s="35"/>
      <c r="DC2" s="35"/>
      <c r="DD2" s="35"/>
      <c r="DE2" s="35"/>
      <c r="DF2" s="35"/>
      <c r="DG2" s="35"/>
      <c r="DH2" s="35"/>
      <c r="DI2" s="35"/>
      <c r="DJ2" s="35"/>
      <c r="DK2" s="35"/>
      <c r="DL2" s="35"/>
      <c r="DM2" s="35"/>
      <c r="DN2" s="35"/>
      <c r="DO2" s="35"/>
      <c r="DP2" s="35"/>
      <c r="DQ2" s="35"/>
      <c r="DR2" s="35"/>
      <c r="DS2" s="35"/>
      <c r="DT2" s="35"/>
      <c r="DU2" s="35"/>
      <c r="DV2" s="35"/>
      <c r="DW2" s="35"/>
      <c r="DX2" s="35"/>
      <c r="DY2" s="35"/>
      <c r="DZ2" s="35"/>
      <c r="EA2" s="35"/>
      <c r="EB2" s="35"/>
      <c r="EC2" s="35"/>
      <c r="ED2" s="35"/>
      <c r="EE2" s="35"/>
      <c r="EF2" s="35"/>
      <c r="EG2" s="35"/>
      <c r="EH2" s="35"/>
      <c r="EI2" s="35"/>
      <c r="EJ2" s="35"/>
      <c r="EK2" s="35"/>
      <c r="EL2" s="35"/>
      <c r="EM2" s="35"/>
      <c r="EN2" s="35"/>
      <c r="EO2" s="35"/>
      <c r="EP2" s="35"/>
      <c r="EQ2" s="35"/>
      <c r="ER2" s="35"/>
      <c r="ES2" s="35"/>
      <c r="ET2" s="35"/>
      <c r="EU2" s="35"/>
      <c r="EV2" s="35"/>
      <c r="EW2" s="35"/>
      <c r="EX2" s="35"/>
      <c r="EY2" s="35"/>
      <c r="EZ2" s="35"/>
      <c r="FA2" s="35"/>
      <c r="FB2" s="35"/>
      <c r="FC2" s="35"/>
      <c r="FD2" s="35"/>
      <c r="FE2" s="35"/>
      <c r="FF2" s="35"/>
      <c r="FG2" s="35"/>
      <c r="FH2" s="35"/>
      <c r="FI2" s="35"/>
      <c r="FJ2" s="35"/>
      <c r="FK2" s="35"/>
      <c r="FL2" s="35"/>
      <c r="FM2" s="35"/>
      <c r="FN2" s="35"/>
      <c r="FO2" s="35"/>
      <c r="FP2" s="35"/>
      <c r="FQ2" s="35"/>
      <c r="FR2" s="35"/>
      <c r="FS2" s="35"/>
      <c r="FT2" s="35"/>
      <c r="FU2" s="35"/>
      <c r="FV2" s="35"/>
      <c r="FW2" s="35"/>
      <c r="FX2" s="35"/>
      <c r="FY2" s="35"/>
      <c r="FZ2" s="35"/>
      <c r="GA2" s="35"/>
      <c r="GB2" s="35"/>
      <c r="GC2" s="35"/>
      <c r="GD2" s="35"/>
      <c r="GE2" s="35"/>
      <c r="GF2" s="35"/>
      <c r="GG2" s="35"/>
      <c r="GH2" s="35"/>
      <c r="GI2" s="35"/>
      <c r="GJ2" s="35"/>
      <c r="GK2" s="35"/>
      <c r="GL2" s="35"/>
      <c r="GM2" s="35"/>
      <c r="GN2" s="35"/>
      <c r="GO2" s="35"/>
      <c r="GP2" s="35"/>
      <c r="GQ2" s="35"/>
      <c r="GR2" s="35"/>
      <c r="GS2" s="35"/>
      <c r="GT2" s="35"/>
      <c r="GU2" s="35"/>
      <c r="GV2" s="35"/>
      <c r="GW2" s="35"/>
      <c r="GX2" s="35"/>
      <c r="GY2" s="35"/>
      <c r="GZ2" s="35"/>
      <c r="HA2" s="35"/>
      <c r="HB2" s="35"/>
      <c r="HC2" s="35"/>
      <c r="HD2" s="35"/>
      <c r="HE2" s="35"/>
      <c r="HF2" s="35"/>
      <c r="HG2" s="35"/>
      <c r="HH2" s="35"/>
      <c r="HI2" s="35"/>
      <c r="HJ2" s="35"/>
      <c r="HK2" s="35"/>
      <c r="HL2" s="35"/>
      <c r="HM2" s="35"/>
      <c r="HN2" s="35"/>
      <c r="HO2" s="35"/>
      <c r="HP2" s="35"/>
      <c r="HQ2" s="35"/>
      <c r="HR2" s="35"/>
      <c r="HS2" s="35"/>
      <c r="HT2" s="35"/>
      <c r="HU2" s="35"/>
      <c r="HV2" s="35"/>
      <c r="HW2" s="35"/>
      <c r="HX2" s="35"/>
      <c r="HY2" s="35"/>
      <c r="HZ2" s="35"/>
      <c r="IA2" s="35"/>
      <c r="IB2" s="35"/>
      <c r="IC2" s="35"/>
      <c r="ID2" s="35"/>
      <c r="IE2" s="35"/>
      <c r="IF2" s="35"/>
      <c r="IG2" s="35"/>
      <c r="IH2" s="35"/>
      <c r="II2" s="35"/>
      <c r="IJ2" s="35"/>
      <c r="IK2" s="35"/>
      <c r="IL2" s="35"/>
      <c r="IM2" s="35"/>
      <c r="IN2" s="35"/>
      <c r="IO2" s="35"/>
      <c r="IP2" s="35"/>
      <c r="IQ2" s="35"/>
      <c r="IR2" s="35"/>
      <c r="IS2" s="35"/>
      <c r="IT2" s="35"/>
      <c r="IU2" s="35"/>
      <c r="IV2" s="35"/>
      <c r="IW2" s="35"/>
      <c r="IX2" s="35"/>
      <c r="IY2" s="35"/>
      <c r="IZ2" s="35"/>
      <c r="JA2" s="35"/>
      <c r="JB2" s="35"/>
      <c r="JC2" s="35"/>
      <c r="JD2" s="35"/>
      <c r="JE2" s="35"/>
      <c r="JF2" s="35"/>
      <c r="JG2" s="35"/>
      <c r="JH2" s="35"/>
      <c r="JI2" s="35"/>
      <c r="JJ2" s="35"/>
      <c r="JK2" s="35"/>
      <c r="JL2" s="35"/>
      <c r="JM2" s="35"/>
      <c r="JN2" s="35"/>
      <c r="JO2" s="35"/>
      <c r="JP2" s="35"/>
      <c r="JQ2" s="35"/>
      <c r="JR2" s="35"/>
      <c r="JS2" s="35"/>
      <c r="JT2" s="35"/>
      <c r="JU2" s="35"/>
      <c r="JV2" s="35"/>
      <c r="JW2" s="35"/>
      <c r="JX2" s="35"/>
      <c r="JY2" s="35"/>
      <c r="JZ2" s="35"/>
      <c r="KA2" s="35"/>
      <c r="KB2" s="35"/>
      <c r="KC2" s="35"/>
      <c r="KD2" s="35"/>
      <c r="KE2" s="35"/>
      <c r="KF2" s="35"/>
      <c r="KG2" s="35"/>
      <c r="KH2" s="35"/>
      <c r="KI2" s="35"/>
      <c r="KJ2" s="35"/>
      <c r="KK2" s="35"/>
      <c r="KL2" s="35"/>
      <c r="KM2" s="35"/>
      <c r="KN2" s="35"/>
      <c r="KO2" s="35"/>
      <c r="KP2" s="35"/>
      <c r="KQ2" s="35"/>
      <c r="KR2" s="35"/>
      <c r="KS2" s="35"/>
      <c r="KT2" s="35"/>
      <c r="KU2" s="35"/>
      <c r="KV2" s="35"/>
      <c r="KW2" s="35"/>
      <c r="KX2" s="35"/>
      <c r="KY2" s="35"/>
      <c r="KZ2" s="35"/>
      <c r="LA2" s="35"/>
      <c r="LB2" s="35"/>
      <c r="LC2" s="35"/>
      <c r="LD2" s="35"/>
      <c r="LE2" s="35"/>
      <c r="LF2" s="35"/>
      <c r="LG2" s="35"/>
      <c r="LH2" s="35"/>
      <c r="LI2" s="35"/>
      <c r="LJ2" s="35"/>
      <c r="LK2" s="35"/>
      <c r="LL2" s="35"/>
      <c r="LM2" s="35"/>
      <c r="LN2" s="35"/>
      <c r="LO2" s="35"/>
      <c r="LP2" s="35"/>
      <c r="LQ2" s="35"/>
      <c r="LR2" s="35"/>
      <c r="LS2" s="35"/>
      <c r="LT2" s="35"/>
      <c r="LU2" s="35"/>
      <c r="LV2" s="35"/>
      <c r="LW2" s="35"/>
      <c r="LX2" s="35"/>
      <c r="LY2" s="35"/>
      <c r="LZ2" s="35"/>
      <c r="MA2" s="35"/>
      <c r="MB2" s="35"/>
      <c r="MC2" s="35"/>
      <c r="MD2" s="35"/>
      <c r="ME2" s="35"/>
      <c r="MF2" s="35"/>
      <c r="MG2" s="35"/>
      <c r="MH2" s="35"/>
      <c r="MI2" s="35"/>
      <c r="MJ2" s="35"/>
      <c r="MK2" s="35"/>
      <c r="ML2" s="35"/>
      <c r="MM2" s="35"/>
      <c r="MN2" s="35"/>
      <c r="MO2" s="35"/>
      <c r="MP2" s="35"/>
      <c r="MQ2" s="35"/>
      <c r="MR2" s="35"/>
      <c r="MS2" s="35"/>
      <c r="MT2" s="35"/>
      <c r="MU2" s="35"/>
      <c r="MV2" s="35"/>
      <c r="MW2" s="35"/>
      <c r="MX2" s="35"/>
      <c r="MY2" s="35"/>
      <c r="MZ2" s="35"/>
      <c r="NA2" s="35"/>
      <c r="NB2" s="35"/>
      <c r="NC2" s="35"/>
      <c r="ND2" s="35"/>
      <c r="NE2" s="35"/>
      <c r="NF2" s="35"/>
      <c r="NG2" s="35"/>
      <c r="NH2" s="35"/>
      <c r="NI2" s="35"/>
      <c r="NJ2" s="35"/>
      <c r="NK2" s="35"/>
      <c r="NL2" s="35"/>
      <c r="NM2" s="35"/>
      <c r="NN2" s="35"/>
      <c r="NO2" s="35"/>
      <c r="NP2" s="35"/>
      <c r="NQ2" s="35"/>
      <c r="NR2" s="35"/>
      <c r="NS2" s="35"/>
      <c r="NT2" s="35"/>
      <c r="NU2" s="35"/>
      <c r="NV2" s="35"/>
      <c r="NW2" s="35"/>
      <c r="NX2" s="35"/>
      <c r="NY2" s="35"/>
      <c r="NZ2" s="35"/>
      <c r="OA2" s="35"/>
      <c r="OB2" s="35"/>
      <c r="OC2" s="35"/>
      <c r="OD2" s="35"/>
      <c r="OE2" s="35"/>
      <c r="OF2" s="35"/>
      <c r="OG2" s="35"/>
      <c r="OH2" s="35"/>
      <c r="OI2" s="35"/>
      <c r="OJ2" s="35"/>
      <c r="OK2" s="35"/>
      <c r="OL2" s="35"/>
      <c r="OM2" s="35"/>
      <c r="ON2" s="35"/>
      <c r="OO2" s="35"/>
      <c r="OP2" s="35"/>
      <c r="OQ2" s="35"/>
      <c r="OR2" s="35"/>
      <c r="OS2" s="35"/>
      <c r="OT2" s="35"/>
      <c r="OU2" s="35"/>
      <c r="OV2" s="35"/>
      <c r="OW2" s="35"/>
      <c r="OX2" s="35"/>
      <c r="OY2" s="35"/>
      <c r="OZ2" s="35"/>
      <c r="PA2" s="35"/>
      <c r="PB2" s="35"/>
      <c r="PC2" s="35"/>
      <c r="PD2" s="35"/>
      <c r="PE2" s="35"/>
      <c r="PF2" s="35"/>
      <c r="PG2" s="35"/>
      <c r="PH2" s="35"/>
      <c r="PI2" s="35"/>
      <c r="PJ2" s="35"/>
      <c r="PK2" s="35"/>
      <c r="PL2" s="35"/>
      <c r="PM2" s="35"/>
      <c r="PN2" s="35"/>
      <c r="PO2" s="35"/>
      <c r="PP2" s="35"/>
      <c r="PQ2" s="35"/>
      <c r="PR2" s="35"/>
      <c r="PS2" s="35"/>
      <c r="PT2" s="35"/>
      <c r="PU2" s="35"/>
      <c r="PV2" s="35"/>
      <c r="PW2" s="35"/>
      <c r="PX2" s="35"/>
      <c r="PY2" s="35"/>
      <c r="PZ2" s="35"/>
      <c r="QA2" s="35"/>
      <c r="QB2" s="35"/>
      <c r="QC2" s="35"/>
      <c r="QD2" s="35"/>
      <c r="QE2" s="35"/>
      <c r="QF2" s="35"/>
      <c r="QG2" s="35"/>
      <c r="QH2" s="35"/>
      <c r="QI2" s="35"/>
      <c r="QJ2" s="35"/>
      <c r="QK2" s="35"/>
      <c r="QL2" s="35"/>
      <c r="QM2" s="35"/>
      <c r="QN2" s="35"/>
      <c r="QO2" s="35"/>
      <c r="QP2" s="35"/>
      <c r="QQ2" s="35"/>
      <c r="QR2" s="35"/>
      <c r="QS2" s="35"/>
      <c r="QT2" s="35"/>
      <c r="QU2" s="35"/>
      <c r="QV2" s="35"/>
      <c r="QW2" s="35"/>
      <c r="QX2" s="35"/>
      <c r="QY2" s="35"/>
      <c r="QZ2" s="35"/>
      <c r="RA2" s="35"/>
      <c r="RB2" s="35"/>
      <c r="RC2" s="35"/>
      <c r="RD2" s="35"/>
      <c r="RE2" s="35"/>
      <c r="RF2" s="35"/>
      <c r="RG2" s="35"/>
      <c r="RH2" s="35"/>
      <c r="RI2" s="35"/>
      <c r="RJ2" s="35"/>
      <c r="RK2" s="35"/>
      <c r="RL2" s="35"/>
      <c r="RM2" s="35"/>
      <c r="RN2" s="35"/>
      <c r="RO2" s="35"/>
      <c r="RP2" s="35"/>
      <c r="RQ2" s="35"/>
      <c r="RR2" s="35"/>
      <c r="RS2" s="35"/>
      <c r="RT2" s="35"/>
      <c r="RU2" s="35"/>
      <c r="RV2" s="35"/>
      <c r="RW2" s="35"/>
      <c r="RX2" s="35"/>
      <c r="RY2" s="35"/>
      <c r="RZ2" s="35"/>
      <c r="SA2" s="35"/>
      <c r="SB2" s="35"/>
      <c r="SC2" s="35"/>
      <c r="SD2" s="35"/>
      <c r="SE2" s="35"/>
      <c r="SF2" s="35"/>
      <c r="SG2" s="35"/>
      <c r="SH2" s="35"/>
      <c r="SI2" s="35"/>
      <c r="SJ2" s="35"/>
      <c r="SK2" s="35"/>
      <c r="SL2" s="35"/>
      <c r="SM2" s="35"/>
      <c r="SN2" s="35"/>
      <c r="SO2" s="35"/>
      <c r="SP2" s="35"/>
      <c r="SQ2" s="35"/>
      <c r="SR2" s="35"/>
      <c r="SS2" s="35"/>
      <c r="ST2" s="35"/>
      <c r="SU2" s="35"/>
      <c r="SV2" s="35"/>
      <c r="SW2" s="35"/>
      <c r="SX2" s="35"/>
      <c r="SY2" s="35"/>
      <c r="SZ2" s="35"/>
      <c r="TA2" s="35"/>
      <c r="TB2" s="35"/>
      <c r="TC2" s="35"/>
      <c r="TD2" s="35"/>
      <c r="TE2" s="35"/>
      <c r="TF2" s="35"/>
      <c r="TG2" s="35"/>
      <c r="TH2" s="35"/>
      <c r="TI2" s="35"/>
      <c r="TJ2" s="35"/>
      <c r="TK2" s="35"/>
      <c r="TL2" s="35"/>
      <c r="TM2" s="35"/>
      <c r="TN2" s="35"/>
      <c r="TO2" s="35"/>
      <c r="TP2" s="35"/>
      <c r="TQ2" s="35"/>
      <c r="TR2" s="35"/>
      <c r="TS2" s="35"/>
      <c r="TT2" s="35"/>
      <c r="TU2" s="35"/>
      <c r="TV2" s="35"/>
      <c r="TW2" s="35"/>
      <c r="TX2" s="35"/>
      <c r="TY2" s="35"/>
      <c r="TZ2" s="35"/>
      <c r="UA2" s="35"/>
      <c r="UB2" s="35"/>
      <c r="UC2" s="35"/>
      <c r="UD2" s="35"/>
      <c r="UE2" s="35"/>
      <c r="UF2" s="35"/>
      <c r="UG2" s="35"/>
      <c r="UH2" s="35"/>
      <c r="UI2" s="35"/>
      <c r="UJ2" s="35"/>
      <c r="UK2" s="35"/>
      <c r="UL2" s="35"/>
      <c r="UM2" s="35"/>
      <c r="UN2" s="35"/>
      <c r="UO2" s="35"/>
      <c r="UP2" s="35"/>
      <c r="UQ2" s="35"/>
      <c r="UR2" s="35"/>
      <c r="US2" s="35"/>
      <c r="UT2" s="35"/>
      <c r="UU2" s="35"/>
      <c r="UV2" s="35"/>
      <c r="UW2" s="35"/>
      <c r="UX2" s="35"/>
      <c r="UY2" s="35"/>
      <c r="UZ2" s="35"/>
      <c r="VA2" s="35"/>
      <c r="VB2" s="35"/>
      <c r="VC2" s="35"/>
      <c r="VD2" s="35"/>
      <c r="VE2" s="35"/>
      <c r="VF2" s="35"/>
      <c r="VG2" s="35"/>
      <c r="VH2" s="35"/>
      <c r="VI2" s="35"/>
      <c r="VJ2" s="35"/>
      <c r="VK2" s="35"/>
      <c r="VL2" s="35"/>
      <c r="VM2" s="35"/>
      <c r="VN2" s="35"/>
      <c r="VO2" s="35"/>
      <c r="VP2" s="35"/>
      <c r="VQ2" s="35"/>
      <c r="VR2" s="35"/>
      <c r="VS2" s="35"/>
      <c r="VT2" s="35"/>
      <c r="VU2" s="35"/>
      <c r="VV2" s="35"/>
      <c r="VW2" s="35"/>
      <c r="VX2" s="35"/>
      <c r="VY2" s="35"/>
      <c r="VZ2" s="35"/>
      <c r="WA2" s="35"/>
      <c r="WB2" s="35"/>
      <c r="WC2" s="35"/>
      <c r="WD2" s="35"/>
      <c r="WE2" s="35"/>
      <c r="WF2" s="35"/>
      <c r="WG2" s="35"/>
      <c r="WH2" s="35"/>
      <c r="WI2" s="35"/>
      <c r="WJ2" s="35"/>
      <c r="WK2" s="35"/>
      <c r="WL2" s="35"/>
      <c r="WM2" s="35"/>
      <c r="WN2" s="35"/>
      <c r="WO2" s="35"/>
      <c r="WP2" s="35"/>
      <c r="WQ2" s="35"/>
      <c r="WR2" s="35"/>
      <c r="WS2" s="35"/>
      <c r="WT2" s="35"/>
      <c r="WU2" s="35"/>
      <c r="WV2" s="35"/>
      <c r="WW2" s="35"/>
      <c r="WX2" s="35"/>
      <c r="WY2" s="35"/>
      <c r="WZ2" s="35"/>
      <c r="XA2" s="35"/>
      <c r="XB2" s="35"/>
      <c r="XC2" s="35"/>
      <c r="XD2" s="35"/>
      <c r="XE2" s="35"/>
      <c r="XF2" s="35"/>
      <c r="XG2" s="35"/>
      <c r="XH2" s="35"/>
      <c r="XI2" s="35"/>
      <c r="XJ2" s="35"/>
      <c r="XK2" s="35"/>
      <c r="XL2" s="35"/>
      <c r="XM2" s="35"/>
      <c r="XN2" s="35"/>
      <c r="XO2" s="35"/>
      <c r="XP2" s="35"/>
      <c r="XQ2" s="35"/>
      <c r="XR2" s="35"/>
      <c r="XS2" s="35"/>
      <c r="XT2" s="35"/>
      <c r="XU2" s="35"/>
      <c r="XV2" s="35"/>
      <c r="XW2" s="35"/>
      <c r="XX2" s="35"/>
      <c r="XY2" s="35"/>
      <c r="XZ2" s="35"/>
      <c r="YA2" s="35"/>
      <c r="YB2" s="35"/>
      <c r="YC2" s="35"/>
      <c r="YD2" s="35"/>
      <c r="YE2" s="35"/>
      <c r="YF2" s="35"/>
      <c r="YG2" s="35"/>
      <c r="YH2" s="35"/>
      <c r="YI2" s="35"/>
      <c r="YJ2" s="35"/>
      <c r="YK2" s="35"/>
      <c r="YL2" s="35"/>
      <c r="YM2" s="35"/>
      <c r="YN2" s="35"/>
      <c r="YO2" s="35"/>
      <c r="YP2" s="35"/>
      <c r="YQ2" s="35"/>
      <c r="YR2" s="35"/>
      <c r="YS2" s="35"/>
      <c r="YT2" s="35"/>
      <c r="YU2" s="35"/>
      <c r="YV2" s="35"/>
      <c r="YW2" s="35"/>
      <c r="YX2" s="35"/>
      <c r="YY2" s="35"/>
      <c r="YZ2" s="35"/>
      <c r="ZA2" s="35"/>
      <c r="ZB2" s="35"/>
      <c r="ZC2" s="35"/>
      <c r="ZD2" s="35"/>
      <c r="ZE2" s="35"/>
      <c r="ZF2" s="35"/>
      <c r="ZG2" s="35"/>
      <c r="ZH2" s="35"/>
      <c r="ZI2" s="35"/>
      <c r="ZJ2" s="35"/>
      <c r="ZK2" s="35"/>
      <c r="ZL2" s="35"/>
      <c r="ZM2" s="35"/>
      <c r="ZN2" s="35"/>
      <c r="ZO2" s="35"/>
      <c r="ZP2" s="35"/>
      <c r="ZQ2" s="35"/>
      <c r="ZR2" s="35"/>
      <c r="ZS2" s="35"/>
      <c r="ZT2" s="35"/>
      <c r="ZU2" s="35"/>
      <c r="ZV2" s="35"/>
      <c r="ZW2" s="35"/>
      <c r="ZX2" s="35"/>
      <c r="ZY2" s="35"/>
      <c r="ZZ2" s="35"/>
      <c r="AAA2" s="35"/>
      <c r="AAB2" s="35"/>
      <c r="AAC2" s="35"/>
      <c r="AAD2" s="35"/>
      <c r="AAE2" s="35"/>
      <c r="AAF2" s="35"/>
      <c r="AAG2" s="35"/>
      <c r="AAH2" s="35"/>
      <c r="AAI2" s="35"/>
      <c r="AAJ2" s="35"/>
      <c r="AAK2" s="35"/>
      <c r="AAL2" s="35"/>
      <c r="AAM2" s="35"/>
      <c r="AAN2" s="35"/>
      <c r="AAO2" s="35"/>
      <c r="AAP2" s="35"/>
      <c r="AAQ2" s="35"/>
      <c r="AAR2" s="35"/>
      <c r="AAS2" s="35"/>
      <c r="AAT2" s="35"/>
      <c r="AAU2" s="35"/>
      <c r="AAV2" s="35"/>
      <c r="AAW2" s="35"/>
      <c r="AAX2" s="35"/>
      <c r="AAY2" s="35"/>
      <c r="AAZ2" s="35"/>
      <c r="ABA2" s="35"/>
      <c r="ABB2" s="35"/>
      <c r="ABC2" s="35"/>
      <c r="ABD2" s="35"/>
      <c r="ABE2" s="35"/>
      <c r="ABF2" s="35"/>
      <c r="ABG2" s="35"/>
      <c r="ABH2" s="35"/>
      <c r="ABI2" s="35"/>
      <c r="ABJ2" s="35"/>
      <c r="ABK2" s="35"/>
      <c r="ABL2" s="35"/>
      <c r="ABM2" s="35"/>
      <c r="ABN2" s="35"/>
      <c r="ABO2" s="35"/>
      <c r="ABP2" s="35"/>
      <c r="ABQ2" s="35"/>
      <c r="ABR2" s="35"/>
      <c r="ABS2" s="35"/>
      <c r="ABT2" s="35"/>
      <c r="ABU2" s="35"/>
      <c r="ABV2" s="35"/>
      <c r="ABW2" s="35"/>
      <c r="ABX2" s="35"/>
      <c r="ABY2" s="35"/>
      <c r="ABZ2" s="35"/>
      <c r="ACA2" s="35"/>
      <c r="ACB2" s="35"/>
      <c r="ACC2" s="35"/>
      <c r="ACD2" s="35"/>
      <c r="ACE2" s="35"/>
      <c r="ACF2" s="35"/>
      <c r="ACG2" s="35"/>
      <c r="ACH2" s="35"/>
      <c r="ACI2" s="35"/>
      <c r="ACJ2" s="35"/>
      <c r="ACK2" s="35"/>
      <c r="ACL2" s="35"/>
      <c r="ACM2" s="35"/>
      <c r="ACN2" s="35"/>
      <c r="ACO2" s="35"/>
      <c r="ACP2" s="35"/>
      <c r="ACQ2" s="35"/>
      <c r="ACR2" s="35"/>
      <c r="ACS2" s="35"/>
      <c r="ACT2" s="35"/>
      <c r="ACU2" s="35"/>
      <c r="ACV2" s="35"/>
      <c r="ACW2" s="35"/>
      <c r="ACX2" s="35"/>
      <c r="ACY2" s="35"/>
      <c r="ACZ2" s="35"/>
      <c r="ADA2" s="35"/>
      <c r="ADB2" s="35"/>
      <c r="ADC2" s="35"/>
      <c r="ADD2" s="35"/>
      <c r="ADE2" s="35"/>
      <c r="ADF2" s="35"/>
      <c r="ADG2" s="35"/>
      <c r="ADH2" s="35"/>
      <c r="ADI2" s="35"/>
      <c r="ADJ2" s="35"/>
      <c r="ADK2" s="35"/>
      <c r="ADL2" s="35"/>
      <c r="ADM2" s="35"/>
      <c r="ADN2" s="35"/>
      <c r="ADO2" s="35"/>
      <c r="ADP2" s="35"/>
      <c r="ADQ2" s="35"/>
      <c r="ADR2" s="35"/>
      <c r="ADS2" s="35"/>
      <c r="ADT2" s="35"/>
      <c r="ADU2" s="35"/>
      <c r="ADV2" s="35"/>
      <c r="ADW2" s="35"/>
      <c r="ADX2" s="35"/>
      <c r="ADY2" s="35"/>
      <c r="ADZ2" s="35"/>
      <c r="AEA2" s="35"/>
      <c r="AEB2" s="35"/>
      <c r="AEC2" s="35"/>
      <c r="AED2" s="35"/>
      <c r="AEE2" s="35"/>
      <c r="AEF2" s="35"/>
      <c r="AEG2" s="35"/>
      <c r="AEH2" s="35"/>
      <c r="AEI2" s="35"/>
      <c r="AEJ2" s="35"/>
      <c r="AEK2" s="35"/>
      <c r="AEL2" s="35"/>
      <c r="AEM2" s="35"/>
      <c r="AEN2" s="35"/>
      <c r="AEO2" s="35"/>
      <c r="AEP2" s="35"/>
      <c r="AEQ2" s="35"/>
      <c r="AER2" s="35"/>
      <c r="AES2" s="35"/>
      <c r="AET2" s="35"/>
      <c r="AEU2" s="35"/>
      <c r="AEV2" s="35"/>
      <c r="AEW2" s="35"/>
      <c r="AEX2" s="35"/>
      <c r="AEY2" s="35"/>
      <c r="AEZ2" s="35"/>
      <c r="AFA2" s="35"/>
      <c r="AFB2" s="35"/>
      <c r="AFC2" s="35"/>
      <c r="AFD2" s="35"/>
      <c r="AFE2" s="35"/>
      <c r="AFF2" s="35"/>
      <c r="AFG2" s="35"/>
      <c r="AFH2" s="35"/>
      <c r="AFI2" s="35"/>
      <c r="AFJ2" s="35"/>
      <c r="AFK2" s="35"/>
      <c r="AFL2" s="35"/>
      <c r="AFM2" s="35"/>
      <c r="AFN2" s="35"/>
      <c r="AFO2" s="35"/>
      <c r="AFP2" s="35"/>
      <c r="AFQ2" s="35"/>
      <c r="AFR2" s="35"/>
      <c r="AFS2" s="35"/>
      <c r="AFT2" s="35"/>
      <c r="AFU2" s="35"/>
      <c r="AFV2" s="35"/>
      <c r="AFW2" s="35"/>
      <c r="AFX2" s="35"/>
      <c r="AFY2" s="35"/>
      <c r="AFZ2" s="35"/>
      <c r="AGA2" s="35"/>
      <c r="AGB2" s="35"/>
      <c r="AGC2" s="35"/>
      <c r="AGD2" s="35"/>
      <c r="AGE2" s="35"/>
      <c r="AGF2" s="35"/>
      <c r="AGG2" s="35"/>
      <c r="AGH2" s="35"/>
      <c r="AGI2" s="35"/>
      <c r="AGJ2" s="35"/>
      <c r="AGK2" s="35"/>
      <c r="AGL2" s="35"/>
      <c r="AGM2" s="35"/>
      <c r="AGN2" s="35"/>
      <c r="AGO2" s="35"/>
      <c r="AGP2" s="35"/>
      <c r="AGQ2" s="35"/>
      <c r="AGR2" s="35"/>
      <c r="AGS2" s="35"/>
      <c r="AGT2" s="35"/>
      <c r="AGU2" s="35"/>
      <c r="AGV2" s="35"/>
      <c r="AGW2" s="35"/>
      <c r="AGX2" s="35"/>
      <c r="AGY2" s="35"/>
      <c r="AGZ2" s="35"/>
      <c r="AHA2" s="35"/>
      <c r="AHB2" s="35"/>
      <c r="AHC2" s="35"/>
      <c r="AHD2" s="35"/>
      <c r="AHE2" s="35"/>
      <c r="AHF2" s="35"/>
      <c r="AHG2" s="35"/>
      <c r="AHH2" s="35"/>
      <c r="AHI2" s="35"/>
      <c r="AHJ2" s="35"/>
      <c r="AHK2" s="35"/>
      <c r="AHL2" s="35"/>
      <c r="AHM2" s="35"/>
      <c r="AHN2" s="35"/>
      <c r="AHO2" s="35"/>
      <c r="AHP2" s="35"/>
      <c r="AHQ2" s="35"/>
      <c r="AHR2" s="35"/>
      <c r="AHS2" s="35"/>
      <c r="AHT2" s="35"/>
      <c r="AHU2" s="35"/>
      <c r="AHV2" s="35"/>
      <c r="AHW2" s="35"/>
      <c r="AHX2" s="35"/>
      <c r="AHY2" s="35"/>
      <c r="AHZ2" s="35"/>
      <c r="AIA2" s="35"/>
      <c r="AIB2" s="35"/>
      <c r="AIC2" s="35"/>
      <c r="AID2" s="35"/>
      <c r="AIE2" s="35"/>
      <c r="AIF2" s="35"/>
      <c r="AIG2" s="35"/>
      <c r="AIH2" s="35"/>
      <c r="AII2" s="35"/>
      <c r="AIJ2" s="35"/>
      <c r="AIK2" s="35"/>
      <c r="AIL2" s="35"/>
      <c r="AIM2" s="35"/>
      <c r="AIN2" s="35"/>
      <c r="AIO2" s="35"/>
      <c r="AIP2" s="35"/>
      <c r="AIQ2" s="35"/>
      <c r="AIR2" s="35"/>
      <c r="AIS2" s="35"/>
      <c r="AIT2" s="35"/>
      <c r="AIU2" s="35"/>
      <c r="AIV2" s="35"/>
      <c r="AIW2" s="35"/>
      <c r="AIX2" s="35"/>
      <c r="AIY2" s="35"/>
      <c r="AIZ2" s="35"/>
      <c r="AJA2" s="35"/>
      <c r="AJB2" s="35"/>
      <c r="AJC2" s="35"/>
      <c r="AJD2" s="35"/>
      <c r="AJE2" s="35"/>
      <c r="AJF2" s="35"/>
      <c r="AJG2" s="35"/>
      <c r="AJH2" s="35"/>
      <c r="AJI2" s="35"/>
      <c r="AJJ2" s="35"/>
      <c r="AJK2" s="35"/>
      <c r="AJL2" s="35"/>
      <c r="AJM2" s="35"/>
      <c r="AJN2" s="35"/>
      <c r="AJO2" s="35"/>
      <c r="AJP2" s="35"/>
      <c r="AJQ2" s="35"/>
      <c r="AJR2" s="35"/>
      <c r="AJS2" s="35"/>
      <c r="AJT2" s="35"/>
      <c r="AJU2" s="35"/>
      <c r="AJV2" s="35"/>
      <c r="AJW2" s="35"/>
      <c r="AJX2" s="35"/>
      <c r="AJY2" s="35"/>
      <c r="AJZ2" s="35"/>
      <c r="AKA2" s="35"/>
      <c r="AKB2" s="35"/>
      <c r="AKC2" s="35"/>
      <c r="AKD2" s="35"/>
      <c r="AKE2" s="35"/>
      <c r="AKF2" s="35"/>
      <c r="AKG2" s="35"/>
      <c r="AKH2" s="35"/>
      <c r="AKI2" s="35"/>
      <c r="AKJ2" s="35"/>
      <c r="AKK2" s="35"/>
      <c r="AKL2" s="35"/>
      <c r="AKM2" s="35"/>
      <c r="AKN2" s="35"/>
      <c r="AKO2" s="35"/>
      <c r="AKP2" s="35"/>
      <c r="AKQ2" s="35"/>
      <c r="AKR2" s="35"/>
      <c r="AKS2" s="35"/>
      <c r="AKT2" s="35"/>
      <c r="AKU2" s="35"/>
      <c r="AKV2" s="35"/>
      <c r="AKW2" s="35"/>
      <c r="AKX2" s="35"/>
      <c r="AKY2" s="35"/>
      <c r="AKZ2" s="35"/>
      <c r="ALA2" s="35"/>
      <c r="ALB2" s="35"/>
      <c r="ALC2" s="35"/>
      <c r="ALD2" s="35"/>
      <c r="ALE2" s="35"/>
      <c r="ALF2" s="35"/>
      <c r="ALG2" s="35"/>
      <c r="ALH2" s="35"/>
      <c r="ALI2" s="35"/>
      <c r="ALJ2" s="35"/>
      <c r="ALK2" s="35"/>
      <c r="ALL2" s="35"/>
      <c r="ALM2" s="35"/>
      <c r="ALN2" s="35"/>
      <c r="ALO2" s="35"/>
      <c r="ALP2" s="35"/>
      <c r="ALQ2" s="35"/>
      <c r="ALR2" s="35"/>
      <c r="ALS2" s="35"/>
      <c r="ALT2" s="35"/>
      <c r="ALU2" s="35"/>
      <c r="ALV2" s="35"/>
      <c r="ALW2" s="35"/>
      <c r="ALX2" s="35"/>
      <c r="ALY2" s="35"/>
      <c r="ALZ2" s="1"/>
      <c r="AMA2" s="1"/>
      <c r="AMB2" s="1"/>
      <c r="AMC2" s="1"/>
      <c r="AMD2" s="1"/>
      <c r="AME2" s="1"/>
      <c r="AMF2" s="1"/>
      <c r="AMG2" s="1"/>
      <c r="AMH2" s="1"/>
      <c r="AMI2" s="1"/>
      <c r="AMJ2" s="1"/>
    </row>
    <row r="3" customFormat="false" ht="12.8" hidden="false" customHeight="false" outlineLevel="0" collapsed="false">
      <c r="A3" s="43" t="s">
        <v>414</v>
      </c>
      <c r="B3" s="45" t="s">
        <v>439</v>
      </c>
      <c r="C3" s="45" t="s">
        <v>868</v>
      </c>
      <c r="D3" s="45" t="s">
        <v>837</v>
      </c>
      <c r="E3" s="48" t="s">
        <v>440</v>
      </c>
      <c r="F3" s="48" t="s">
        <v>601</v>
      </c>
      <c r="G3" s="49" t="s">
        <v>706</v>
      </c>
      <c r="H3" s="49" t="s">
        <v>839</v>
      </c>
      <c r="I3" s="49" t="s">
        <v>869</v>
      </c>
      <c r="J3" s="123" t="s">
        <v>870</v>
      </c>
      <c r="K3" s="128" t="s">
        <v>871</v>
      </c>
      <c r="L3" s="123" t="s">
        <v>561</v>
      </c>
      <c r="M3" s="43" t="s">
        <v>442</v>
      </c>
      <c r="N3" s="43" t="s">
        <v>443</v>
      </c>
      <c r="O3" s="48" t="s">
        <v>454</v>
      </c>
    </row>
    <row r="4" customFormat="false" ht="9.7" hidden="false" customHeight="true" outlineLevel="0" collapsed="false">
      <c r="A4" s="39" t="str">
        <f aca="false">A3</f>
        <v>A</v>
      </c>
      <c r="B4" s="51" t="str">
        <f aca="false">B3</f>
        <v>Status</v>
      </c>
      <c r="C4" s="51" t="str">
        <f aca="false">C3</f>
        <v>Asset Type</v>
      </c>
      <c r="D4" s="51" t="str">
        <f aca="false">D3</f>
        <v>Alias</v>
      </c>
      <c r="E4" s="52" t="str">
        <f aca="false">E3</f>
        <v>Name</v>
      </c>
      <c r="F4" s="52" t="str">
        <f aca="false">F3</f>
        <v>Overview</v>
      </c>
      <c r="G4" s="51" t="str">
        <f aca="false">G3</f>
        <v>Link</v>
      </c>
      <c r="H4" s="51" t="str">
        <f aca="false">H3</f>
        <v>Category</v>
      </c>
      <c r="I4" s="51" t="str">
        <f aca="false">G3</f>
        <v>Link</v>
      </c>
      <c r="J4" s="39" t="str">
        <f aca="false">J3</f>
        <v>Output</v>
      </c>
      <c r="K4" s="129" t="str">
        <f aca="false">K3</f>
        <v>Cost</v>
      </c>
      <c r="L4" s="39" t="s">
        <v>561</v>
      </c>
      <c r="M4" s="39" t="str">
        <f aca="false">L3</f>
        <v>Reference</v>
      </c>
      <c r="N4" s="39" t="str">
        <f aca="false">N3</f>
        <v>Tasks</v>
      </c>
      <c r="O4" s="52" t="str">
        <f aca="false">O3</f>
        <v>Z</v>
      </c>
    </row>
    <row r="5" customFormat="false" ht="12.8" hidden="false" customHeight="false" outlineLevel="0" collapsed="false">
      <c r="A5" s="54"/>
      <c r="B5" s="60"/>
      <c r="C5" s="62" t="s">
        <v>872</v>
      </c>
      <c r="D5" s="62" t="str">
        <f aca="false">E5</f>
        <v>Excel</v>
      </c>
      <c r="E5" s="64" t="s">
        <v>873</v>
      </c>
      <c r="F5" s="64" t="s">
        <v>874</v>
      </c>
      <c r="G5" s="70" t="s">
        <v>875</v>
      </c>
      <c r="H5" s="40" t="s">
        <v>876</v>
      </c>
      <c r="I5" s="70" t="s">
        <v>877</v>
      </c>
      <c r="J5" s="63" t="s">
        <v>878</v>
      </c>
      <c r="K5" s="130"/>
      <c r="L5" s="63"/>
      <c r="M5" s="54"/>
      <c r="N5" s="54"/>
      <c r="O5" s="64" t="s">
        <v>364</v>
      </c>
    </row>
    <row r="6" customFormat="false" ht="12.8" hidden="false" customHeight="false" outlineLevel="0" collapsed="false">
      <c r="A6" s="54"/>
      <c r="B6" s="60"/>
      <c r="C6" s="62" t="s">
        <v>872</v>
      </c>
      <c r="D6" s="62" t="str">
        <f aca="false">E6</f>
        <v>Word</v>
      </c>
      <c r="E6" s="64" t="s">
        <v>879</v>
      </c>
      <c r="F6" s="64" t="s">
        <v>880</v>
      </c>
      <c r="G6" s="70" t="s">
        <v>875</v>
      </c>
      <c r="H6" s="40" t="s">
        <v>876</v>
      </c>
      <c r="I6" s="70" t="s">
        <v>877</v>
      </c>
      <c r="J6" s="63" t="s">
        <v>881</v>
      </c>
      <c r="K6" s="130"/>
      <c r="L6" s="63"/>
      <c r="M6" s="54"/>
      <c r="N6" s="54"/>
      <c r="O6" s="64" t="s">
        <v>364</v>
      </c>
    </row>
    <row r="7" customFormat="false" ht="12.8" hidden="false" customHeight="false" outlineLevel="0" collapsed="false">
      <c r="A7" s="54"/>
      <c r="B7" s="60"/>
      <c r="C7" s="62" t="s">
        <v>872</v>
      </c>
      <c r="D7" s="62" t="str">
        <f aca="false">E7</f>
        <v>PowerPoint</v>
      </c>
      <c r="E7" s="64" t="s">
        <v>882</v>
      </c>
      <c r="F7" s="64" t="s">
        <v>883</v>
      </c>
      <c r="G7" s="70" t="s">
        <v>875</v>
      </c>
      <c r="H7" s="40" t="s">
        <v>876</v>
      </c>
      <c r="I7" s="70" t="s">
        <v>877</v>
      </c>
      <c r="J7" s="63" t="s">
        <v>884</v>
      </c>
      <c r="K7" s="130"/>
      <c r="L7" s="63"/>
      <c r="M7" s="54"/>
      <c r="N7" s="54"/>
      <c r="O7" s="64" t="s">
        <v>364</v>
      </c>
    </row>
    <row r="8" customFormat="false" ht="12.8" hidden="false" customHeight="false" outlineLevel="0" collapsed="false">
      <c r="A8" s="54"/>
      <c r="B8" s="60"/>
      <c r="C8" s="62" t="s">
        <v>872</v>
      </c>
      <c r="D8" s="62" t="str">
        <f aca="false">E8</f>
        <v>OneNote</v>
      </c>
      <c r="E8" s="64" t="s">
        <v>885</v>
      </c>
      <c r="F8" s="64" t="s">
        <v>886</v>
      </c>
      <c r="G8" s="70" t="s">
        <v>875</v>
      </c>
      <c r="H8" s="40" t="s">
        <v>876</v>
      </c>
      <c r="I8" s="70" t="s">
        <v>877</v>
      </c>
      <c r="J8" s="63" t="s">
        <v>887</v>
      </c>
      <c r="K8" s="130"/>
      <c r="L8" s="63"/>
      <c r="M8" s="54"/>
      <c r="N8" s="54"/>
      <c r="O8" s="64" t="s">
        <v>364</v>
      </c>
    </row>
    <row r="9" customFormat="false" ht="12.8" hidden="false" customHeight="false" outlineLevel="0" collapsed="false">
      <c r="A9" s="54"/>
      <c r="B9" s="60"/>
      <c r="C9" s="62" t="s">
        <v>872</v>
      </c>
      <c r="D9" s="62" t="str">
        <f aca="false">E9</f>
        <v>Teams</v>
      </c>
      <c r="E9" s="64" t="s">
        <v>888</v>
      </c>
      <c r="F9" s="64" t="s">
        <v>889</v>
      </c>
      <c r="G9" s="70" t="s">
        <v>875</v>
      </c>
      <c r="H9" s="40" t="s">
        <v>876</v>
      </c>
      <c r="I9" s="70" t="s">
        <v>877</v>
      </c>
      <c r="J9" s="63" t="s">
        <v>890</v>
      </c>
      <c r="K9" s="130"/>
      <c r="L9" s="63"/>
      <c r="M9" s="54"/>
      <c r="N9" s="54"/>
      <c r="O9" s="64" t="s">
        <v>364</v>
      </c>
    </row>
    <row r="10" customFormat="false" ht="12.8" hidden="false" customHeight="false" outlineLevel="0" collapsed="false">
      <c r="A10" s="54"/>
      <c r="B10" s="60"/>
      <c r="C10" s="62" t="s">
        <v>872</v>
      </c>
      <c r="D10" s="62" t="str">
        <f aca="false">E10</f>
        <v>Laptop</v>
      </c>
      <c r="E10" s="64" t="s">
        <v>891</v>
      </c>
      <c r="F10" s="64" t="s">
        <v>892</v>
      </c>
      <c r="G10" s="70"/>
      <c r="H10" s="40" t="s">
        <v>893</v>
      </c>
      <c r="I10" s="70" t="s">
        <v>877</v>
      </c>
      <c r="J10" s="63" t="s">
        <v>894</v>
      </c>
      <c r="K10" s="130"/>
      <c r="L10" s="63"/>
      <c r="M10" s="54"/>
      <c r="N10" s="54"/>
      <c r="O10" s="64" t="s">
        <v>364</v>
      </c>
    </row>
    <row r="11" customFormat="false" ht="12.8" hidden="false" customHeight="false" outlineLevel="0" collapsed="false">
      <c r="A11" s="54"/>
      <c r="B11" s="60"/>
      <c r="C11" s="62" t="s">
        <v>853</v>
      </c>
      <c r="D11" s="62" t="s">
        <v>895</v>
      </c>
      <c r="E11" s="64" t="s">
        <v>875</v>
      </c>
      <c r="F11" s="64" t="s">
        <v>896</v>
      </c>
      <c r="G11" s="70"/>
      <c r="H11" s="40" t="s">
        <v>876</v>
      </c>
      <c r="I11" s="70" t="s">
        <v>877</v>
      </c>
      <c r="J11" s="63"/>
      <c r="K11" s="130"/>
      <c r="L11" s="63"/>
      <c r="M11" s="54"/>
      <c r="N11" s="54"/>
      <c r="O11" s="64" t="s">
        <v>364</v>
      </c>
    </row>
    <row r="12" customFormat="false" ht="12.8" hidden="false" customHeight="false" outlineLevel="0" collapsed="false">
      <c r="A12" s="54"/>
      <c r="B12" s="60"/>
      <c r="C12" s="62"/>
      <c r="D12" s="62"/>
      <c r="E12" s="64"/>
      <c r="F12" s="64"/>
      <c r="G12" s="70"/>
      <c r="H12" s="40"/>
      <c r="I12" s="70"/>
      <c r="J12" s="63"/>
      <c r="K12" s="130"/>
      <c r="L12" s="63"/>
      <c r="M12" s="54"/>
      <c r="N12" s="54"/>
      <c r="O12" s="64" t="s">
        <v>364</v>
      </c>
    </row>
    <row r="13" customFormat="false" ht="12.8" hidden="false" customHeight="false" outlineLevel="0" collapsed="false">
      <c r="A13" s="54"/>
      <c r="B13" s="60"/>
      <c r="C13" s="62"/>
      <c r="D13" s="62"/>
      <c r="E13" s="64"/>
      <c r="F13" s="64"/>
      <c r="G13" s="70"/>
      <c r="H13" s="40"/>
      <c r="I13" s="70"/>
      <c r="J13" s="63"/>
      <c r="K13" s="130"/>
      <c r="L13" s="63"/>
      <c r="M13" s="54"/>
      <c r="N13" s="54"/>
      <c r="O13" s="64" t="s">
        <v>364</v>
      </c>
    </row>
    <row r="14" customFormat="false" ht="12.8" hidden="false" customHeight="false" outlineLevel="0" collapsed="false">
      <c r="A14" s="54"/>
      <c r="B14" s="60"/>
      <c r="C14" s="62"/>
      <c r="D14" s="62"/>
      <c r="E14" s="64"/>
      <c r="F14" s="64"/>
      <c r="G14" s="70"/>
      <c r="H14" s="40"/>
      <c r="I14" s="70"/>
      <c r="J14" s="63"/>
      <c r="K14" s="130"/>
      <c r="L14" s="63"/>
      <c r="M14" s="54"/>
      <c r="N14" s="54"/>
      <c r="O14" s="64" t="s">
        <v>364</v>
      </c>
    </row>
    <row r="15" customFormat="false" ht="12.8" hidden="false" customHeight="false" outlineLevel="0" collapsed="false">
      <c r="A15" s="54"/>
      <c r="B15" s="60"/>
      <c r="C15" s="62"/>
      <c r="D15" s="62"/>
      <c r="E15" s="64"/>
      <c r="F15" s="64"/>
      <c r="G15" s="70"/>
      <c r="H15" s="40"/>
      <c r="I15" s="70"/>
      <c r="J15" s="63"/>
      <c r="K15" s="130"/>
      <c r="L15" s="63"/>
      <c r="M15" s="54"/>
      <c r="N15" s="54"/>
      <c r="O15" s="64" t="s">
        <v>364</v>
      </c>
    </row>
    <row r="16" customFormat="false" ht="12.8" hidden="false" customHeight="false" outlineLevel="0" collapsed="false">
      <c r="A16" s="54"/>
      <c r="B16" s="60"/>
      <c r="C16" s="62"/>
      <c r="D16" s="62"/>
      <c r="E16" s="64"/>
      <c r="F16" s="64"/>
      <c r="G16" s="70"/>
      <c r="H16" s="40"/>
      <c r="I16" s="70"/>
      <c r="J16" s="63"/>
      <c r="K16" s="130"/>
      <c r="L16" s="63"/>
      <c r="M16" s="54"/>
      <c r="N16" s="54"/>
      <c r="O16" s="64" t="s">
        <v>364</v>
      </c>
    </row>
    <row r="17" customFormat="false" ht="12.8" hidden="false" customHeight="false" outlineLevel="0" collapsed="false">
      <c r="A17" s="54"/>
      <c r="B17" s="60"/>
      <c r="C17" s="62"/>
      <c r="D17" s="62"/>
      <c r="E17" s="64"/>
      <c r="F17" s="64"/>
      <c r="G17" s="70"/>
      <c r="H17" s="40"/>
      <c r="I17" s="70"/>
      <c r="J17" s="63"/>
      <c r="K17" s="130"/>
      <c r="L17" s="63"/>
      <c r="M17" s="54"/>
      <c r="N17" s="54"/>
      <c r="O17" s="64" t="s">
        <v>364</v>
      </c>
    </row>
    <row r="18" customFormat="false" ht="12.8" hidden="false" customHeight="false" outlineLevel="0" collapsed="false">
      <c r="A18" s="54"/>
      <c r="B18" s="60"/>
      <c r="C18" s="62"/>
      <c r="D18" s="62"/>
      <c r="E18" s="64"/>
      <c r="F18" s="64"/>
      <c r="G18" s="70"/>
      <c r="H18" s="40"/>
      <c r="I18" s="70"/>
      <c r="J18" s="63"/>
      <c r="K18" s="130"/>
      <c r="L18" s="63"/>
      <c r="M18" s="54"/>
      <c r="N18" s="54"/>
      <c r="O18" s="64" t="s">
        <v>364</v>
      </c>
    </row>
    <row r="19" customFormat="false" ht="12.8" hidden="false" customHeight="false" outlineLevel="0" collapsed="false">
      <c r="A19" s="54"/>
      <c r="B19" s="60"/>
      <c r="C19" s="62"/>
      <c r="D19" s="62"/>
      <c r="E19" s="64"/>
      <c r="F19" s="64"/>
      <c r="G19" s="70"/>
      <c r="H19" s="40"/>
      <c r="I19" s="70"/>
      <c r="J19" s="63"/>
      <c r="K19" s="130"/>
      <c r="L19" s="63"/>
      <c r="M19" s="54"/>
      <c r="N19" s="54"/>
      <c r="O19" s="64" t="s">
        <v>364</v>
      </c>
    </row>
    <row r="20" customFormat="false" ht="12.8" hidden="false" customHeight="false" outlineLevel="0" collapsed="false">
      <c r="A20" s="54"/>
      <c r="B20" s="60"/>
      <c r="C20" s="62"/>
      <c r="D20" s="62"/>
      <c r="E20" s="64"/>
      <c r="F20" s="64"/>
      <c r="G20" s="70"/>
      <c r="H20" s="40"/>
      <c r="I20" s="70"/>
      <c r="J20" s="63"/>
      <c r="K20" s="130"/>
      <c r="L20" s="63"/>
      <c r="M20" s="54"/>
      <c r="N20" s="54"/>
      <c r="O20" s="64" t="s">
        <v>364</v>
      </c>
    </row>
    <row r="21" customFormat="false" ht="12.8" hidden="false" customHeight="false" outlineLevel="0" collapsed="false">
      <c r="A21" s="54"/>
      <c r="B21" s="60"/>
      <c r="C21" s="62"/>
      <c r="D21" s="62"/>
      <c r="E21" s="64"/>
      <c r="F21" s="64"/>
      <c r="G21" s="70"/>
      <c r="H21" s="40"/>
      <c r="I21" s="70"/>
      <c r="J21" s="63"/>
      <c r="K21" s="130"/>
      <c r="L21" s="63"/>
      <c r="M21" s="54"/>
      <c r="N21" s="54"/>
      <c r="O21" s="64" t="s">
        <v>364</v>
      </c>
    </row>
    <row r="22" customFormat="false" ht="12.8" hidden="false" customHeight="false" outlineLevel="0" collapsed="false">
      <c r="A22" s="54"/>
      <c r="B22" s="60"/>
      <c r="C22" s="62"/>
      <c r="D22" s="62"/>
      <c r="E22" s="64"/>
      <c r="F22" s="64"/>
      <c r="G22" s="70"/>
      <c r="H22" s="40"/>
      <c r="I22" s="70"/>
      <c r="J22" s="63"/>
      <c r="K22" s="130"/>
      <c r="L22" s="63"/>
      <c r="M22" s="54"/>
      <c r="N22" s="54"/>
      <c r="O22" s="64" t="s">
        <v>364</v>
      </c>
    </row>
    <row r="23" customFormat="false" ht="12.8" hidden="false" customHeight="false" outlineLevel="0" collapsed="false">
      <c r="A23" s="54"/>
      <c r="B23" s="60"/>
      <c r="C23" s="62"/>
      <c r="D23" s="62"/>
      <c r="E23" s="64"/>
      <c r="F23" s="64"/>
      <c r="G23" s="70"/>
      <c r="H23" s="40"/>
      <c r="I23" s="70"/>
      <c r="J23" s="63"/>
      <c r="K23" s="130"/>
      <c r="L23" s="63"/>
      <c r="M23" s="54"/>
      <c r="N23" s="54"/>
      <c r="O23" s="64" t="s">
        <v>364</v>
      </c>
    </row>
    <row r="24" customFormat="false" ht="12.8" hidden="false" customHeight="false" outlineLevel="0" collapsed="false">
      <c r="A24" s="54"/>
      <c r="B24" s="60"/>
      <c r="C24" s="62"/>
      <c r="D24" s="62"/>
      <c r="E24" s="64"/>
      <c r="F24" s="64"/>
      <c r="G24" s="70"/>
      <c r="H24" s="40"/>
      <c r="I24" s="70"/>
      <c r="J24" s="63"/>
      <c r="K24" s="130"/>
      <c r="L24" s="63"/>
      <c r="M24" s="54"/>
      <c r="N24" s="54"/>
      <c r="O24" s="64" t="s">
        <v>364</v>
      </c>
    </row>
    <row r="25" customFormat="false" ht="12.8" hidden="false" customHeight="false" outlineLevel="0" collapsed="false">
      <c r="A25" s="54"/>
      <c r="B25" s="60"/>
      <c r="C25" s="62"/>
      <c r="D25" s="62"/>
      <c r="E25" s="64"/>
      <c r="F25" s="64"/>
      <c r="G25" s="70"/>
      <c r="H25" s="40"/>
      <c r="I25" s="70"/>
      <c r="J25" s="63"/>
      <c r="K25" s="130"/>
      <c r="L25" s="63"/>
      <c r="M25" s="54"/>
      <c r="N25" s="54"/>
      <c r="O25" s="64" t="s">
        <v>364</v>
      </c>
    </row>
    <row r="26" customFormat="false" ht="12.8" hidden="false" customHeight="false" outlineLevel="0" collapsed="false">
      <c r="A26" s="54"/>
      <c r="B26" s="60"/>
      <c r="C26" s="62"/>
      <c r="D26" s="62"/>
      <c r="E26" s="64"/>
      <c r="F26" s="64"/>
      <c r="G26" s="70"/>
      <c r="H26" s="40"/>
      <c r="I26" s="70"/>
      <c r="J26" s="63"/>
      <c r="K26" s="130"/>
      <c r="L26" s="63"/>
      <c r="M26" s="54"/>
      <c r="N26" s="54"/>
      <c r="O26" s="64" t="s">
        <v>364</v>
      </c>
    </row>
    <row r="27" customFormat="false" ht="12.8" hidden="false" customHeight="false" outlineLevel="0" collapsed="false">
      <c r="A27" s="54"/>
      <c r="B27" s="60"/>
      <c r="C27" s="62"/>
      <c r="D27" s="62"/>
      <c r="E27" s="64"/>
      <c r="F27" s="64"/>
      <c r="G27" s="70"/>
      <c r="H27" s="40"/>
      <c r="I27" s="70"/>
      <c r="J27" s="63"/>
      <c r="K27" s="130"/>
      <c r="L27" s="63"/>
      <c r="M27" s="54"/>
      <c r="N27" s="54"/>
      <c r="O27" s="64" t="s">
        <v>364</v>
      </c>
    </row>
    <row r="28" customFormat="false" ht="12.8" hidden="false" customHeight="false" outlineLevel="0" collapsed="false">
      <c r="A28" s="54"/>
      <c r="B28" s="60"/>
      <c r="C28" s="62"/>
      <c r="D28" s="62"/>
      <c r="E28" s="64"/>
      <c r="F28" s="64"/>
      <c r="G28" s="70"/>
      <c r="H28" s="40"/>
      <c r="I28" s="70"/>
      <c r="J28" s="63"/>
      <c r="K28" s="130"/>
      <c r="L28" s="63"/>
      <c r="M28" s="54"/>
      <c r="N28" s="54"/>
      <c r="O28" s="64" t="s">
        <v>364</v>
      </c>
    </row>
    <row r="29" customFormat="false" ht="12.8" hidden="false" customHeight="false" outlineLevel="0" collapsed="false">
      <c r="A29" s="54"/>
      <c r="B29" s="60"/>
      <c r="C29" s="62"/>
      <c r="D29" s="62"/>
      <c r="E29" s="64"/>
      <c r="F29" s="64"/>
      <c r="G29" s="70"/>
      <c r="H29" s="40"/>
      <c r="I29" s="70"/>
      <c r="J29" s="63"/>
      <c r="K29" s="130"/>
      <c r="L29" s="63"/>
      <c r="M29" s="54"/>
      <c r="N29" s="54"/>
      <c r="O29" s="64" t="s">
        <v>364</v>
      </c>
    </row>
    <row r="30" customFormat="false" ht="12.8" hidden="false" customHeight="false" outlineLevel="0" collapsed="false">
      <c r="A30" s="54"/>
      <c r="B30" s="60"/>
      <c r="C30" s="62"/>
      <c r="D30" s="62"/>
      <c r="E30" s="64"/>
      <c r="F30" s="64"/>
      <c r="G30" s="70"/>
      <c r="H30" s="40"/>
      <c r="I30" s="70"/>
      <c r="J30" s="63"/>
      <c r="K30" s="130"/>
      <c r="L30" s="63"/>
      <c r="M30" s="54"/>
      <c r="N30" s="54"/>
      <c r="O30" s="64" t="s">
        <v>364</v>
      </c>
    </row>
    <row r="31" customFormat="false" ht="12.8" hidden="false" customHeight="false" outlineLevel="0" collapsed="false">
      <c r="A31" s="54"/>
      <c r="B31" s="60"/>
      <c r="C31" s="62"/>
      <c r="D31" s="62"/>
      <c r="E31" s="64"/>
      <c r="F31" s="64"/>
      <c r="G31" s="70"/>
      <c r="H31" s="40"/>
      <c r="I31" s="70"/>
      <c r="J31" s="63"/>
      <c r="K31" s="130"/>
      <c r="L31" s="63"/>
      <c r="M31" s="54"/>
      <c r="N31" s="54"/>
      <c r="O31" s="64" t="s">
        <v>364</v>
      </c>
    </row>
    <row r="32" customFormat="false" ht="12.8" hidden="false" customHeight="false" outlineLevel="0" collapsed="false">
      <c r="A32" s="54"/>
      <c r="B32" s="60"/>
      <c r="C32" s="62"/>
      <c r="D32" s="62"/>
      <c r="E32" s="64"/>
      <c r="F32" s="64"/>
      <c r="G32" s="70"/>
      <c r="H32" s="40"/>
      <c r="I32" s="70"/>
      <c r="J32" s="63"/>
      <c r="K32" s="130"/>
      <c r="L32" s="63"/>
      <c r="M32" s="54"/>
      <c r="N32" s="54"/>
      <c r="O32" s="64" t="s">
        <v>364</v>
      </c>
    </row>
    <row r="33" customFormat="false" ht="12.8" hidden="false" customHeight="false" outlineLevel="0" collapsed="false">
      <c r="A33" s="54"/>
      <c r="B33" s="60"/>
      <c r="C33" s="62"/>
      <c r="D33" s="62"/>
      <c r="E33" s="64"/>
      <c r="F33" s="64"/>
      <c r="G33" s="70"/>
      <c r="H33" s="40"/>
      <c r="I33" s="70"/>
      <c r="J33" s="63"/>
      <c r="K33" s="130"/>
      <c r="L33" s="63"/>
      <c r="M33" s="54"/>
      <c r="N33" s="54"/>
      <c r="O33" s="64" t="s">
        <v>364</v>
      </c>
    </row>
    <row r="34" customFormat="false" ht="12.8" hidden="false" customHeight="false" outlineLevel="0" collapsed="false">
      <c r="A34" s="54"/>
      <c r="B34" s="60"/>
      <c r="C34" s="62"/>
      <c r="D34" s="62"/>
      <c r="E34" s="64"/>
      <c r="F34" s="64"/>
      <c r="G34" s="70"/>
      <c r="H34" s="40"/>
      <c r="I34" s="70"/>
      <c r="J34" s="63"/>
      <c r="K34" s="130"/>
      <c r="L34" s="63"/>
      <c r="M34" s="54"/>
      <c r="N34" s="54"/>
      <c r="O34" s="64" t="s">
        <v>364</v>
      </c>
    </row>
    <row r="35" customFormat="false" ht="12.8" hidden="false" customHeight="false" outlineLevel="0" collapsed="false">
      <c r="A35" s="54"/>
      <c r="B35" s="60"/>
      <c r="C35" s="62"/>
      <c r="D35" s="62"/>
      <c r="E35" s="64"/>
      <c r="F35" s="64"/>
      <c r="G35" s="70"/>
      <c r="H35" s="40"/>
      <c r="I35" s="70"/>
      <c r="J35" s="63"/>
      <c r="K35" s="130"/>
      <c r="L35" s="63"/>
      <c r="M35" s="54"/>
      <c r="N35" s="54"/>
      <c r="O35" s="64" t="s">
        <v>364</v>
      </c>
    </row>
    <row r="36" customFormat="false" ht="12.8" hidden="false" customHeight="false" outlineLevel="0" collapsed="false">
      <c r="A36" s="54"/>
      <c r="B36" s="60"/>
      <c r="C36" s="62"/>
      <c r="D36" s="62"/>
      <c r="E36" s="64"/>
      <c r="F36" s="64"/>
      <c r="G36" s="70"/>
      <c r="H36" s="40"/>
      <c r="I36" s="70"/>
      <c r="J36" s="63"/>
      <c r="K36" s="130"/>
      <c r="L36" s="63"/>
      <c r="M36" s="54"/>
      <c r="N36" s="54"/>
      <c r="O36" s="64" t="s">
        <v>364</v>
      </c>
    </row>
    <row r="37" customFormat="false" ht="12.8" hidden="false" customHeight="false" outlineLevel="0" collapsed="false">
      <c r="A37" s="54"/>
      <c r="B37" s="60"/>
      <c r="C37" s="62"/>
      <c r="D37" s="62"/>
      <c r="E37" s="64"/>
      <c r="F37" s="64"/>
      <c r="G37" s="70"/>
      <c r="H37" s="40"/>
      <c r="I37" s="70"/>
      <c r="J37" s="63"/>
      <c r="K37" s="130"/>
      <c r="L37" s="63"/>
      <c r="M37" s="54"/>
      <c r="N37" s="54"/>
      <c r="O37" s="64" t="s">
        <v>364</v>
      </c>
    </row>
    <row r="38" customFormat="false" ht="12.8" hidden="false" customHeight="false" outlineLevel="0" collapsed="false">
      <c r="A38" s="54"/>
      <c r="B38" s="60"/>
      <c r="C38" s="62"/>
      <c r="D38" s="62"/>
      <c r="E38" s="64"/>
      <c r="F38" s="64"/>
      <c r="G38" s="70"/>
      <c r="H38" s="40"/>
      <c r="I38" s="70"/>
      <c r="J38" s="63"/>
      <c r="K38" s="130"/>
      <c r="L38" s="63"/>
      <c r="M38" s="54"/>
      <c r="N38" s="54"/>
      <c r="O38" s="64" t="s">
        <v>364</v>
      </c>
    </row>
    <row r="39" customFormat="false" ht="12.8" hidden="false" customHeight="false" outlineLevel="0" collapsed="false">
      <c r="A39" s="54"/>
      <c r="B39" s="60"/>
      <c r="C39" s="62"/>
      <c r="D39" s="62"/>
      <c r="E39" s="64"/>
      <c r="F39" s="64"/>
      <c r="G39" s="70"/>
      <c r="H39" s="40"/>
      <c r="I39" s="70"/>
      <c r="J39" s="63"/>
      <c r="K39" s="130"/>
      <c r="L39" s="63"/>
      <c r="M39" s="54"/>
      <c r="N39" s="54"/>
      <c r="O39" s="64" t="s">
        <v>364</v>
      </c>
    </row>
    <row r="40" customFormat="false" ht="12.8" hidden="false" customHeight="false" outlineLevel="0" collapsed="false">
      <c r="A40" s="54"/>
      <c r="B40" s="60"/>
      <c r="C40" s="62"/>
      <c r="D40" s="62"/>
      <c r="E40" s="64"/>
      <c r="F40" s="64"/>
      <c r="G40" s="70"/>
      <c r="H40" s="40"/>
      <c r="I40" s="70"/>
      <c r="J40" s="63"/>
      <c r="K40" s="130"/>
      <c r="L40" s="63"/>
      <c r="M40" s="54"/>
      <c r="N40" s="54"/>
      <c r="O40" s="64" t="s">
        <v>364</v>
      </c>
    </row>
    <row r="41" customFormat="false" ht="12.8" hidden="false" customHeight="false" outlineLevel="0" collapsed="false">
      <c r="B41" s="3"/>
    </row>
  </sheetData>
  <autoFilter ref="A4:O40"/>
  <dataValidations count="2">
    <dataValidation allowBlank="true" errorStyle="stop" operator="equal" showDropDown="false" showErrorMessage="true" showInputMessage="false" sqref="C5:C40" type="list">
      <formula1>Static!$AE$5:$AE$6</formula1>
      <formula2>0</formula2>
    </dataValidation>
    <dataValidation allowBlank="true" errorStyle="stop" operator="equal" showDropDown="false" showErrorMessage="true" showInputMessage="false" sqref="H5:H40" type="list">
      <formula1>Static!$AF$5:$AF$9</formula1>
      <formula2>0</formula2>
    </dataValidation>
  </dataValidation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AMJ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3" topLeftCell="H4" activePane="bottomRight" state="frozen"/>
      <selection pane="topLeft" activeCell="A1" activeCellId="0" sqref="A1"/>
      <selection pane="topRight" activeCell="H1" activeCellId="0" sqref="H1"/>
      <selection pane="bottomLeft" activeCell="A4" activeCellId="0" sqref="A4"/>
      <selection pane="bottomRight" activeCell="K6" activeCellId="0" sqref="K6"/>
    </sheetView>
  </sheetViews>
  <sheetFormatPr defaultColWidth="16.1484375" defaultRowHeight="12.8" zeroHeight="false" outlineLevelRow="1" outlineLevelCol="0"/>
  <cols>
    <col collapsed="false" customWidth="true" hidden="false" outlineLevel="0" max="1" min="1" style="3" width="1.8"/>
    <col collapsed="false" customWidth="true" hidden="false" outlineLevel="0" max="2" min="2" style="29" width="6.54"/>
    <col collapsed="false" customWidth="true" hidden="false" outlineLevel="0" max="3" min="3" style="29" width="11.38"/>
    <col collapsed="false" customWidth="true" hidden="false" outlineLevel="0" max="4" min="4" style="29" width="12.64"/>
    <col collapsed="false" customWidth="true" hidden="false" outlineLevel="0" max="6" min="6" style="1" width="41.13"/>
    <col collapsed="false" customWidth="true" hidden="false" outlineLevel="0" max="7" min="7" style="1" width="19.36"/>
    <col collapsed="false" customWidth="true" hidden="false" outlineLevel="0" max="9" min="8" style="29" width="14.59"/>
    <col collapsed="false" customWidth="true" hidden="false" outlineLevel="0" max="10" min="10" style="3" width="43.47"/>
    <col collapsed="false" customWidth="true" hidden="false" outlineLevel="0" max="11" min="11" style="121" width="10.12"/>
    <col collapsed="false" customWidth="true" hidden="false" outlineLevel="0" max="12" min="12" style="29" width="14.69"/>
    <col collapsed="false" customWidth="true" hidden="false" outlineLevel="0" max="13" min="13" style="3" width="13.4"/>
    <col collapsed="false" customWidth="true" hidden="false" outlineLevel="0" max="14" min="14" style="3" width="50.88"/>
    <col collapsed="false" customWidth="true" hidden="false" outlineLevel="0" max="15" min="15" style="3" width="14.69"/>
    <col collapsed="false" customWidth="true" hidden="false" outlineLevel="0" max="16" min="16" style="1" width="2.54"/>
  </cols>
  <sheetData>
    <row r="1" customFormat="false" ht="81.3" hidden="false" customHeight="true" outlineLevel="1" collapsed="false">
      <c r="A1" s="31" t="s">
        <v>749</v>
      </c>
      <c r="B1" s="33" t="s">
        <v>860</v>
      </c>
      <c r="C1" s="33" t="s">
        <v>897</v>
      </c>
      <c r="D1" s="33" t="s">
        <v>817</v>
      </c>
      <c r="E1" s="34" t="s">
        <v>898</v>
      </c>
      <c r="F1" s="34" t="s">
        <v>819</v>
      </c>
      <c r="G1" s="83" t="s">
        <v>899</v>
      </c>
      <c r="H1" s="83" t="s">
        <v>900</v>
      </c>
      <c r="I1" s="83" t="s">
        <v>901</v>
      </c>
      <c r="J1" s="72" t="s">
        <v>902</v>
      </c>
      <c r="K1" s="127" t="s">
        <v>903</v>
      </c>
      <c r="L1" s="33" t="s">
        <v>904</v>
      </c>
      <c r="M1" s="72" t="s">
        <v>757</v>
      </c>
      <c r="N1" s="31" t="s">
        <v>835</v>
      </c>
      <c r="O1" s="31" t="s">
        <v>384</v>
      </c>
      <c r="P1" s="31" t="s">
        <v>412</v>
      </c>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c r="CT1" s="35"/>
      <c r="CU1" s="35"/>
      <c r="CV1" s="35"/>
      <c r="CW1" s="35"/>
      <c r="CX1" s="35"/>
      <c r="CY1" s="35"/>
      <c r="CZ1" s="35"/>
      <c r="DA1" s="35"/>
      <c r="DB1" s="35"/>
      <c r="DC1" s="35"/>
      <c r="DD1" s="35"/>
      <c r="DE1" s="35"/>
      <c r="DF1" s="35"/>
      <c r="DG1" s="35"/>
      <c r="DH1" s="35"/>
      <c r="DI1" s="35"/>
      <c r="DJ1" s="35"/>
      <c r="DK1" s="35"/>
      <c r="DL1" s="35"/>
      <c r="DM1" s="35"/>
      <c r="DN1" s="35"/>
      <c r="DO1" s="35"/>
      <c r="DP1" s="35"/>
      <c r="DQ1" s="35"/>
      <c r="DR1" s="35"/>
      <c r="DS1" s="35"/>
      <c r="DT1" s="35"/>
      <c r="DU1" s="35"/>
      <c r="DV1" s="35"/>
      <c r="DW1" s="35"/>
      <c r="DX1" s="35"/>
      <c r="DY1" s="35"/>
      <c r="DZ1" s="35"/>
      <c r="EA1" s="35"/>
      <c r="EB1" s="35"/>
      <c r="EC1" s="35"/>
      <c r="ED1" s="35"/>
      <c r="EE1" s="35"/>
      <c r="EF1" s="35"/>
      <c r="EG1" s="35"/>
      <c r="EH1" s="35"/>
      <c r="EI1" s="35"/>
      <c r="EJ1" s="35"/>
      <c r="EK1" s="35"/>
      <c r="EL1" s="35"/>
      <c r="EM1" s="35"/>
      <c r="EN1" s="35"/>
      <c r="EO1" s="35"/>
      <c r="EP1" s="35"/>
      <c r="EQ1" s="35"/>
      <c r="ER1" s="35"/>
      <c r="ES1" s="35"/>
      <c r="ET1" s="35"/>
      <c r="EU1" s="35"/>
      <c r="EV1" s="35"/>
      <c r="EW1" s="35"/>
      <c r="EX1" s="35"/>
      <c r="EY1" s="35"/>
      <c r="EZ1" s="35"/>
      <c r="FA1" s="35"/>
      <c r="FB1" s="35"/>
      <c r="FC1" s="35"/>
      <c r="FD1" s="35"/>
      <c r="FE1" s="35"/>
      <c r="FF1" s="35"/>
      <c r="FG1" s="35"/>
      <c r="FH1" s="35"/>
      <c r="FI1" s="35"/>
      <c r="FJ1" s="35"/>
      <c r="FK1" s="35"/>
      <c r="FL1" s="35"/>
      <c r="FM1" s="35"/>
      <c r="FN1" s="35"/>
      <c r="FO1" s="35"/>
      <c r="FP1" s="35"/>
      <c r="FQ1" s="35"/>
      <c r="FR1" s="35"/>
      <c r="FS1" s="35"/>
      <c r="FT1" s="35"/>
      <c r="FU1" s="35"/>
      <c r="FV1" s="35"/>
      <c r="FW1" s="35"/>
      <c r="FX1" s="35"/>
      <c r="FY1" s="35"/>
      <c r="FZ1" s="35"/>
      <c r="GA1" s="35"/>
      <c r="GB1" s="35"/>
      <c r="GC1" s="35"/>
      <c r="GD1" s="35"/>
      <c r="GE1" s="35"/>
      <c r="GF1" s="35"/>
      <c r="GG1" s="35"/>
      <c r="GH1" s="35"/>
      <c r="GI1" s="35"/>
      <c r="GJ1" s="35"/>
      <c r="GK1" s="35"/>
      <c r="GL1" s="35"/>
      <c r="GM1" s="35"/>
      <c r="GN1" s="35"/>
      <c r="GO1" s="35"/>
      <c r="GP1" s="35"/>
      <c r="GQ1" s="35"/>
      <c r="GR1" s="35"/>
      <c r="GS1" s="35"/>
      <c r="GT1" s="35"/>
      <c r="GU1" s="35"/>
      <c r="GV1" s="35"/>
      <c r="GW1" s="35"/>
      <c r="GX1" s="35"/>
      <c r="GY1" s="35"/>
      <c r="GZ1" s="35"/>
      <c r="HA1" s="35"/>
      <c r="HB1" s="35"/>
      <c r="HC1" s="35"/>
      <c r="HD1" s="35"/>
      <c r="HE1" s="35"/>
      <c r="HF1" s="35"/>
      <c r="HG1" s="35"/>
      <c r="HH1" s="35"/>
      <c r="HI1" s="35"/>
      <c r="HJ1" s="35"/>
      <c r="HK1" s="35"/>
      <c r="HL1" s="35"/>
      <c r="HM1" s="35"/>
      <c r="HN1" s="35"/>
      <c r="HO1" s="35"/>
      <c r="HP1" s="35"/>
      <c r="HQ1" s="35"/>
      <c r="HR1" s="35"/>
      <c r="HS1" s="35"/>
      <c r="HT1" s="35"/>
      <c r="HU1" s="35"/>
      <c r="HV1" s="35"/>
      <c r="HW1" s="35"/>
      <c r="HX1" s="35"/>
      <c r="HY1" s="35"/>
      <c r="HZ1" s="35"/>
      <c r="IA1" s="35"/>
      <c r="IB1" s="35"/>
      <c r="IC1" s="35"/>
      <c r="ID1" s="35"/>
      <c r="IE1" s="35"/>
      <c r="IF1" s="35"/>
      <c r="IG1" s="35"/>
      <c r="IH1" s="35"/>
      <c r="II1" s="35"/>
      <c r="IJ1" s="35"/>
      <c r="IK1" s="35"/>
      <c r="IL1" s="35"/>
      <c r="IM1" s="35"/>
      <c r="IN1" s="35"/>
      <c r="IO1" s="35"/>
      <c r="IP1" s="35"/>
      <c r="IQ1" s="35"/>
      <c r="IR1" s="35"/>
      <c r="IS1" s="35"/>
      <c r="IT1" s="35"/>
      <c r="IU1" s="35"/>
      <c r="IV1" s="35"/>
      <c r="IW1" s="35"/>
      <c r="IX1" s="35"/>
      <c r="IY1" s="35"/>
      <c r="IZ1" s="35"/>
      <c r="JA1" s="35"/>
      <c r="JB1" s="35"/>
      <c r="JC1" s="35"/>
      <c r="JD1" s="35"/>
      <c r="JE1" s="35"/>
      <c r="JF1" s="35"/>
      <c r="JG1" s="35"/>
      <c r="JH1" s="35"/>
      <c r="JI1" s="35"/>
      <c r="JJ1" s="35"/>
      <c r="JK1" s="35"/>
      <c r="JL1" s="35"/>
      <c r="JM1" s="35"/>
      <c r="JN1" s="35"/>
      <c r="JO1" s="35"/>
      <c r="JP1" s="35"/>
      <c r="JQ1" s="35"/>
      <c r="JR1" s="35"/>
      <c r="JS1" s="35"/>
      <c r="JT1" s="35"/>
      <c r="JU1" s="35"/>
      <c r="JV1" s="35"/>
      <c r="JW1" s="35"/>
      <c r="JX1" s="35"/>
      <c r="JY1" s="35"/>
      <c r="JZ1" s="35"/>
      <c r="KA1" s="35"/>
      <c r="KB1" s="35"/>
      <c r="KC1" s="35"/>
      <c r="KD1" s="35"/>
      <c r="KE1" s="35"/>
      <c r="KF1" s="35"/>
      <c r="KG1" s="35"/>
      <c r="KH1" s="35"/>
      <c r="KI1" s="35"/>
      <c r="KJ1" s="35"/>
      <c r="KK1" s="35"/>
      <c r="KL1" s="35"/>
      <c r="KM1" s="35"/>
      <c r="KN1" s="35"/>
      <c r="KO1" s="35"/>
      <c r="KP1" s="35"/>
      <c r="KQ1" s="35"/>
      <c r="KR1" s="35"/>
      <c r="KS1" s="35"/>
      <c r="KT1" s="35"/>
      <c r="KU1" s="35"/>
      <c r="KV1" s="35"/>
      <c r="KW1" s="35"/>
      <c r="KX1" s="35"/>
      <c r="KY1" s="35"/>
      <c r="KZ1" s="35"/>
      <c r="LA1" s="35"/>
      <c r="LB1" s="35"/>
      <c r="LC1" s="35"/>
      <c r="LD1" s="35"/>
      <c r="LE1" s="35"/>
      <c r="LF1" s="35"/>
      <c r="LG1" s="35"/>
      <c r="LH1" s="35"/>
      <c r="LI1" s="35"/>
      <c r="LJ1" s="35"/>
      <c r="LK1" s="35"/>
      <c r="LL1" s="35"/>
      <c r="LM1" s="35"/>
      <c r="LN1" s="35"/>
      <c r="LO1" s="35"/>
      <c r="LP1" s="35"/>
      <c r="LQ1" s="35"/>
      <c r="LR1" s="35"/>
      <c r="LS1" s="35"/>
      <c r="LT1" s="35"/>
      <c r="LU1" s="35"/>
      <c r="LV1" s="35"/>
      <c r="LW1" s="35"/>
      <c r="LX1" s="35"/>
      <c r="LY1" s="35"/>
      <c r="LZ1" s="35"/>
      <c r="MA1" s="35"/>
      <c r="MB1" s="35"/>
      <c r="MC1" s="35"/>
      <c r="MD1" s="35"/>
      <c r="ME1" s="35"/>
      <c r="MF1" s="35"/>
      <c r="MG1" s="35"/>
      <c r="MH1" s="35"/>
      <c r="MI1" s="35"/>
      <c r="MJ1" s="35"/>
      <c r="MK1" s="35"/>
      <c r="ML1" s="35"/>
      <c r="MM1" s="35"/>
      <c r="MN1" s="35"/>
      <c r="MO1" s="35"/>
      <c r="MP1" s="35"/>
      <c r="MQ1" s="35"/>
      <c r="MR1" s="35"/>
      <c r="MS1" s="35"/>
      <c r="MT1" s="35"/>
      <c r="MU1" s="35"/>
      <c r="MV1" s="35"/>
      <c r="MW1" s="35"/>
      <c r="MX1" s="35"/>
      <c r="MY1" s="35"/>
      <c r="MZ1" s="35"/>
      <c r="NA1" s="35"/>
      <c r="NB1" s="35"/>
      <c r="NC1" s="35"/>
      <c r="ND1" s="35"/>
      <c r="NE1" s="35"/>
      <c r="NF1" s="35"/>
      <c r="NG1" s="35"/>
      <c r="NH1" s="35"/>
      <c r="NI1" s="35"/>
      <c r="NJ1" s="35"/>
      <c r="NK1" s="35"/>
      <c r="NL1" s="35"/>
      <c r="NM1" s="35"/>
      <c r="NN1" s="35"/>
      <c r="NO1" s="35"/>
      <c r="NP1" s="35"/>
      <c r="NQ1" s="35"/>
      <c r="NR1" s="35"/>
      <c r="NS1" s="35"/>
      <c r="NT1" s="35"/>
      <c r="NU1" s="35"/>
      <c r="NV1" s="35"/>
      <c r="NW1" s="35"/>
      <c r="NX1" s="35"/>
      <c r="NY1" s="35"/>
      <c r="NZ1" s="35"/>
      <c r="OA1" s="35"/>
      <c r="OB1" s="35"/>
      <c r="OC1" s="35"/>
      <c r="OD1" s="35"/>
      <c r="OE1" s="35"/>
      <c r="OF1" s="35"/>
      <c r="OG1" s="35"/>
      <c r="OH1" s="35"/>
      <c r="OI1" s="35"/>
      <c r="OJ1" s="35"/>
      <c r="OK1" s="35"/>
      <c r="OL1" s="35"/>
      <c r="OM1" s="35"/>
      <c r="ON1" s="35"/>
      <c r="OO1" s="35"/>
      <c r="OP1" s="35"/>
      <c r="OQ1" s="35"/>
      <c r="OR1" s="35"/>
      <c r="OS1" s="35"/>
      <c r="OT1" s="35"/>
      <c r="OU1" s="35"/>
      <c r="OV1" s="35"/>
      <c r="OW1" s="35"/>
      <c r="OX1" s="35"/>
      <c r="OY1" s="35"/>
      <c r="OZ1" s="35"/>
      <c r="PA1" s="35"/>
      <c r="PB1" s="35"/>
      <c r="PC1" s="35"/>
      <c r="PD1" s="35"/>
      <c r="PE1" s="35"/>
      <c r="PF1" s="35"/>
      <c r="PG1" s="35"/>
      <c r="PH1" s="35"/>
      <c r="PI1" s="35"/>
      <c r="PJ1" s="35"/>
      <c r="PK1" s="35"/>
      <c r="PL1" s="35"/>
      <c r="PM1" s="35"/>
      <c r="PN1" s="35"/>
      <c r="PO1" s="35"/>
      <c r="PP1" s="35"/>
      <c r="PQ1" s="35"/>
      <c r="PR1" s="35"/>
      <c r="PS1" s="35"/>
      <c r="PT1" s="35"/>
      <c r="PU1" s="35"/>
      <c r="PV1" s="35"/>
      <c r="PW1" s="35"/>
      <c r="PX1" s="35"/>
      <c r="PY1" s="35"/>
      <c r="PZ1" s="35"/>
      <c r="QA1" s="35"/>
      <c r="QB1" s="35"/>
      <c r="QC1" s="35"/>
      <c r="QD1" s="35"/>
      <c r="QE1" s="35"/>
      <c r="QF1" s="35"/>
      <c r="QG1" s="35"/>
      <c r="QH1" s="35"/>
      <c r="QI1" s="35"/>
      <c r="QJ1" s="35"/>
      <c r="QK1" s="35"/>
      <c r="QL1" s="35"/>
      <c r="QM1" s="35"/>
      <c r="QN1" s="35"/>
      <c r="QO1" s="35"/>
      <c r="QP1" s="35"/>
      <c r="QQ1" s="35"/>
      <c r="QR1" s="35"/>
      <c r="QS1" s="35"/>
      <c r="QT1" s="35"/>
      <c r="QU1" s="35"/>
      <c r="QV1" s="35"/>
      <c r="QW1" s="35"/>
      <c r="QX1" s="35"/>
      <c r="QY1" s="35"/>
      <c r="QZ1" s="35"/>
      <c r="RA1" s="35"/>
      <c r="RB1" s="35"/>
      <c r="RC1" s="35"/>
      <c r="RD1" s="35"/>
      <c r="RE1" s="35"/>
      <c r="RF1" s="35"/>
      <c r="RG1" s="35"/>
      <c r="RH1" s="35"/>
      <c r="RI1" s="35"/>
      <c r="RJ1" s="35"/>
      <c r="RK1" s="35"/>
      <c r="RL1" s="35"/>
      <c r="RM1" s="35"/>
      <c r="RN1" s="35"/>
      <c r="RO1" s="35"/>
      <c r="RP1" s="35"/>
      <c r="RQ1" s="35"/>
      <c r="RR1" s="35"/>
      <c r="RS1" s="35"/>
      <c r="RT1" s="35"/>
      <c r="RU1" s="35"/>
      <c r="RV1" s="35"/>
      <c r="RW1" s="35"/>
      <c r="RX1" s="35"/>
      <c r="RY1" s="35"/>
      <c r="RZ1" s="35"/>
      <c r="SA1" s="35"/>
      <c r="SB1" s="35"/>
      <c r="SC1" s="35"/>
      <c r="SD1" s="35"/>
      <c r="SE1" s="35"/>
      <c r="SF1" s="35"/>
      <c r="SG1" s="35"/>
      <c r="SH1" s="35"/>
      <c r="SI1" s="35"/>
      <c r="SJ1" s="35"/>
      <c r="SK1" s="35"/>
      <c r="SL1" s="35"/>
      <c r="SM1" s="35"/>
      <c r="SN1" s="35"/>
      <c r="SO1" s="35"/>
      <c r="SP1" s="35"/>
      <c r="SQ1" s="35"/>
      <c r="SR1" s="35"/>
      <c r="SS1" s="35"/>
      <c r="ST1" s="35"/>
      <c r="SU1" s="35"/>
      <c r="SV1" s="35"/>
      <c r="SW1" s="35"/>
      <c r="SX1" s="35"/>
      <c r="SY1" s="35"/>
      <c r="SZ1" s="35"/>
      <c r="TA1" s="35"/>
      <c r="TB1" s="35"/>
      <c r="TC1" s="35"/>
      <c r="TD1" s="35"/>
      <c r="TE1" s="35"/>
      <c r="TF1" s="35"/>
      <c r="TG1" s="35"/>
      <c r="TH1" s="35"/>
      <c r="TI1" s="35"/>
      <c r="TJ1" s="35"/>
      <c r="TK1" s="35"/>
      <c r="TL1" s="35"/>
      <c r="TM1" s="35"/>
      <c r="TN1" s="35"/>
      <c r="TO1" s="35"/>
      <c r="TP1" s="35"/>
      <c r="TQ1" s="35"/>
      <c r="TR1" s="35"/>
      <c r="TS1" s="35"/>
      <c r="TT1" s="35"/>
      <c r="TU1" s="35"/>
      <c r="TV1" s="35"/>
      <c r="TW1" s="35"/>
      <c r="TX1" s="35"/>
      <c r="TY1" s="35"/>
      <c r="TZ1" s="35"/>
      <c r="UA1" s="35"/>
      <c r="UB1" s="35"/>
      <c r="UC1" s="35"/>
      <c r="UD1" s="35"/>
      <c r="UE1" s="35"/>
      <c r="UF1" s="35"/>
      <c r="UG1" s="35"/>
      <c r="UH1" s="35"/>
      <c r="UI1" s="35"/>
      <c r="UJ1" s="35"/>
      <c r="UK1" s="35"/>
      <c r="UL1" s="35"/>
      <c r="UM1" s="35"/>
      <c r="UN1" s="35"/>
      <c r="UO1" s="35"/>
      <c r="UP1" s="35"/>
      <c r="UQ1" s="35"/>
      <c r="UR1" s="35"/>
      <c r="US1" s="35"/>
      <c r="UT1" s="35"/>
      <c r="UU1" s="35"/>
      <c r="UV1" s="35"/>
      <c r="UW1" s="35"/>
      <c r="UX1" s="35"/>
      <c r="UY1" s="35"/>
      <c r="UZ1" s="35"/>
      <c r="VA1" s="35"/>
      <c r="VB1" s="35"/>
      <c r="VC1" s="35"/>
      <c r="VD1" s="35"/>
      <c r="VE1" s="35"/>
      <c r="VF1" s="35"/>
      <c r="VG1" s="35"/>
      <c r="VH1" s="35"/>
      <c r="VI1" s="35"/>
      <c r="VJ1" s="35"/>
      <c r="VK1" s="35"/>
      <c r="VL1" s="35"/>
      <c r="VM1" s="35"/>
      <c r="VN1" s="35"/>
      <c r="VO1" s="35"/>
      <c r="VP1" s="35"/>
      <c r="VQ1" s="35"/>
      <c r="VR1" s="35"/>
      <c r="VS1" s="35"/>
      <c r="VT1" s="35"/>
      <c r="VU1" s="35"/>
      <c r="VV1" s="35"/>
      <c r="VW1" s="35"/>
      <c r="VX1" s="35"/>
      <c r="VY1" s="35"/>
      <c r="VZ1" s="35"/>
      <c r="WA1" s="35"/>
      <c r="WB1" s="35"/>
      <c r="WC1" s="35"/>
      <c r="WD1" s="35"/>
      <c r="WE1" s="35"/>
      <c r="WF1" s="35"/>
      <c r="WG1" s="35"/>
      <c r="WH1" s="35"/>
      <c r="WI1" s="35"/>
      <c r="WJ1" s="35"/>
      <c r="WK1" s="35"/>
      <c r="WL1" s="35"/>
      <c r="WM1" s="35"/>
      <c r="WN1" s="35"/>
      <c r="WO1" s="35"/>
      <c r="WP1" s="35"/>
      <c r="WQ1" s="35"/>
      <c r="WR1" s="35"/>
      <c r="WS1" s="35"/>
      <c r="WT1" s="35"/>
      <c r="WU1" s="35"/>
      <c r="WV1" s="35"/>
      <c r="WW1" s="35"/>
      <c r="WX1" s="35"/>
      <c r="WY1" s="35"/>
      <c r="WZ1" s="35"/>
      <c r="XA1" s="35"/>
      <c r="XB1" s="35"/>
      <c r="XC1" s="35"/>
      <c r="XD1" s="35"/>
      <c r="XE1" s="35"/>
      <c r="XF1" s="35"/>
      <c r="XG1" s="35"/>
      <c r="XH1" s="35"/>
      <c r="XI1" s="35"/>
      <c r="XJ1" s="35"/>
      <c r="XK1" s="35"/>
      <c r="XL1" s="35"/>
      <c r="XM1" s="35"/>
      <c r="XN1" s="35"/>
      <c r="XO1" s="35"/>
      <c r="XP1" s="35"/>
      <c r="XQ1" s="35"/>
      <c r="XR1" s="35"/>
      <c r="XS1" s="35"/>
      <c r="XT1" s="35"/>
      <c r="XU1" s="35"/>
      <c r="XV1" s="35"/>
      <c r="XW1" s="35"/>
      <c r="XX1" s="35"/>
      <c r="XY1" s="35"/>
      <c r="XZ1" s="35"/>
      <c r="YA1" s="35"/>
      <c r="YB1" s="35"/>
      <c r="YC1" s="35"/>
      <c r="YD1" s="35"/>
      <c r="YE1" s="35"/>
      <c r="YF1" s="35"/>
      <c r="YG1" s="35"/>
      <c r="YH1" s="35"/>
      <c r="YI1" s="35"/>
      <c r="YJ1" s="35"/>
      <c r="YK1" s="35"/>
      <c r="YL1" s="35"/>
      <c r="YM1" s="35"/>
      <c r="YN1" s="35"/>
      <c r="YO1" s="35"/>
      <c r="YP1" s="35"/>
      <c r="YQ1" s="35"/>
      <c r="YR1" s="35"/>
      <c r="YS1" s="35"/>
      <c r="YT1" s="35"/>
      <c r="YU1" s="35"/>
      <c r="YV1" s="35"/>
      <c r="YW1" s="35"/>
      <c r="YX1" s="35"/>
      <c r="YY1" s="35"/>
      <c r="YZ1" s="35"/>
      <c r="ZA1" s="35"/>
      <c r="ZB1" s="35"/>
      <c r="ZC1" s="35"/>
      <c r="ZD1" s="35"/>
      <c r="ZE1" s="35"/>
      <c r="ZF1" s="35"/>
      <c r="ZG1" s="35"/>
      <c r="ZH1" s="35"/>
      <c r="ZI1" s="35"/>
      <c r="ZJ1" s="35"/>
      <c r="ZK1" s="35"/>
      <c r="ZL1" s="35"/>
      <c r="ZM1" s="35"/>
      <c r="ZN1" s="35"/>
      <c r="ZO1" s="35"/>
      <c r="ZP1" s="35"/>
      <c r="ZQ1" s="35"/>
      <c r="ZR1" s="35"/>
      <c r="ZS1" s="35"/>
      <c r="ZT1" s="35"/>
      <c r="ZU1" s="35"/>
      <c r="ZV1" s="35"/>
      <c r="ZW1" s="35"/>
      <c r="ZX1" s="35"/>
      <c r="ZY1" s="35"/>
      <c r="ZZ1" s="35"/>
      <c r="AAA1" s="35"/>
      <c r="AAB1" s="35"/>
      <c r="AAC1" s="35"/>
      <c r="AAD1" s="35"/>
      <c r="AAE1" s="35"/>
      <c r="AAF1" s="35"/>
      <c r="AAG1" s="35"/>
      <c r="AAH1" s="35"/>
      <c r="AAI1" s="35"/>
      <c r="AAJ1" s="35"/>
      <c r="AAK1" s="35"/>
      <c r="AAL1" s="35"/>
      <c r="AAM1" s="35"/>
      <c r="AAN1" s="35"/>
      <c r="AAO1" s="35"/>
      <c r="AAP1" s="35"/>
      <c r="AAQ1" s="35"/>
      <c r="AAR1" s="35"/>
      <c r="AAS1" s="35"/>
      <c r="AAT1" s="35"/>
      <c r="AAU1" s="35"/>
      <c r="AAV1" s="35"/>
      <c r="AAW1" s="35"/>
      <c r="AAX1" s="35"/>
      <c r="AAY1" s="35"/>
      <c r="AAZ1" s="35"/>
      <c r="ABA1" s="35"/>
      <c r="ABB1" s="35"/>
      <c r="ABC1" s="35"/>
      <c r="ABD1" s="35"/>
      <c r="ABE1" s="35"/>
      <c r="ABF1" s="35"/>
      <c r="ABG1" s="35"/>
      <c r="ABH1" s="35"/>
      <c r="ABI1" s="35"/>
      <c r="ABJ1" s="35"/>
      <c r="ABK1" s="35"/>
      <c r="ABL1" s="35"/>
      <c r="ABM1" s="35"/>
      <c r="ABN1" s="35"/>
      <c r="ABO1" s="35"/>
      <c r="ABP1" s="35"/>
      <c r="ABQ1" s="35"/>
      <c r="ABR1" s="35"/>
      <c r="ABS1" s="35"/>
      <c r="ABT1" s="35"/>
      <c r="ABU1" s="35"/>
      <c r="ABV1" s="35"/>
      <c r="ABW1" s="35"/>
      <c r="ABX1" s="35"/>
      <c r="ABY1" s="35"/>
      <c r="ABZ1" s="35"/>
      <c r="ACA1" s="35"/>
      <c r="ACB1" s="35"/>
      <c r="ACC1" s="35"/>
      <c r="ACD1" s="35"/>
      <c r="ACE1" s="35"/>
      <c r="ACF1" s="35"/>
      <c r="ACG1" s="35"/>
      <c r="ACH1" s="35"/>
      <c r="ACI1" s="35"/>
      <c r="ACJ1" s="35"/>
      <c r="ACK1" s="35"/>
      <c r="ACL1" s="35"/>
      <c r="ACM1" s="35"/>
      <c r="ACN1" s="35"/>
      <c r="ACO1" s="35"/>
      <c r="ACP1" s="35"/>
      <c r="ACQ1" s="35"/>
      <c r="ACR1" s="35"/>
      <c r="ACS1" s="35"/>
      <c r="ACT1" s="35"/>
      <c r="ACU1" s="35"/>
      <c r="ACV1" s="35"/>
      <c r="ACW1" s="35"/>
      <c r="ACX1" s="35"/>
      <c r="ACY1" s="35"/>
      <c r="ACZ1" s="35"/>
      <c r="ADA1" s="35"/>
      <c r="ADB1" s="35"/>
      <c r="ADC1" s="35"/>
      <c r="ADD1" s="35"/>
      <c r="ADE1" s="35"/>
      <c r="ADF1" s="35"/>
      <c r="ADG1" s="35"/>
      <c r="ADH1" s="35"/>
      <c r="ADI1" s="35"/>
      <c r="ADJ1" s="35"/>
      <c r="ADK1" s="35"/>
      <c r="ADL1" s="35"/>
      <c r="ADM1" s="35"/>
      <c r="ADN1" s="35"/>
      <c r="ADO1" s="35"/>
      <c r="ADP1" s="35"/>
      <c r="ADQ1" s="35"/>
      <c r="ADR1" s="35"/>
      <c r="ADS1" s="35"/>
      <c r="ADT1" s="35"/>
      <c r="ADU1" s="35"/>
      <c r="ADV1" s="35"/>
      <c r="ADW1" s="35"/>
      <c r="ADX1" s="35"/>
      <c r="ADY1" s="35"/>
      <c r="ADZ1" s="35"/>
      <c r="AEA1" s="35"/>
      <c r="AEB1" s="35"/>
      <c r="AEC1" s="35"/>
      <c r="AED1" s="35"/>
      <c r="AEE1" s="35"/>
      <c r="AEF1" s="35"/>
      <c r="AEG1" s="35"/>
      <c r="AEH1" s="35"/>
      <c r="AEI1" s="35"/>
      <c r="AEJ1" s="35"/>
      <c r="AEK1" s="35"/>
      <c r="AEL1" s="35"/>
      <c r="AEM1" s="35"/>
      <c r="AEN1" s="35"/>
      <c r="AEO1" s="35"/>
      <c r="AEP1" s="35"/>
      <c r="AEQ1" s="35"/>
      <c r="AER1" s="35"/>
      <c r="AES1" s="35"/>
      <c r="AET1" s="35"/>
      <c r="AEU1" s="35"/>
      <c r="AEV1" s="35"/>
      <c r="AEW1" s="35"/>
      <c r="AEX1" s="35"/>
      <c r="AEY1" s="35"/>
      <c r="AEZ1" s="35"/>
      <c r="AFA1" s="35"/>
      <c r="AFB1" s="35"/>
      <c r="AFC1" s="35"/>
      <c r="AFD1" s="35"/>
      <c r="AFE1" s="35"/>
      <c r="AFF1" s="35"/>
      <c r="AFG1" s="35"/>
      <c r="AFH1" s="35"/>
      <c r="AFI1" s="35"/>
      <c r="AFJ1" s="35"/>
      <c r="AFK1" s="35"/>
      <c r="AFL1" s="35"/>
      <c r="AFM1" s="35"/>
      <c r="AFN1" s="35"/>
      <c r="AFO1" s="35"/>
      <c r="AFP1" s="35"/>
      <c r="AFQ1" s="35"/>
      <c r="AFR1" s="35"/>
      <c r="AFS1" s="35"/>
      <c r="AFT1" s="35"/>
      <c r="AFU1" s="35"/>
      <c r="AFV1" s="35"/>
      <c r="AFW1" s="35"/>
      <c r="AFX1" s="35"/>
      <c r="AFY1" s="35"/>
      <c r="AFZ1" s="35"/>
      <c r="AGA1" s="35"/>
      <c r="AGB1" s="35"/>
      <c r="AGC1" s="35"/>
      <c r="AGD1" s="35"/>
      <c r="AGE1" s="35"/>
      <c r="AGF1" s="35"/>
      <c r="AGG1" s="35"/>
      <c r="AGH1" s="35"/>
      <c r="AGI1" s="35"/>
      <c r="AGJ1" s="35"/>
      <c r="AGK1" s="35"/>
      <c r="AGL1" s="35"/>
      <c r="AGM1" s="35"/>
      <c r="AGN1" s="35"/>
      <c r="AGO1" s="35"/>
      <c r="AGP1" s="35"/>
      <c r="AGQ1" s="35"/>
      <c r="AGR1" s="35"/>
      <c r="AGS1" s="35"/>
      <c r="AGT1" s="35"/>
      <c r="AGU1" s="35"/>
      <c r="AGV1" s="35"/>
      <c r="AGW1" s="35"/>
      <c r="AGX1" s="35"/>
      <c r="AGY1" s="35"/>
      <c r="AGZ1" s="35"/>
      <c r="AHA1" s="35"/>
      <c r="AHB1" s="35"/>
      <c r="AHC1" s="35"/>
      <c r="AHD1" s="35"/>
      <c r="AHE1" s="35"/>
      <c r="AHF1" s="35"/>
      <c r="AHG1" s="35"/>
      <c r="AHH1" s="35"/>
      <c r="AHI1" s="35"/>
      <c r="AHJ1" s="35"/>
      <c r="AHK1" s="35"/>
      <c r="AHL1" s="35"/>
      <c r="AHM1" s="35"/>
      <c r="AHN1" s="35"/>
      <c r="AHO1" s="35"/>
      <c r="AHP1" s="35"/>
      <c r="AHQ1" s="35"/>
      <c r="AHR1" s="35"/>
      <c r="AHS1" s="35"/>
      <c r="AHT1" s="35"/>
      <c r="AHU1" s="35"/>
      <c r="AHV1" s="35"/>
      <c r="AHW1" s="35"/>
      <c r="AHX1" s="35"/>
      <c r="AHY1" s="35"/>
      <c r="AHZ1" s="35"/>
      <c r="AIA1" s="35"/>
      <c r="AIB1" s="35"/>
      <c r="AIC1" s="35"/>
      <c r="AID1" s="35"/>
      <c r="AIE1" s="35"/>
      <c r="AIF1" s="35"/>
      <c r="AIG1" s="35"/>
      <c r="AIH1" s="35"/>
      <c r="AII1" s="35"/>
      <c r="AIJ1" s="35"/>
      <c r="AIK1" s="35"/>
      <c r="AIL1" s="35"/>
      <c r="AIM1" s="35"/>
      <c r="AIN1" s="35"/>
      <c r="AIO1" s="35"/>
      <c r="AIP1" s="35"/>
      <c r="AIQ1" s="35"/>
      <c r="AIR1" s="35"/>
      <c r="AIS1" s="35"/>
      <c r="AIT1" s="35"/>
      <c r="AIU1" s="35"/>
      <c r="AIV1" s="35"/>
      <c r="AIW1" s="35"/>
      <c r="AIX1" s="35"/>
      <c r="AIY1" s="35"/>
      <c r="AIZ1" s="35"/>
      <c r="AJA1" s="35"/>
      <c r="AJB1" s="35"/>
      <c r="AJC1" s="35"/>
      <c r="AJD1" s="35"/>
      <c r="AJE1" s="35"/>
      <c r="AJF1" s="35"/>
      <c r="AJG1" s="35"/>
      <c r="AJH1" s="35"/>
      <c r="AJI1" s="35"/>
      <c r="AJJ1" s="35"/>
      <c r="AJK1" s="35"/>
      <c r="AJL1" s="35"/>
      <c r="AJM1" s="35"/>
      <c r="AJN1" s="35"/>
      <c r="AJO1" s="35"/>
      <c r="AJP1" s="35"/>
      <c r="AJQ1" s="35"/>
      <c r="AJR1" s="35"/>
      <c r="AJS1" s="35"/>
      <c r="AJT1" s="35"/>
      <c r="AJU1" s="35"/>
      <c r="AJV1" s="35"/>
      <c r="AJW1" s="35"/>
      <c r="AJX1" s="35"/>
      <c r="AJY1" s="35"/>
      <c r="AJZ1" s="35"/>
      <c r="AKA1" s="35"/>
      <c r="AKB1" s="35"/>
      <c r="AKC1" s="35"/>
      <c r="AKD1" s="35"/>
      <c r="AKE1" s="35"/>
      <c r="AKF1" s="35"/>
      <c r="AKG1" s="35"/>
      <c r="AKH1" s="35"/>
      <c r="AKI1" s="35"/>
      <c r="AKJ1" s="35"/>
      <c r="AKK1" s="35"/>
      <c r="AKL1" s="35"/>
      <c r="AKM1" s="35"/>
      <c r="AKN1" s="35"/>
      <c r="AKO1" s="35"/>
      <c r="AKP1" s="35"/>
      <c r="AKQ1" s="35"/>
      <c r="AKR1" s="35"/>
      <c r="AKS1" s="35"/>
      <c r="AKT1" s="35"/>
      <c r="AKU1" s="35"/>
      <c r="AKV1" s="35"/>
      <c r="AKW1" s="35"/>
      <c r="AKX1" s="35"/>
      <c r="AKY1" s="35"/>
      <c r="AKZ1" s="35"/>
      <c r="ALA1" s="35"/>
      <c r="ALB1" s="35"/>
      <c r="ALC1" s="35"/>
      <c r="ALD1" s="35"/>
      <c r="ALE1" s="35"/>
      <c r="ALF1" s="35"/>
      <c r="ALG1" s="35"/>
      <c r="ALH1" s="35"/>
      <c r="ALI1" s="35"/>
      <c r="ALJ1" s="35"/>
      <c r="ALK1" s="35"/>
      <c r="ALL1" s="35"/>
      <c r="ALM1" s="35"/>
      <c r="ALN1" s="35"/>
      <c r="ALO1" s="35"/>
      <c r="ALP1" s="35"/>
      <c r="ALQ1" s="35"/>
      <c r="ALR1" s="35"/>
      <c r="ALS1" s="35"/>
      <c r="ALT1" s="35"/>
      <c r="ALU1" s="35"/>
      <c r="ALV1" s="35"/>
      <c r="ALW1" s="35"/>
      <c r="ALX1" s="35"/>
      <c r="ALY1" s="35"/>
      <c r="ALZ1" s="35"/>
      <c r="AMA1" s="1"/>
      <c r="AMB1" s="1"/>
      <c r="AMC1" s="1"/>
      <c r="AMD1" s="1"/>
      <c r="AME1" s="1"/>
      <c r="AMF1" s="1"/>
      <c r="AMG1" s="1"/>
      <c r="AMH1" s="1"/>
      <c r="AMI1" s="1"/>
      <c r="AMJ1" s="1"/>
    </row>
    <row r="2" customFormat="false" ht="12.8" hidden="false" customHeight="false" outlineLevel="1" collapsed="false">
      <c r="A2" s="31"/>
      <c r="B2" s="33"/>
      <c r="C2" s="33"/>
      <c r="D2" s="33"/>
      <c r="E2" s="34"/>
      <c r="F2" s="34"/>
      <c r="G2" s="83"/>
      <c r="H2" s="83"/>
      <c r="I2" s="83"/>
      <c r="J2" s="72"/>
      <c r="K2" s="127"/>
      <c r="L2" s="33"/>
      <c r="M2" s="72"/>
      <c r="N2" s="31"/>
      <c r="O2" s="31"/>
      <c r="P2" s="31"/>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c r="CF2" s="35"/>
      <c r="CG2" s="35"/>
      <c r="CH2" s="35"/>
      <c r="CI2" s="35"/>
      <c r="CJ2" s="35"/>
      <c r="CK2" s="35"/>
      <c r="CL2" s="35"/>
      <c r="CM2" s="35"/>
      <c r="CN2" s="35"/>
      <c r="CO2" s="35"/>
      <c r="CP2" s="35"/>
      <c r="CQ2" s="35"/>
      <c r="CR2" s="35"/>
      <c r="CS2" s="35"/>
      <c r="CT2" s="35"/>
      <c r="CU2" s="35"/>
      <c r="CV2" s="35"/>
      <c r="CW2" s="35"/>
      <c r="CX2" s="35"/>
      <c r="CY2" s="35"/>
      <c r="CZ2" s="35"/>
      <c r="DA2" s="35"/>
      <c r="DB2" s="35"/>
      <c r="DC2" s="35"/>
      <c r="DD2" s="35"/>
      <c r="DE2" s="35"/>
      <c r="DF2" s="35"/>
      <c r="DG2" s="35"/>
      <c r="DH2" s="35"/>
      <c r="DI2" s="35"/>
      <c r="DJ2" s="35"/>
      <c r="DK2" s="35"/>
      <c r="DL2" s="35"/>
      <c r="DM2" s="35"/>
      <c r="DN2" s="35"/>
      <c r="DO2" s="35"/>
      <c r="DP2" s="35"/>
      <c r="DQ2" s="35"/>
      <c r="DR2" s="35"/>
      <c r="DS2" s="35"/>
      <c r="DT2" s="35"/>
      <c r="DU2" s="35"/>
      <c r="DV2" s="35"/>
      <c r="DW2" s="35"/>
      <c r="DX2" s="35"/>
      <c r="DY2" s="35"/>
      <c r="DZ2" s="35"/>
      <c r="EA2" s="35"/>
      <c r="EB2" s="35"/>
      <c r="EC2" s="35"/>
      <c r="ED2" s="35"/>
      <c r="EE2" s="35"/>
      <c r="EF2" s="35"/>
      <c r="EG2" s="35"/>
      <c r="EH2" s="35"/>
      <c r="EI2" s="35"/>
      <c r="EJ2" s="35"/>
      <c r="EK2" s="35"/>
      <c r="EL2" s="35"/>
      <c r="EM2" s="35"/>
      <c r="EN2" s="35"/>
      <c r="EO2" s="35"/>
      <c r="EP2" s="35"/>
      <c r="EQ2" s="35"/>
      <c r="ER2" s="35"/>
      <c r="ES2" s="35"/>
      <c r="ET2" s="35"/>
      <c r="EU2" s="35"/>
      <c r="EV2" s="35"/>
      <c r="EW2" s="35"/>
      <c r="EX2" s="35"/>
      <c r="EY2" s="35"/>
      <c r="EZ2" s="35"/>
      <c r="FA2" s="35"/>
      <c r="FB2" s="35"/>
      <c r="FC2" s="35"/>
      <c r="FD2" s="35"/>
      <c r="FE2" s="35"/>
      <c r="FF2" s="35"/>
      <c r="FG2" s="35"/>
      <c r="FH2" s="35"/>
      <c r="FI2" s="35"/>
      <c r="FJ2" s="35"/>
      <c r="FK2" s="35"/>
      <c r="FL2" s="35"/>
      <c r="FM2" s="35"/>
      <c r="FN2" s="35"/>
      <c r="FO2" s="35"/>
      <c r="FP2" s="35"/>
      <c r="FQ2" s="35"/>
      <c r="FR2" s="35"/>
      <c r="FS2" s="35"/>
      <c r="FT2" s="35"/>
      <c r="FU2" s="35"/>
      <c r="FV2" s="35"/>
      <c r="FW2" s="35"/>
      <c r="FX2" s="35"/>
      <c r="FY2" s="35"/>
      <c r="FZ2" s="35"/>
      <c r="GA2" s="35"/>
      <c r="GB2" s="35"/>
      <c r="GC2" s="35"/>
      <c r="GD2" s="35"/>
      <c r="GE2" s="35"/>
      <c r="GF2" s="35"/>
      <c r="GG2" s="35"/>
      <c r="GH2" s="35"/>
      <c r="GI2" s="35"/>
      <c r="GJ2" s="35"/>
      <c r="GK2" s="35"/>
      <c r="GL2" s="35"/>
      <c r="GM2" s="35"/>
      <c r="GN2" s="35"/>
      <c r="GO2" s="35"/>
      <c r="GP2" s="35"/>
      <c r="GQ2" s="35"/>
      <c r="GR2" s="35"/>
      <c r="GS2" s="35"/>
      <c r="GT2" s="35"/>
      <c r="GU2" s="35"/>
      <c r="GV2" s="35"/>
      <c r="GW2" s="35"/>
      <c r="GX2" s="35"/>
      <c r="GY2" s="35"/>
      <c r="GZ2" s="35"/>
      <c r="HA2" s="35"/>
      <c r="HB2" s="35"/>
      <c r="HC2" s="35"/>
      <c r="HD2" s="35"/>
      <c r="HE2" s="35"/>
      <c r="HF2" s="35"/>
      <c r="HG2" s="35"/>
      <c r="HH2" s="35"/>
      <c r="HI2" s="35"/>
      <c r="HJ2" s="35"/>
      <c r="HK2" s="35"/>
      <c r="HL2" s="35"/>
      <c r="HM2" s="35"/>
      <c r="HN2" s="35"/>
      <c r="HO2" s="35"/>
      <c r="HP2" s="35"/>
      <c r="HQ2" s="35"/>
      <c r="HR2" s="35"/>
      <c r="HS2" s="35"/>
      <c r="HT2" s="35"/>
      <c r="HU2" s="35"/>
      <c r="HV2" s="35"/>
      <c r="HW2" s="35"/>
      <c r="HX2" s="35"/>
      <c r="HY2" s="35"/>
      <c r="HZ2" s="35"/>
      <c r="IA2" s="35"/>
      <c r="IB2" s="35"/>
      <c r="IC2" s="35"/>
      <c r="ID2" s="35"/>
      <c r="IE2" s="35"/>
      <c r="IF2" s="35"/>
      <c r="IG2" s="35"/>
      <c r="IH2" s="35"/>
      <c r="II2" s="35"/>
      <c r="IJ2" s="35"/>
      <c r="IK2" s="35"/>
      <c r="IL2" s="35"/>
      <c r="IM2" s="35"/>
      <c r="IN2" s="35"/>
      <c r="IO2" s="35"/>
      <c r="IP2" s="35"/>
      <c r="IQ2" s="35"/>
      <c r="IR2" s="35"/>
      <c r="IS2" s="35"/>
      <c r="IT2" s="35"/>
      <c r="IU2" s="35"/>
      <c r="IV2" s="35"/>
      <c r="IW2" s="35"/>
      <c r="IX2" s="35"/>
      <c r="IY2" s="35"/>
      <c r="IZ2" s="35"/>
      <c r="JA2" s="35"/>
      <c r="JB2" s="35"/>
      <c r="JC2" s="35"/>
      <c r="JD2" s="35"/>
      <c r="JE2" s="35"/>
      <c r="JF2" s="35"/>
      <c r="JG2" s="35"/>
      <c r="JH2" s="35"/>
      <c r="JI2" s="35"/>
      <c r="JJ2" s="35"/>
      <c r="JK2" s="35"/>
      <c r="JL2" s="35"/>
      <c r="JM2" s="35"/>
      <c r="JN2" s="35"/>
      <c r="JO2" s="35"/>
      <c r="JP2" s="35"/>
      <c r="JQ2" s="35"/>
      <c r="JR2" s="35"/>
      <c r="JS2" s="35"/>
      <c r="JT2" s="35"/>
      <c r="JU2" s="35"/>
      <c r="JV2" s="35"/>
      <c r="JW2" s="35"/>
      <c r="JX2" s="35"/>
      <c r="JY2" s="35"/>
      <c r="JZ2" s="35"/>
      <c r="KA2" s="35"/>
      <c r="KB2" s="35"/>
      <c r="KC2" s="35"/>
      <c r="KD2" s="35"/>
      <c r="KE2" s="35"/>
      <c r="KF2" s="35"/>
      <c r="KG2" s="35"/>
      <c r="KH2" s="35"/>
      <c r="KI2" s="35"/>
      <c r="KJ2" s="35"/>
      <c r="KK2" s="35"/>
      <c r="KL2" s="35"/>
      <c r="KM2" s="35"/>
      <c r="KN2" s="35"/>
      <c r="KO2" s="35"/>
      <c r="KP2" s="35"/>
      <c r="KQ2" s="35"/>
      <c r="KR2" s="35"/>
      <c r="KS2" s="35"/>
      <c r="KT2" s="35"/>
      <c r="KU2" s="35"/>
      <c r="KV2" s="35"/>
      <c r="KW2" s="35"/>
      <c r="KX2" s="35"/>
      <c r="KY2" s="35"/>
      <c r="KZ2" s="35"/>
      <c r="LA2" s="35"/>
      <c r="LB2" s="35"/>
      <c r="LC2" s="35"/>
      <c r="LD2" s="35"/>
      <c r="LE2" s="35"/>
      <c r="LF2" s="35"/>
      <c r="LG2" s="35"/>
      <c r="LH2" s="35"/>
      <c r="LI2" s="35"/>
      <c r="LJ2" s="35"/>
      <c r="LK2" s="35"/>
      <c r="LL2" s="35"/>
      <c r="LM2" s="35"/>
      <c r="LN2" s="35"/>
      <c r="LO2" s="35"/>
      <c r="LP2" s="35"/>
      <c r="LQ2" s="35"/>
      <c r="LR2" s="35"/>
      <c r="LS2" s="35"/>
      <c r="LT2" s="35"/>
      <c r="LU2" s="35"/>
      <c r="LV2" s="35"/>
      <c r="LW2" s="35"/>
      <c r="LX2" s="35"/>
      <c r="LY2" s="35"/>
      <c r="LZ2" s="35"/>
      <c r="MA2" s="35"/>
      <c r="MB2" s="35"/>
      <c r="MC2" s="35"/>
      <c r="MD2" s="35"/>
      <c r="ME2" s="35"/>
      <c r="MF2" s="35"/>
      <c r="MG2" s="35"/>
      <c r="MH2" s="35"/>
      <c r="MI2" s="35"/>
      <c r="MJ2" s="35"/>
      <c r="MK2" s="35"/>
      <c r="ML2" s="35"/>
      <c r="MM2" s="35"/>
      <c r="MN2" s="35"/>
      <c r="MO2" s="35"/>
      <c r="MP2" s="35"/>
      <c r="MQ2" s="35"/>
      <c r="MR2" s="35"/>
      <c r="MS2" s="35"/>
      <c r="MT2" s="35"/>
      <c r="MU2" s="35"/>
      <c r="MV2" s="35"/>
      <c r="MW2" s="35"/>
      <c r="MX2" s="35"/>
      <c r="MY2" s="35"/>
      <c r="MZ2" s="35"/>
      <c r="NA2" s="35"/>
      <c r="NB2" s="35"/>
      <c r="NC2" s="35"/>
      <c r="ND2" s="35"/>
      <c r="NE2" s="35"/>
      <c r="NF2" s="35"/>
      <c r="NG2" s="35"/>
      <c r="NH2" s="35"/>
      <c r="NI2" s="35"/>
      <c r="NJ2" s="35"/>
      <c r="NK2" s="35"/>
      <c r="NL2" s="35"/>
      <c r="NM2" s="35"/>
      <c r="NN2" s="35"/>
      <c r="NO2" s="35"/>
      <c r="NP2" s="35"/>
      <c r="NQ2" s="35"/>
      <c r="NR2" s="35"/>
      <c r="NS2" s="35"/>
      <c r="NT2" s="35"/>
      <c r="NU2" s="35"/>
      <c r="NV2" s="35"/>
      <c r="NW2" s="35"/>
      <c r="NX2" s="35"/>
      <c r="NY2" s="35"/>
      <c r="NZ2" s="35"/>
      <c r="OA2" s="35"/>
      <c r="OB2" s="35"/>
      <c r="OC2" s="35"/>
      <c r="OD2" s="35"/>
      <c r="OE2" s="35"/>
      <c r="OF2" s="35"/>
      <c r="OG2" s="35"/>
      <c r="OH2" s="35"/>
      <c r="OI2" s="35"/>
      <c r="OJ2" s="35"/>
      <c r="OK2" s="35"/>
      <c r="OL2" s="35"/>
      <c r="OM2" s="35"/>
      <c r="ON2" s="35"/>
      <c r="OO2" s="35"/>
      <c r="OP2" s="35"/>
      <c r="OQ2" s="35"/>
      <c r="OR2" s="35"/>
      <c r="OS2" s="35"/>
      <c r="OT2" s="35"/>
      <c r="OU2" s="35"/>
      <c r="OV2" s="35"/>
      <c r="OW2" s="35"/>
      <c r="OX2" s="35"/>
      <c r="OY2" s="35"/>
      <c r="OZ2" s="35"/>
      <c r="PA2" s="35"/>
      <c r="PB2" s="35"/>
      <c r="PC2" s="35"/>
      <c r="PD2" s="35"/>
      <c r="PE2" s="35"/>
      <c r="PF2" s="35"/>
      <c r="PG2" s="35"/>
      <c r="PH2" s="35"/>
      <c r="PI2" s="35"/>
      <c r="PJ2" s="35"/>
      <c r="PK2" s="35"/>
      <c r="PL2" s="35"/>
      <c r="PM2" s="35"/>
      <c r="PN2" s="35"/>
      <c r="PO2" s="35"/>
      <c r="PP2" s="35"/>
      <c r="PQ2" s="35"/>
      <c r="PR2" s="35"/>
      <c r="PS2" s="35"/>
      <c r="PT2" s="35"/>
      <c r="PU2" s="35"/>
      <c r="PV2" s="35"/>
      <c r="PW2" s="35"/>
      <c r="PX2" s="35"/>
      <c r="PY2" s="35"/>
      <c r="PZ2" s="35"/>
      <c r="QA2" s="35"/>
      <c r="QB2" s="35"/>
      <c r="QC2" s="35"/>
      <c r="QD2" s="35"/>
      <c r="QE2" s="35"/>
      <c r="QF2" s="35"/>
      <c r="QG2" s="35"/>
      <c r="QH2" s="35"/>
      <c r="QI2" s="35"/>
      <c r="QJ2" s="35"/>
      <c r="QK2" s="35"/>
      <c r="QL2" s="35"/>
      <c r="QM2" s="35"/>
      <c r="QN2" s="35"/>
      <c r="QO2" s="35"/>
      <c r="QP2" s="35"/>
      <c r="QQ2" s="35"/>
      <c r="QR2" s="35"/>
      <c r="QS2" s="35"/>
      <c r="QT2" s="35"/>
      <c r="QU2" s="35"/>
      <c r="QV2" s="35"/>
      <c r="QW2" s="35"/>
      <c r="QX2" s="35"/>
      <c r="QY2" s="35"/>
      <c r="QZ2" s="35"/>
      <c r="RA2" s="35"/>
      <c r="RB2" s="35"/>
      <c r="RC2" s="35"/>
      <c r="RD2" s="35"/>
      <c r="RE2" s="35"/>
      <c r="RF2" s="35"/>
      <c r="RG2" s="35"/>
      <c r="RH2" s="35"/>
      <c r="RI2" s="35"/>
      <c r="RJ2" s="35"/>
      <c r="RK2" s="35"/>
      <c r="RL2" s="35"/>
      <c r="RM2" s="35"/>
      <c r="RN2" s="35"/>
      <c r="RO2" s="35"/>
      <c r="RP2" s="35"/>
      <c r="RQ2" s="35"/>
      <c r="RR2" s="35"/>
      <c r="RS2" s="35"/>
      <c r="RT2" s="35"/>
      <c r="RU2" s="35"/>
      <c r="RV2" s="35"/>
      <c r="RW2" s="35"/>
      <c r="RX2" s="35"/>
      <c r="RY2" s="35"/>
      <c r="RZ2" s="35"/>
      <c r="SA2" s="35"/>
      <c r="SB2" s="35"/>
      <c r="SC2" s="35"/>
      <c r="SD2" s="35"/>
      <c r="SE2" s="35"/>
      <c r="SF2" s="35"/>
      <c r="SG2" s="35"/>
      <c r="SH2" s="35"/>
      <c r="SI2" s="35"/>
      <c r="SJ2" s="35"/>
      <c r="SK2" s="35"/>
      <c r="SL2" s="35"/>
      <c r="SM2" s="35"/>
      <c r="SN2" s="35"/>
      <c r="SO2" s="35"/>
      <c r="SP2" s="35"/>
      <c r="SQ2" s="35"/>
      <c r="SR2" s="35"/>
      <c r="SS2" s="35"/>
      <c r="ST2" s="35"/>
      <c r="SU2" s="35"/>
      <c r="SV2" s="35"/>
      <c r="SW2" s="35"/>
      <c r="SX2" s="35"/>
      <c r="SY2" s="35"/>
      <c r="SZ2" s="35"/>
      <c r="TA2" s="35"/>
      <c r="TB2" s="35"/>
      <c r="TC2" s="35"/>
      <c r="TD2" s="35"/>
      <c r="TE2" s="35"/>
      <c r="TF2" s="35"/>
      <c r="TG2" s="35"/>
      <c r="TH2" s="35"/>
      <c r="TI2" s="35"/>
      <c r="TJ2" s="35"/>
      <c r="TK2" s="35"/>
      <c r="TL2" s="35"/>
      <c r="TM2" s="35"/>
      <c r="TN2" s="35"/>
      <c r="TO2" s="35"/>
      <c r="TP2" s="35"/>
      <c r="TQ2" s="35"/>
      <c r="TR2" s="35"/>
      <c r="TS2" s="35"/>
      <c r="TT2" s="35"/>
      <c r="TU2" s="35"/>
      <c r="TV2" s="35"/>
      <c r="TW2" s="35"/>
      <c r="TX2" s="35"/>
      <c r="TY2" s="35"/>
      <c r="TZ2" s="35"/>
      <c r="UA2" s="35"/>
      <c r="UB2" s="35"/>
      <c r="UC2" s="35"/>
      <c r="UD2" s="35"/>
      <c r="UE2" s="35"/>
      <c r="UF2" s="35"/>
      <c r="UG2" s="35"/>
      <c r="UH2" s="35"/>
      <c r="UI2" s="35"/>
      <c r="UJ2" s="35"/>
      <c r="UK2" s="35"/>
      <c r="UL2" s="35"/>
      <c r="UM2" s="35"/>
      <c r="UN2" s="35"/>
      <c r="UO2" s="35"/>
      <c r="UP2" s="35"/>
      <c r="UQ2" s="35"/>
      <c r="UR2" s="35"/>
      <c r="US2" s="35"/>
      <c r="UT2" s="35"/>
      <c r="UU2" s="35"/>
      <c r="UV2" s="35"/>
      <c r="UW2" s="35"/>
      <c r="UX2" s="35"/>
      <c r="UY2" s="35"/>
      <c r="UZ2" s="35"/>
      <c r="VA2" s="35"/>
      <c r="VB2" s="35"/>
      <c r="VC2" s="35"/>
      <c r="VD2" s="35"/>
      <c r="VE2" s="35"/>
      <c r="VF2" s="35"/>
      <c r="VG2" s="35"/>
      <c r="VH2" s="35"/>
      <c r="VI2" s="35"/>
      <c r="VJ2" s="35"/>
      <c r="VK2" s="35"/>
      <c r="VL2" s="35"/>
      <c r="VM2" s="35"/>
      <c r="VN2" s="35"/>
      <c r="VO2" s="35"/>
      <c r="VP2" s="35"/>
      <c r="VQ2" s="35"/>
      <c r="VR2" s="35"/>
      <c r="VS2" s="35"/>
      <c r="VT2" s="35"/>
      <c r="VU2" s="35"/>
      <c r="VV2" s="35"/>
      <c r="VW2" s="35"/>
      <c r="VX2" s="35"/>
      <c r="VY2" s="35"/>
      <c r="VZ2" s="35"/>
      <c r="WA2" s="35"/>
      <c r="WB2" s="35"/>
      <c r="WC2" s="35"/>
      <c r="WD2" s="35"/>
      <c r="WE2" s="35"/>
      <c r="WF2" s="35"/>
      <c r="WG2" s="35"/>
      <c r="WH2" s="35"/>
      <c r="WI2" s="35"/>
      <c r="WJ2" s="35"/>
      <c r="WK2" s="35"/>
      <c r="WL2" s="35"/>
      <c r="WM2" s="35"/>
      <c r="WN2" s="35"/>
      <c r="WO2" s="35"/>
      <c r="WP2" s="35"/>
      <c r="WQ2" s="35"/>
      <c r="WR2" s="35"/>
      <c r="WS2" s="35"/>
      <c r="WT2" s="35"/>
      <c r="WU2" s="35"/>
      <c r="WV2" s="35"/>
      <c r="WW2" s="35"/>
      <c r="WX2" s="35"/>
      <c r="WY2" s="35"/>
      <c r="WZ2" s="35"/>
      <c r="XA2" s="35"/>
      <c r="XB2" s="35"/>
      <c r="XC2" s="35"/>
      <c r="XD2" s="35"/>
      <c r="XE2" s="35"/>
      <c r="XF2" s="35"/>
      <c r="XG2" s="35"/>
      <c r="XH2" s="35"/>
      <c r="XI2" s="35"/>
      <c r="XJ2" s="35"/>
      <c r="XK2" s="35"/>
      <c r="XL2" s="35"/>
      <c r="XM2" s="35"/>
      <c r="XN2" s="35"/>
      <c r="XO2" s="35"/>
      <c r="XP2" s="35"/>
      <c r="XQ2" s="35"/>
      <c r="XR2" s="35"/>
      <c r="XS2" s="35"/>
      <c r="XT2" s="35"/>
      <c r="XU2" s="35"/>
      <c r="XV2" s="35"/>
      <c r="XW2" s="35"/>
      <c r="XX2" s="35"/>
      <c r="XY2" s="35"/>
      <c r="XZ2" s="35"/>
      <c r="YA2" s="35"/>
      <c r="YB2" s="35"/>
      <c r="YC2" s="35"/>
      <c r="YD2" s="35"/>
      <c r="YE2" s="35"/>
      <c r="YF2" s="35"/>
      <c r="YG2" s="35"/>
      <c r="YH2" s="35"/>
      <c r="YI2" s="35"/>
      <c r="YJ2" s="35"/>
      <c r="YK2" s="35"/>
      <c r="YL2" s="35"/>
      <c r="YM2" s="35"/>
      <c r="YN2" s="35"/>
      <c r="YO2" s="35"/>
      <c r="YP2" s="35"/>
      <c r="YQ2" s="35"/>
      <c r="YR2" s="35"/>
      <c r="YS2" s="35"/>
      <c r="YT2" s="35"/>
      <c r="YU2" s="35"/>
      <c r="YV2" s="35"/>
      <c r="YW2" s="35"/>
      <c r="YX2" s="35"/>
      <c r="YY2" s="35"/>
      <c r="YZ2" s="35"/>
      <c r="ZA2" s="35"/>
      <c r="ZB2" s="35"/>
      <c r="ZC2" s="35"/>
      <c r="ZD2" s="35"/>
      <c r="ZE2" s="35"/>
      <c r="ZF2" s="35"/>
      <c r="ZG2" s="35"/>
      <c r="ZH2" s="35"/>
      <c r="ZI2" s="35"/>
      <c r="ZJ2" s="35"/>
      <c r="ZK2" s="35"/>
      <c r="ZL2" s="35"/>
      <c r="ZM2" s="35"/>
      <c r="ZN2" s="35"/>
      <c r="ZO2" s="35"/>
      <c r="ZP2" s="35"/>
      <c r="ZQ2" s="35"/>
      <c r="ZR2" s="35"/>
      <c r="ZS2" s="35"/>
      <c r="ZT2" s="35"/>
      <c r="ZU2" s="35"/>
      <c r="ZV2" s="35"/>
      <c r="ZW2" s="35"/>
      <c r="ZX2" s="35"/>
      <c r="ZY2" s="35"/>
      <c r="ZZ2" s="35"/>
      <c r="AAA2" s="35"/>
      <c r="AAB2" s="35"/>
      <c r="AAC2" s="35"/>
      <c r="AAD2" s="35"/>
      <c r="AAE2" s="35"/>
      <c r="AAF2" s="35"/>
      <c r="AAG2" s="35"/>
      <c r="AAH2" s="35"/>
      <c r="AAI2" s="35"/>
      <c r="AAJ2" s="35"/>
      <c r="AAK2" s="35"/>
      <c r="AAL2" s="35"/>
      <c r="AAM2" s="35"/>
      <c r="AAN2" s="35"/>
      <c r="AAO2" s="35"/>
      <c r="AAP2" s="35"/>
      <c r="AAQ2" s="35"/>
      <c r="AAR2" s="35"/>
      <c r="AAS2" s="35"/>
      <c r="AAT2" s="35"/>
      <c r="AAU2" s="35"/>
      <c r="AAV2" s="35"/>
      <c r="AAW2" s="35"/>
      <c r="AAX2" s="35"/>
      <c r="AAY2" s="35"/>
      <c r="AAZ2" s="35"/>
      <c r="ABA2" s="35"/>
      <c r="ABB2" s="35"/>
      <c r="ABC2" s="35"/>
      <c r="ABD2" s="35"/>
      <c r="ABE2" s="35"/>
      <c r="ABF2" s="35"/>
      <c r="ABG2" s="35"/>
      <c r="ABH2" s="35"/>
      <c r="ABI2" s="35"/>
      <c r="ABJ2" s="35"/>
      <c r="ABK2" s="35"/>
      <c r="ABL2" s="35"/>
      <c r="ABM2" s="35"/>
      <c r="ABN2" s="35"/>
      <c r="ABO2" s="35"/>
      <c r="ABP2" s="35"/>
      <c r="ABQ2" s="35"/>
      <c r="ABR2" s="35"/>
      <c r="ABS2" s="35"/>
      <c r="ABT2" s="35"/>
      <c r="ABU2" s="35"/>
      <c r="ABV2" s="35"/>
      <c r="ABW2" s="35"/>
      <c r="ABX2" s="35"/>
      <c r="ABY2" s="35"/>
      <c r="ABZ2" s="35"/>
      <c r="ACA2" s="35"/>
      <c r="ACB2" s="35"/>
      <c r="ACC2" s="35"/>
      <c r="ACD2" s="35"/>
      <c r="ACE2" s="35"/>
      <c r="ACF2" s="35"/>
      <c r="ACG2" s="35"/>
      <c r="ACH2" s="35"/>
      <c r="ACI2" s="35"/>
      <c r="ACJ2" s="35"/>
      <c r="ACK2" s="35"/>
      <c r="ACL2" s="35"/>
      <c r="ACM2" s="35"/>
      <c r="ACN2" s="35"/>
      <c r="ACO2" s="35"/>
      <c r="ACP2" s="35"/>
      <c r="ACQ2" s="35"/>
      <c r="ACR2" s="35"/>
      <c r="ACS2" s="35"/>
      <c r="ACT2" s="35"/>
      <c r="ACU2" s="35"/>
      <c r="ACV2" s="35"/>
      <c r="ACW2" s="35"/>
      <c r="ACX2" s="35"/>
      <c r="ACY2" s="35"/>
      <c r="ACZ2" s="35"/>
      <c r="ADA2" s="35"/>
      <c r="ADB2" s="35"/>
      <c r="ADC2" s="35"/>
      <c r="ADD2" s="35"/>
      <c r="ADE2" s="35"/>
      <c r="ADF2" s="35"/>
      <c r="ADG2" s="35"/>
      <c r="ADH2" s="35"/>
      <c r="ADI2" s="35"/>
      <c r="ADJ2" s="35"/>
      <c r="ADK2" s="35"/>
      <c r="ADL2" s="35"/>
      <c r="ADM2" s="35"/>
      <c r="ADN2" s="35"/>
      <c r="ADO2" s="35"/>
      <c r="ADP2" s="35"/>
      <c r="ADQ2" s="35"/>
      <c r="ADR2" s="35"/>
      <c r="ADS2" s="35"/>
      <c r="ADT2" s="35"/>
      <c r="ADU2" s="35"/>
      <c r="ADV2" s="35"/>
      <c r="ADW2" s="35"/>
      <c r="ADX2" s="35"/>
      <c r="ADY2" s="35"/>
      <c r="ADZ2" s="35"/>
      <c r="AEA2" s="35"/>
      <c r="AEB2" s="35"/>
      <c r="AEC2" s="35"/>
      <c r="AED2" s="35"/>
      <c r="AEE2" s="35"/>
      <c r="AEF2" s="35"/>
      <c r="AEG2" s="35"/>
      <c r="AEH2" s="35"/>
      <c r="AEI2" s="35"/>
      <c r="AEJ2" s="35"/>
      <c r="AEK2" s="35"/>
      <c r="AEL2" s="35"/>
      <c r="AEM2" s="35"/>
      <c r="AEN2" s="35"/>
      <c r="AEO2" s="35"/>
      <c r="AEP2" s="35"/>
      <c r="AEQ2" s="35"/>
      <c r="AER2" s="35"/>
      <c r="AES2" s="35"/>
      <c r="AET2" s="35"/>
      <c r="AEU2" s="35"/>
      <c r="AEV2" s="35"/>
      <c r="AEW2" s="35"/>
      <c r="AEX2" s="35"/>
      <c r="AEY2" s="35"/>
      <c r="AEZ2" s="35"/>
      <c r="AFA2" s="35"/>
      <c r="AFB2" s="35"/>
      <c r="AFC2" s="35"/>
      <c r="AFD2" s="35"/>
      <c r="AFE2" s="35"/>
      <c r="AFF2" s="35"/>
      <c r="AFG2" s="35"/>
      <c r="AFH2" s="35"/>
      <c r="AFI2" s="35"/>
      <c r="AFJ2" s="35"/>
      <c r="AFK2" s="35"/>
      <c r="AFL2" s="35"/>
      <c r="AFM2" s="35"/>
      <c r="AFN2" s="35"/>
      <c r="AFO2" s="35"/>
      <c r="AFP2" s="35"/>
      <c r="AFQ2" s="35"/>
      <c r="AFR2" s="35"/>
      <c r="AFS2" s="35"/>
      <c r="AFT2" s="35"/>
      <c r="AFU2" s="35"/>
      <c r="AFV2" s="35"/>
      <c r="AFW2" s="35"/>
      <c r="AFX2" s="35"/>
      <c r="AFY2" s="35"/>
      <c r="AFZ2" s="35"/>
      <c r="AGA2" s="35"/>
      <c r="AGB2" s="35"/>
      <c r="AGC2" s="35"/>
      <c r="AGD2" s="35"/>
      <c r="AGE2" s="35"/>
      <c r="AGF2" s="35"/>
      <c r="AGG2" s="35"/>
      <c r="AGH2" s="35"/>
      <c r="AGI2" s="35"/>
      <c r="AGJ2" s="35"/>
      <c r="AGK2" s="35"/>
      <c r="AGL2" s="35"/>
      <c r="AGM2" s="35"/>
      <c r="AGN2" s="35"/>
      <c r="AGO2" s="35"/>
      <c r="AGP2" s="35"/>
      <c r="AGQ2" s="35"/>
      <c r="AGR2" s="35"/>
      <c r="AGS2" s="35"/>
      <c r="AGT2" s="35"/>
      <c r="AGU2" s="35"/>
      <c r="AGV2" s="35"/>
      <c r="AGW2" s="35"/>
      <c r="AGX2" s="35"/>
      <c r="AGY2" s="35"/>
      <c r="AGZ2" s="35"/>
      <c r="AHA2" s="35"/>
      <c r="AHB2" s="35"/>
      <c r="AHC2" s="35"/>
      <c r="AHD2" s="35"/>
      <c r="AHE2" s="35"/>
      <c r="AHF2" s="35"/>
      <c r="AHG2" s="35"/>
      <c r="AHH2" s="35"/>
      <c r="AHI2" s="35"/>
      <c r="AHJ2" s="35"/>
      <c r="AHK2" s="35"/>
      <c r="AHL2" s="35"/>
      <c r="AHM2" s="35"/>
      <c r="AHN2" s="35"/>
      <c r="AHO2" s="35"/>
      <c r="AHP2" s="35"/>
      <c r="AHQ2" s="35"/>
      <c r="AHR2" s="35"/>
      <c r="AHS2" s="35"/>
      <c r="AHT2" s="35"/>
      <c r="AHU2" s="35"/>
      <c r="AHV2" s="35"/>
      <c r="AHW2" s="35"/>
      <c r="AHX2" s="35"/>
      <c r="AHY2" s="35"/>
      <c r="AHZ2" s="35"/>
      <c r="AIA2" s="35"/>
      <c r="AIB2" s="35"/>
      <c r="AIC2" s="35"/>
      <c r="AID2" s="35"/>
      <c r="AIE2" s="35"/>
      <c r="AIF2" s="35"/>
      <c r="AIG2" s="35"/>
      <c r="AIH2" s="35"/>
      <c r="AII2" s="35"/>
      <c r="AIJ2" s="35"/>
      <c r="AIK2" s="35"/>
      <c r="AIL2" s="35"/>
      <c r="AIM2" s="35"/>
      <c r="AIN2" s="35"/>
      <c r="AIO2" s="35"/>
      <c r="AIP2" s="35"/>
      <c r="AIQ2" s="35"/>
      <c r="AIR2" s="35"/>
      <c r="AIS2" s="35"/>
      <c r="AIT2" s="35"/>
      <c r="AIU2" s="35"/>
      <c r="AIV2" s="35"/>
      <c r="AIW2" s="35"/>
      <c r="AIX2" s="35"/>
      <c r="AIY2" s="35"/>
      <c r="AIZ2" s="35"/>
      <c r="AJA2" s="35"/>
      <c r="AJB2" s="35"/>
      <c r="AJC2" s="35"/>
      <c r="AJD2" s="35"/>
      <c r="AJE2" s="35"/>
      <c r="AJF2" s="35"/>
      <c r="AJG2" s="35"/>
      <c r="AJH2" s="35"/>
      <c r="AJI2" s="35"/>
      <c r="AJJ2" s="35"/>
      <c r="AJK2" s="35"/>
      <c r="AJL2" s="35"/>
      <c r="AJM2" s="35"/>
      <c r="AJN2" s="35"/>
      <c r="AJO2" s="35"/>
      <c r="AJP2" s="35"/>
      <c r="AJQ2" s="35"/>
      <c r="AJR2" s="35"/>
      <c r="AJS2" s="35"/>
      <c r="AJT2" s="35"/>
      <c r="AJU2" s="35"/>
      <c r="AJV2" s="35"/>
      <c r="AJW2" s="35"/>
      <c r="AJX2" s="35"/>
      <c r="AJY2" s="35"/>
      <c r="AJZ2" s="35"/>
      <c r="AKA2" s="35"/>
      <c r="AKB2" s="35"/>
      <c r="AKC2" s="35"/>
      <c r="AKD2" s="35"/>
      <c r="AKE2" s="35"/>
      <c r="AKF2" s="35"/>
      <c r="AKG2" s="35"/>
      <c r="AKH2" s="35"/>
      <c r="AKI2" s="35"/>
      <c r="AKJ2" s="35"/>
      <c r="AKK2" s="35"/>
      <c r="AKL2" s="35"/>
      <c r="AKM2" s="35"/>
      <c r="AKN2" s="35"/>
      <c r="AKO2" s="35"/>
      <c r="AKP2" s="35"/>
      <c r="AKQ2" s="35"/>
      <c r="AKR2" s="35"/>
      <c r="AKS2" s="35"/>
      <c r="AKT2" s="35"/>
      <c r="AKU2" s="35"/>
      <c r="AKV2" s="35"/>
      <c r="AKW2" s="35"/>
      <c r="AKX2" s="35"/>
      <c r="AKY2" s="35"/>
      <c r="AKZ2" s="35"/>
      <c r="ALA2" s="35"/>
      <c r="ALB2" s="35"/>
      <c r="ALC2" s="35"/>
      <c r="ALD2" s="35"/>
      <c r="ALE2" s="35"/>
      <c r="ALF2" s="35"/>
      <c r="ALG2" s="35"/>
      <c r="ALH2" s="35"/>
      <c r="ALI2" s="35"/>
      <c r="ALJ2" s="35"/>
      <c r="ALK2" s="35"/>
      <c r="ALL2" s="35"/>
      <c r="ALM2" s="35"/>
      <c r="ALN2" s="35"/>
      <c r="ALO2" s="35"/>
      <c r="ALP2" s="35"/>
      <c r="ALQ2" s="35"/>
      <c r="ALR2" s="35"/>
      <c r="ALS2" s="35"/>
      <c r="ALT2" s="35"/>
      <c r="ALU2" s="35"/>
      <c r="ALV2" s="35"/>
      <c r="ALW2" s="35"/>
      <c r="ALX2" s="35"/>
      <c r="ALY2" s="35"/>
      <c r="ALZ2" s="35"/>
      <c r="AMA2" s="1"/>
      <c r="AMB2" s="1"/>
      <c r="AMC2" s="1"/>
      <c r="AMD2" s="1"/>
      <c r="AME2" s="1"/>
      <c r="AMF2" s="1"/>
      <c r="AMG2" s="1"/>
      <c r="AMH2" s="1"/>
      <c r="AMI2" s="1"/>
      <c r="AMJ2" s="1"/>
    </row>
    <row r="3" customFormat="false" ht="23.85" hidden="false" customHeight="false" outlineLevel="0" collapsed="false">
      <c r="A3" s="43" t="s">
        <v>414</v>
      </c>
      <c r="B3" s="45" t="s">
        <v>439</v>
      </c>
      <c r="C3" s="45" t="s">
        <v>905</v>
      </c>
      <c r="D3" s="45" t="s">
        <v>837</v>
      </c>
      <c r="E3" s="48" t="s">
        <v>440</v>
      </c>
      <c r="F3" s="48" t="s">
        <v>601</v>
      </c>
      <c r="G3" s="48" t="s">
        <v>706</v>
      </c>
      <c r="H3" s="45" t="s">
        <v>906</v>
      </c>
      <c r="I3" s="49" t="s">
        <v>907</v>
      </c>
      <c r="J3" s="123" t="s">
        <v>870</v>
      </c>
      <c r="K3" s="128" t="s">
        <v>871</v>
      </c>
      <c r="L3" s="45" t="s">
        <v>851</v>
      </c>
      <c r="M3" s="123" t="s">
        <v>561</v>
      </c>
      <c r="N3" s="43" t="s">
        <v>442</v>
      </c>
      <c r="O3" s="43" t="s">
        <v>443</v>
      </c>
      <c r="P3" s="48" t="s">
        <v>454</v>
      </c>
    </row>
    <row r="4" customFormat="false" ht="9.7" hidden="false" customHeight="true" outlineLevel="0" collapsed="false">
      <c r="A4" s="39" t="str">
        <f aca="false">A3</f>
        <v>A</v>
      </c>
      <c r="B4" s="51" t="str">
        <f aca="false">B3</f>
        <v>Status</v>
      </c>
      <c r="C4" s="51" t="str">
        <f aca="false">C3</f>
        <v>Supplier Type</v>
      </c>
      <c r="D4" s="51" t="str">
        <f aca="false">D3</f>
        <v>Alias</v>
      </c>
      <c r="E4" s="52" t="str">
        <f aca="false">E3</f>
        <v>Name</v>
      </c>
      <c r="F4" s="52" t="str">
        <f aca="false">F3</f>
        <v>Overview</v>
      </c>
      <c r="G4" s="52" t="str">
        <f aca="false">G3</f>
        <v>Link</v>
      </c>
      <c r="H4" s="51" t="str">
        <f aca="false">H3</f>
        <v>Supplier Category</v>
      </c>
      <c r="I4" s="51" t="str">
        <f aca="false">I3</f>
        <v>Contacts</v>
      </c>
      <c r="J4" s="39" t="str">
        <f aca="false">J3</f>
        <v>Output</v>
      </c>
      <c r="K4" s="129" t="str">
        <f aca="false">K3</f>
        <v>Cost</v>
      </c>
      <c r="L4" s="51" t="str">
        <f aca="false">L3</f>
        <v>ID</v>
      </c>
      <c r="M4" s="129" t="str">
        <f aca="false">M3</f>
        <v>Reference</v>
      </c>
      <c r="N4" s="39" t="str">
        <f aca="false">M3</f>
        <v>Reference</v>
      </c>
      <c r="O4" s="39" t="str">
        <f aca="false">O3</f>
        <v>Tasks</v>
      </c>
      <c r="P4" s="52" t="str">
        <f aca="false">P3</f>
        <v>Z</v>
      </c>
    </row>
    <row r="5" customFormat="false" ht="12.8" hidden="false" customHeight="false" outlineLevel="0" collapsed="false">
      <c r="A5" s="54"/>
      <c r="B5" s="60"/>
      <c r="C5" s="62" t="s">
        <v>853</v>
      </c>
      <c r="D5" s="64"/>
      <c r="E5" s="64" t="s">
        <v>877</v>
      </c>
      <c r="F5" s="64" t="s">
        <v>908</v>
      </c>
      <c r="G5" s="64" t="s">
        <v>909</v>
      </c>
      <c r="H5" s="62" t="s">
        <v>876</v>
      </c>
      <c r="I5" s="70" t="s">
        <v>910</v>
      </c>
      <c r="J5" s="63" t="s">
        <v>911</v>
      </c>
      <c r="K5" s="130"/>
      <c r="L5" s="126" t="s">
        <v>25</v>
      </c>
      <c r="M5" s="63" t="s">
        <v>25</v>
      </c>
      <c r="N5" s="54" t="s">
        <v>25</v>
      </c>
      <c r="O5" s="54"/>
      <c r="P5" s="64" t="s">
        <v>364</v>
      </c>
    </row>
    <row r="6" customFormat="false" ht="12.8" hidden="false" customHeight="false" outlineLevel="0" collapsed="false">
      <c r="A6" s="54"/>
      <c r="B6" s="60"/>
      <c r="C6" s="62" t="s">
        <v>853</v>
      </c>
      <c r="D6" s="64"/>
      <c r="E6" s="64" t="s">
        <v>912</v>
      </c>
      <c r="F6" s="64" t="s">
        <v>913</v>
      </c>
      <c r="G6" s="64" t="s">
        <v>914</v>
      </c>
      <c r="H6" s="62" t="s">
        <v>915</v>
      </c>
      <c r="I6" s="70"/>
      <c r="J6" s="63" t="s">
        <v>916</v>
      </c>
      <c r="K6" s="130"/>
      <c r="L6" s="126" t="s">
        <v>25</v>
      </c>
      <c r="M6" s="63" t="s">
        <v>25</v>
      </c>
      <c r="N6" s="54" t="s">
        <v>25</v>
      </c>
      <c r="O6" s="54"/>
      <c r="P6" s="64" t="s">
        <v>364</v>
      </c>
    </row>
    <row r="7" customFormat="false" ht="12.8" hidden="false" customHeight="false" outlineLevel="0" collapsed="false">
      <c r="A7" s="54"/>
      <c r="B7" s="60"/>
      <c r="C7" s="62"/>
      <c r="D7" s="64"/>
      <c r="E7" s="64"/>
      <c r="F7" s="64"/>
      <c r="G7" s="64"/>
      <c r="H7" s="62"/>
      <c r="I7" s="70"/>
      <c r="J7" s="63"/>
      <c r="K7" s="130"/>
      <c r="L7" s="126"/>
      <c r="M7" s="63"/>
      <c r="N7" s="54"/>
      <c r="O7" s="54"/>
      <c r="P7" s="64" t="s">
        <v>364</v>
      </c>
    </row>
    <row r="8" customFormat="false" ht="12.8" hidden="false" customHeight="false" outlineLevel="0" collapsed="false">
      <c r="A8" s="54"/>
      <c r="B8" s="60"/>
      <c r="C8" s="62"/>
      <c r="D8" s="64"/>
      <c r="E8" s="64"/>
      <c r="F8" s="64"/>
      <c r="G8" s="64"/>
      <c r="H8" s="62"/>
      <c r="I8" s="70"/>
      <c r="J8" s="63"/>
      <c r="K8" s="130"/>
      <c r="L8" s="126"/>
      <c r="M8" s="63"/>
      <c r="N8" s="54"/>
      <c r="O8" s="54"/>
      <c r="P8" s="64" t="s">
        <v>364</v>
      </c>
    </row>
    <row r="9" customFormat="false" ht="12.8" hidden="false" customHeight="false" outlineLevel="0" collapsed="false">
      <c r="A9" s="54"/>
      <c r="B9" s="60"/>
      <c r="C9" s="62"/>
      <c r="D9" s="64"/>
      <c r="E9" s="64"/>
      <c r="F9" s="64"/>
      <c r="G9" s="64"/>
      <c r="H9" s="62"/>
      <c r="I9" s="70"/>
      <c r="J9" s="63"/>
      <c r="K9" s="130"/>
      <c r="L9" s="126"/>
      <c r="M9" s="63"/>
      <c r="N9" s="54"/>
      <c r="O9" s="54"/>
      <c r="P9" s="64" t="s">
        <v>364</v>
      </c>
    </row>
    <row r="10" customFormat="false" ht="12.8" hidden="false" customHeight="false" outlineLevel="0" collapsed="false">
      <c r="A10" s="54"/>
      <c r="B10" s="60"/>
      <c r="C10" s="62"/>
      <c r="D10" s="64"/>
      <c r="E10" s="64"/>
      <c r="F10" s="64"/>
      <c r="G10" s="64"/>
      <c r="H10" s="62"/>
      <c r="I10" s="70"/>
      <c r="J10" s="63"/>
      <c r="K10" s="130"/>
      <c r="L10" s="126"/>
      <c r="M10" s="63"/>
      <c r="N10" s="54"/>
      <c r="O10" s="54"/>
      <c r="P10" s="64" t="s">
        <v>364</v>
      </c>
    </row>
    <row r="11" customFormat="false" ht="12.8" hidden="false" customHeight="false" outlineLevel="0" collapsed="false">
      <c r="A11" s="54"/>
      <c r="B11" s="60"/>
      <c r="C11" s="62"/>
      <c r="D11" s="64"/>
      <c r="E11" s="64"/>
      <c r="F11" s="64"/>
      <c r="G11" s="64"/>
      <c r="H11" s="62"/>
      <c r="I11" s="70"/>
      <c r="J11" s="63"/>
      <c r="K11" s="130"/>
      <c r="L11" s="126"/>
      <c r="M11" s="63"/>
      <c r="N11" s="54"/>
      <c r="O11" s="54"/>
      <c r="P11" s="64" t="s">
        <v>364</v>
      </c>
    </row>
    <row r="12" customFormat="false" ht="12.8" hidden="false" customHeight="false" outlineLevel="0" collapsed="false">
      <c r="A12" s="54"/>
      <c r="B12" s="60"/>
      <c r="C12" s="62"/>
      <c r="D12" s="64"/>
      <c r="E12" s="64"/>
      <c r="F12" s="64"/>
      <c r="G12" s="64"/>
      <c r="H12" s="62"/>
      <c r="I12" s="70"/>
      <c r="J12" s="63"/>
      <c r="K12" s="130"/>
      <c r="L12" s="126"/>
      <c r="M12" s="63"/>
      <c r="N12" s="54"/>
      <c r="O12" s="54"/>
      <c r="P12" s="64" t="s">
        <v>364</v>
      </c>
    </row>
    <row r="13" customFormat="false" ht="12.8" hidden="false" customHeight="false" outlineLevel="0" collapsed="false">
      <c r="A13" s="54"/>
      <c r="B13" s="60"/>
      <c r="C13" s="62"/>
      <c r="D13" s="64"/>
      <c r="E13" s="64"/>
      <c r="F13" s="64"/>
      <c r="G13" s="64"/>
      <c r="H13" s="62"/>
      <c r="I13" s="70"/>
      <c r="J13" s="63"/>
      <c r="K13" s="130"/>
      <c r="L13" s="126"/>
      <c r="M13" s="63"/>
      <c r="N13" s="54"/>
      <c r="O13" s="54"/>
      <c r="P13" s="64" t="s">
        <v>364</v>
      </c>
    </row>
    <row r="14" customFormat="false" ht="12.8" hidden="false" customHeight="false" outlineLevel="0" collapsed="false">
      <c r="A14" s="54"/>
      <c r="B14" s="60"/>
      <c r="C14" s="62"/>
      <c r="D14" s="64"/>
      <c r="E14" s="64"/>
      <c r="F14" s="64"/>
      <c r="G14" s="64"/>
      <c r="H14" s="62"/>
      <c r="I14" s="70"/>
      <c r="J14" s="63"/>
      <c r="K14" s="130"/>
      <c r="L14" s="126"/>
      <c r="M14" s="63"/>
      <c r="N14" s="54"/>
      <c r="O14" s="54"/>
      <c r="P14" s="64" t="s">
        <v>364</v>
      </c>
    </row>
    <row r="15" customFormat="false" ht="12.8" hidden="false" customHeight="false" outlineLevel="0" collapsed="false">
      <c r="A15" s="54"/>
      <c r="B15" s="60"/>
      <c r="C15" s="62"/>
      <c r="D15" s="64"/>
      <c r="E15" s="64"/>
      <c r="F15" s="64"/>
      <c r="G15" s="64"/>
      <c r="H15" s="62"/>
      <c r="I15" s="70"/>
      <c r="J15" s="63"/>
      <c r="K15" s="130"/>
      <c r="L15" s="126"/>
      <c r="M15" s="63"/>
      <c r="N15" s="54"/>
      <c r="O15" s="54"/>
      <c r="P15" s="64" t="s">
        <v>364</v>
      </c>
    </row>
    <row r="16" customFormat="false" ht="12.8" hidden="false" customHeight="false" outlineLevel="0" collapsed="false">
      <c r="A16" s="54"/>
      <c r="B16" s="60"/>
      <c r="C16" s="62"/>
      <c r="D16" s="64"/>
      <c r="E16" s="64"/>
      <c r="F16" s="64"/>
      <c r="G16" s="64"/>
      <c r="H16" s="62"/>
      <c r="I16" s="70"/>
      <c r="J16" s="63"/>
      <c r="K16" s="130"/>
      <c r="L16" s="126"/>
      <c r="M16" s="63"/>
      <c r="N16" s="54"/>
      <c r="O16" s="54"/>
      <c r="P16" s="64" t="s">
        <v>364</v>
      </c>
    </row>
    <row r="17" customFormat="false" ht="12.8" hidden="false" customHeight="false" outlineLevel="0" collapsed="false">
      <c r="A17" s="54"/>
      <c r="B17" s="60"/>
      <c r="C17" s="62"/>
      <c r="D17" s="64"/>
      <c r="E17" s="64"/>
      <c r="F17" s="64"/>
      <c r="G17" s="64"/>
      <c r="H17" s="62"/>
      <c r="I17" s="70"/>
      <c r="J17" s="63"/>
      <c r="K17" s="130"/>
      <c r="L17" s="126"/>
      <c r="M17" s="63"/>
      <c r="N17" s="54"/>
      <c r="O17" s="54"/>
      <c r="P17" s="64" t="s">
        <v>364</v>
      </c>
    </row>
    <row r="18" customFormat="false" ht="12.8" hidden="false" customHeight="false" outlineLevel="0" collapsed="false">
      <c r="A18" s="54"/>
      <c r="B18" s="60"/>
      <c r="C18" s="62"/>
      <c r="D18" s="64"/>
      <c r="E18" s="64"/>
      <c r="F18" s="64"/>
      <c r="G18" s="64"/>
      <c r="H18" s="62"/>
      <c r="I18" s="70"/>
      <c r="J18" s="63"/>
      <c r="K18" s="130"/>
      <c r="L18" s="126"/>
      <c r="M18" s="63"/>
      <c r="N18" s="54"/>
      <c r="O18" s="54"/>
      <c r="P18" s="64" t="s">
        <v>364</v>
      </c>
    </row>
    <row r="19" customFormat="false" ht="12.8" hidden="false" customHeight="false" outlineLevel="0" collapsed="false">
      <c r="A19" s="54"/>
      <c r="B19" s="60"/>
      <c r="C19" s="62"/>
      <c r="D19" s="64"/>
      <c r="E19" s="64"/>
      <c r="F19" s="64"/>
      <c r="G19" s="64"/>
      <c r="H19" s="62"/>
      <c r="I19" s="70"/>
      <c r="J19" s="63"/>
      <c r="K19" s="130"/>
      <c r="L19" s="126"/>
      <c r="M19" s="63"/>
      <c r="N19" s="54"/>
      <c r="O19" s="54"/>
      <c r="P19" s="64" t="s">
        <v>364</v>
      </c>
    </row>
    <row r="20" customFormat="false" ht="12.8" hidden="false" customHeight="false" outlineLevel="0" collapsed="false">
      <c r="A20" s="54"/>
      <c r="B20" s="60"/>
      <c r="C20" s="62"/>
      <c r="D20" s="64"/>
      <c r="E20" s="64"/>
      <c r="F20" s="64"/>
      <c r="G20" s="64"/>
      <c r="H20" s="62"/>
      <c r="I20" s="70"/>
      <c r="J20" s="63"/>
      <c r="K20" s="130"/>
      <c r="L20" s="126"/>
      <c r="M20" s="63"/>
      <c r="N20" s="54"/>
      <c r="O20" s="54"/>
      <c r="P20" s="64" t="s">
        <v>364</v>
      </c>
    </row>
    <row r="21" customFormat="false" ht="12.8" hidden="false" customHeight="false" outlineLevel="0" collapsed="false">
      <c r="A21" s="54"/>
      <c r="B21" s="60"/>
      <c r="C21" s="62"/>
      <c r="D21" s="64"/>
      <c r="E21" s="64"/>
      <c r="F21" s="64"/>
      <c r="G21" s="64"/>
      <c r="H21" s="62"/>
      <c r="I21" s="70"/>
      <c r="J21" s="63"/>
      <c r="K21" s="130"/>
      <c r="L21" s="126"/>
      <c r="M21" s="63"/>
      <c r="N21" s="54"/>
      <c r="O21" s="54"/>
      <c r="P21" s="64" t="s">
        <v>364</v>
      </c>
    </row>
    <row r="22" customFormat="false" ht="12.8" hidden="false" customHeight="false" outlineLevel="0" collapsed="false">
      <c r="A22" s="54"/>
      <c r="B22" s="60"/>
      <c r="C22" s="62"/>
      <c r="D22" s="64"/>
      <c r="E22" s="64"/>
      <c r="F22" s="64"/>
      <c r="G22" s="64"/>
      <c r="H22" s="62"/>
      <c r="I22" s="70"/>
      <c r="J22" s="63"/>
      <c r="K22" s="130"/>
      <c r="L22" s="126"/>
      <c r="M22" s="63"/>
      <c r="N22" s="54"/>
      <c r="O22" s="54"/>
      <c r="P22" s="64" t="s">
        <v>364</v>
      </c>
    </row>
    <row r="23" customFormat="false" ht="12.8" hidden="false" customHeight="false" outlineLevel="0" collapsed="false">
      <c r="A23" s="54"/>
      <c r="B23" s="60"/>
      <c r="C23" s="62"/>
      <c r="D23" s="64"/>
      <c r="E23" s="64"/>
      <c r="F23" s="64"/>
      <c r="G23" s="64"/>
      <c r="H23" s="62"/>
      <c r="I23" s="70"/>
      <c r="J23" s="63"/>
      <c r="K23" s="130"/>
      <c r="L23" s="126"/>
      <c r="M23" s="63"/>
      <c r="N23" s="54"/>
      <c r="O23" s="54"/>
      <c r="P23" s="64" t="s">
        <v>364</v>
      </c>
    </row>
    <row r="24" customFormat="false" ht="12.8" hidden="false" customHeight="false" outlineLevel="0" collapsed="false">
      <c r="A24" s="54"/>
      <c r="B24" s="60"/>
      <c r="C24" s="62"/>
      <c r="D24" s="64"/>
      <c r="E24" s="64"/>
      <c r="F24" s="64"/>
      <c r="G24" s="64"/>
      <c r="H24" s="62"/>
      <c r="I24" s="70"/>
      <c r="J24" s="63"/>
      <c r="K24" s="130"/>
      <c r="L24" s="126"/>
      <c r="M24" s="63"/>
      <c r="N24" s="54"/>
      <c r="O24" s="54"/>
      <c r="P24" s="64" t="s">
        <v>364</v>
      </c>
    </row>
    <row r="25" customFormat="false" ht="12.8" hidden="false" customHeight="false" outlineLevel="0" collapsed="false">
      <c r="A25" s="54"/>
      <c r="B25" s="60"/>
      <c r="C25" s="62"/>
      <c r="D25" s="64"/>
      <c r="E25" s="64"/>
      <c r="F25" s="64"/>
      <c r="G25" s="64"/>
      <c r="H25" s="62"/>
      <c r="I25" s="70"/>
      <c r="J25" s="63"/>
      <c r="K25" s="130"/>
      <c r="L25" s="126"/>
      <c r="M25" s="63"/>
      <c r="N25" s="54"/>
      <c r="O25" s="54"/>
      <c r="P25" s="64" t="s">
        <v>364</v>
      </c>
    </row>
    <row r="26" customFormat="false" ht="12.8" hidden="false" customHeight="false" outlineLevel="0" collapsed="false">
      <c r="A26" s="54"/>
      <c r="B26" s="60"/>
      <c r="C26" s="62"/>
      <c r="D26" s="64"/>
      <c r="E26" s="64"/>
      <c r="F26" s="64"/>
      <c r="G26" s="64"/>
      <c r="H26" s="62"/>
      <c r="I26" s="70"/>
      <c r="J26" s="63"/>
      <c r="K26" s="130"/>
      <c r="L26" s="126"/>
      <c r="M26" s="63"/>
      <c r="N26" s="54"/>
      <c r="O26" s="54"/>
      <c r="P26" s="64" t="s">
        <v>364</v>
      </c>
    </row>
    <row r="27" customFormat="false" ht="12.8" hidden="false" customHeight="false" outlineLevel="0" collapsed="false">
      <c r="A27" s="54"/>
      <c r="B27" s="60"/>
      <c r="C27" s="62"/>
      <c r="D27" s="64"/>
      <c r="E27" s="64"/>
      <c r="F27" s="64"/>
      <c r="G27" s="64"/>
      <c r="H27" s="62"/>
      <c r="I27" s="70"/>
      <c r="J27" s="63"/>
      <c r="K27" s="130"/>
      <c r="L27" s="126"/>
      <c r="M27" s="63"/>
      <c r="N27" s="54"/>
      <c r="O27" s="54"/>
      <c r="P27" s="64" t="s">
        <v>364</v>
      </c>
    </row>
    <row r="28" customFormat="false" ht="12.8" hidden="false" customHeight="false" outlineLevel="0" collapsed="false">
      <c r="A28" s="54"/>
      <c r="B28" s="60"/>
      <c r="C28" s="62"/>
      <c r="D28" s="64"/>
      <c r="E28" s="64"/>
      <c r="F28" s="64"/>
      <c r="G28" s="64"/>
      <c r="H28" s="62"/>
      <c r="I28" s="70"/>
      <c r="J28" s="63"/>
      <c r="K28" s="130"/>
      <c r="L28" s="126"/>
      <c r="M28" s="63"/>
      <c r="N28" s="54"/>
      <c r="O28" s="54"/>
      <c r="P28" s="64" t="s">
        <v>364</v>
      </c>
    </row>
    <row r="29" customFormat="false" ht="12.8" hidden="false" customHeight="false" outlineLevel="0" collapsed="false">
      <c r="A29" s="54"/>
      <c r="B29" s="60"/>
      <c r="C29" s="62"/>
      <c r="D29" s="64"/>
      <c r="E29" s="64"/>
      <c r="F29" s="64"/>
      <c r="G29" s="64"/>
      <c r="H29" s="62"/>
      <c r="I29" s="70"/>
      <c r="J29" s="63"/>
      <c r="K29" s="130"/>
      <c r="L29" s="126"/>
      <c r="M29" s="63"/>
      <c r="N29" s="54"/>
      <c r="O29" s="54"/>
      <c r="P29" s="64" t="s">
        <v>364</v>
      </c>
    </row>
    <row r="30" customFormat="false" ht="12.8" hidden="false" customHeight="false" outlineLevel="0" collapsed="false">
      <c r="A30" s="54"/>
      <c r="B30" s="60"/>
      <c r="C30" s="62"/>
      <c r="D30" s="64"/>
      <c r="E30" s="64"/>
      <c r="F30" s="64"/>
      <c r="G30" s="64"/>
      <c r="H30" s="62"/>
      <c r="I30" s="70"/>
      <c r="J30" s="63"/>
      <c r="K30" s="130"/>
      <c r="L30" s="126"/>
      <c r="M30" s="63"/>
      <c r="N30" s="54"/>
      <c r="O30" s="54"/>
      <c r="P30" s="64" t="s">
        <v>364</v>
      </c>
    </row>
    <row r="31" customFormat="false" ht="12.8" hidden="false" customHeight="false" outlineLevel="0" collapsed="false">
      <c r="A31" s="54"/>
      <c r="B31" s="60"/>
      <c r="C31" s="62"/>
      <c r="D31" s="64"/>
      <c r="E31" s="64"/>
      <c r="F31" s="64"/>
      <c r="G31" s="64"/>
      <c r="H31" s="62"/>
      <c r="I31" s="70"/>
      <c r="J31" s="63"/>
      <c r="K31" s="130"/>
      <c r="L31" s="126"/>
      <c r="M31" s="63"/>
      <c r="N31" s="54"/>
      <c r="O31" s="54"/>
      <c r="P31" s="64" t="s">
        <v>364</v>
      </c>
    </row>
    <row r="32" customFormat="false" ht="12.8" hidden="false" customHeight="false" outlineLevel="0" collapsed="false">
      <c r="A32" s="54"/>
      <c r="B32" s="60"/>
      <c r="C32" s="62"/>
      <c r="D32" s="64"/>
      <c r="E32" s="64"/>
      <c r="F32" s="64"/>
      <c r="G32" s="64"/>
      <c r="H32" s="62"/>
      <c r="I32" s="70"/>
      <c r="J32" s="63"/>
      <c r="K32" s="130"/>
      <c r="L32" s="126"/>
      <c r="M32" s="63"/>
      <c r="N32" s="54"/>
      <c r="O32" s="54"/>
      <c r="P32" s="64" t="s">
        <v>364</v>
      </c>
    </row>
    <row r="33" customFormat="false" ht="12.8" hidden="false" customHeight="false" outlineLevel="0" collapsed="false">
      <c r="A33" s="54"/>
      <c r="B33" s="60"/>
      <c r="C33" s="62"/>
      <c r="D33" s="64"/>
      <c r="E33" s="64"/>
      <c r="F33" s="64"/>
      <c r="G33" s="64"/>
      <c r="H33" s="62"/>
      <c r="I33" s="70"/>
      <c r="J33" s="63"/>
      <c r="K33" s="130"/>
      <c r="L33" s="126"/>
      <c r="M33" s="63"/>
      <c r="N33" s="54"/>
      <c r="O33" s="54"/>
      <c r="P33" s="64" t="s">
        <v>364</v>
      </c>
    </row>
    <row r="34" customFormat="false" ht="12.8" hidden="false" customHeight="false" outlineLevel="0" collapsed="false">
      <c r="A34" s="54"/>
      <c r="B34" s="60"/>
      <c r="C34" s="62"/>
      <c r="D34" s="64"/>
      <c r="E34" s="64"/>
      <c r="F34" s="64"/>
      <c r="G34" s="64"/>
      <c r="H34" s="62"/>
      <c r="I34" s="70"/>
      <c r="J34" s="63"/>
      <c r="K34" s="130"/>
      <c r="L34" s="126"/>
      <c r="M34" s="63"/>
      <c r="N34" s="54"/>
      <c r="O34" s="54"/>
      <c r="P34" s="64" t="s">
        <v>364</v>
      </c>
    </row>
    <row r="35" customFormat="false" ht="12.8" hidden="false" customHeight="false" outlineLevel="0" collapsed="false">
      <c r="A35" s="54"/>
      <c r="B35" s="60"/>
      <c r="C35" s="62"/>
      <c r="D35" s="64"/>
      <c r="E35" s="64"/>
      <c r="F35" s="64"/>
      <c r="G35" s="64"/>
      <c r="H35" s="62"/>
      <c r="I35" s="70"/>
      <c r="J35" s="63"/>
      <c r="K35" s="130"/>
      <c r="L35" s="126"/>
      <c r="M35" s="63"/>
      <c r="N35" s="54"/>
      <c r="O35" s="54"/>
      <c r="P35" s="64" t="s">
        <v>364</v>
      </c>
    </row>
    <row r="36" customFormat="false" ht="12.8" hidden="false" customHeight="false" outlineLevel="0" collapsed="false">
      <c r="A36" s="54"/>
      <c r="B36" s="60"/>
      <c r="C36" s="62"/>
      <c r="D36" s="64"/>
      <c r="E36" s="64"/>
      <c r="F36" s="64"/>
      <c r="G36" s="64"/>
      <c r="H36" s="62"/>
      <c r="I36" s="70"/>
      <c r="J36" s="63"/>
      <c r="K36" s="130"/>
      <c r="L36" s="126"/>
      <c r="M36" s="63"/>
      <c r="N36" s="54"/>
      <c r="O36" s="54"/>
      <c r="P36" s="64" t="s">
        <v>364</v>
      </c>
    </row>
    <row r="37" customFormat="false" ht="12.8" hidden="false" customHeight="false" outlineLevel="0" collapsed="false">
      <c r="A37" s="54"/>
      <c r="B37" s="60"/>
      <c r="C37" s="62"/>
      <c r="D37" s="64"/>
      <c r="E37" s="64"/>
      <c r="F37" s="64"/>
      <c r="G37" s="64"/>
      <c r="H37" s="62"/>
      <c r="I37" s="70"/>
      <c r="J37" s="63"/>
      <c r="K37" s="130"/>
      <c r="L37" s="126"/>
      <c r="M37" s="63"/>
      <c r="N37" s="54"/>
      <c r="O37" s="54"/>
      <c r="P37" s="64" t="s">
        <v>364</v>
      </c>
    </row>
    <row r="38" customFormat="false" ht="12.8" hidden="false" customHeight="false" outlineLevel="0" collapsed="false">
      <c r="A38" s="54"/>
      <c r="B38" s="60"/>
      <c r="C38" s="62"/>
      <c r="D38" s="64"/>
      <c r="E38" s="64"/>
      <c r="F38" s="64"/>
      <c r="G38" s="64"/>
      <c r="H38" s="62"/>
      <c r="I38" s="70"/>
      <c r="J38" s="63"/>
      <c r="K38" s="130"/>
      <c r="L38" s="126"/>
      <c r="M38" s="63"/>
      <c r="N38" s="54"/>
      <c r="O38" s="54"/>
      <c r="P38" s="64" t="s">
        <v>364</v>
      </c>
    </row>
    <row r="39" customFormat="false" ht="12.8" hidden="false" customHeight="false" outlineLevel="0" collapsed="false">
      <c r="A39" s="54"/>
      <c r="B39" s="60"/>
      <c r="C39" s="62"/>
      <c r="D39" s="64"/>
      <c r="E39" s="64"/>
      <c r="F39" s="64"/>
      <c r="G39" s="64"/>
      <c r="H39" s="62"/>
      <c r="I39" s="70"/>
      <c r="J39" s="63"/>
      <c r="K39" s="130"/>
      <c r="L39" s="126"/>
      <c r="M39" s="63"/>
      <c r="N39" s="54"/>
      <c r="O39" s="54"/>
      <c r="P39" s="64" t="s">
        <v>364</v>
      </c>
    </row>
    <row r="40" customFormat="false" ht="12.8" hidden="false" customHeight="false" outlineLevel="0" collapsed="false">
      <c r="B40" s="3"/>
    </row>
  </sheetData>
  <autoFilter ref="A4:P39"/>
  <dataValidations count="2">
    <dataValidation allowBlank="true" errorStyle="stop" operator="equal" showDropDown="false" showErrorMessage="true" showInputMessage="false" sqref="C5:C39" type="list">
      <formula1>Static!$AC$5:$AC$6</formula1>
      <formula2>0</formula2>
    </dataValidation>
    <dataValidation allowBlank="true" errorStyle="stop" operator="equal" showDropDown="false" showErrorMessage="true" showInputMessage="false" sqref="H5:H39" type="list">
      <formula1>Static!$AD$5:$AD$12</formula1>
      <formula2>0</formula2>
    </dataValidation>
  </dataValidation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1D41A"/>
    <pageSetUpPr fitToPage="false"/>
  </sheetPr>
  <dimension ref="A1:AMI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3" topLeftCell="F4" activePane="bottomRight" state="frozen"/>
      <selection pane="topLeft" activeCell="A1" activeCellId="0" sqref="A1"/>
      <selection pane="topRight" activeCell="F1" activeCellId="0" sqref="F1"/>
      <selection pane="bottomLeft" activeCell="A4" activeCellId="0" sqref="A4"/>
      <selection pane="bottomRight" activeCell="L20" activeCellId="0" sqref="L20"/>
    </sheetView>
  </sheetViews>
  <sheetFormatPr defaultColWidth="16.1484375" defaultRowHeight="12.8" zeroHeight="false" outlineLevelRow="1" outlineLevelCol="0"/>
  <cols>
    <col collapsed="false" customWidth="true" hidden="false" outlineLevel="0" max="1" min="1" style="3" width="1.8"/>
    <col collapsed="false" customWidth="true" hidden="false" outlineLevel="0" max="2" min="2" style="29" width="6.54"/>
    <col collapsed="false" customWidth="true" hidden="false" outlineLevel="0" max="3" min="3" style="29" width="8.64"/>
    <col collapsed="false" customWidth="true" hidden="false" outlineLevel="0" max="4" min="4" style="29" width="9.26"/>
    <col collapsed="false" customWidth="true" hidden="false" outlineLevel="0" max="5" min="5" style="1" width="11.52"/>
    <col collapsed="false" customWidth="true" hidden="false" outlineLevel="0" max="6" min="6" style="1" width="12.83"/>
    <col collapsed="false" customWidth="true" hidden="false" outlineLevel="0" max="7" min="7" style="1" width="9.4"/>
    <col collapsed="false" customWidth="true" hidden="false" outlineLevel="0" max="9" min="8" style="29" width="11.52"/>
    <col collapsed="false" customWidth="true" hidden="false" outlineLevel="0" max="10" min="10" style="121" width="10.12"/>
    <col collapsed="false" customWidth="true" hidden="false" outlineLevel="0" max="11" min="11" style="3" width="13.4"/>
    <col collapsed="false" customWidth="true" hidden="false" outlineLevel="0" max="12" min="12" style="3" width="11.27"/>
    <col collapsed="false" customWidth="true" hidden="false" outlineLevel="0" max="13" min="13" style="29" width="11.52"/>
    <col collapsed="false" customWidth="true" hidden="false" outlineLevel="0" max="14" min="14" style="1" width="2.54"/>
    <col collapsed="false" customWidth="true" hidden="false" outlineLevel="0" max="1024" min="1024" style="1" width="11.52"/>
  </cols>
  <sheetData>
    <row r="1" customFormat="false" ht="81.3" hidden="false" customHeight="true" outlineLevel="1" collapsed="false">
      <c r="A1" s="31" t="s">
        <v>749</v>
      </c>
      <c r="B1" s="33" t="s">
        <v>860</v>
      </c>
      <c r="C1" s="33" t="s">
        <v>917</v>
      </c>
      <c r="D1" s="33" t="s">
        <v>817</v>
      </c>
      <c r="E1" s="34" t="s">
        <v>918</v>
      </c>
      <c r="F1" s="34" t="s">
        <v>819</v>
      </c>
      <c r="G1" s="83" t="s">
        <v>919</v>
      </c>
      <c r="H1" s="83" t="s">
        <v>920</v>
      </c>
      <c r="I1" s="83" t="s">
        <v>921</v>
      </c>
      <c r="J1" s="127" t="s">
        <v>922</v>
      </c>
      <c r="K1" s="72" t="s">
        <v>757</v>
      </c>
      <c r="L1" s="31" t="s">
        <v>835</v>
      </c>
      <c r="M1" s="33" t="s">
        <v>904</v>
      </c>
      <c r="N1" s="31" t="s">
        <v>412</v>
      </c>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c r="CT1" s="35"/>
      <c r="CU1" s="35"/>
      <c r="CV1" s="35"/>
      <c r="CW1" s="35"/>
      <c r="CX1" s="35"/>
      <c r="CY1" s="35"/>
      <c r="CZ1" s="35"/>
      <c r="DA1" s="35"/>
      <c r="DB1" s="35"/>
      <c r="DC1" s="35"/>
      <c r="DD1" s="35"/>
      <c r="DE1" s="35"/>
      <c r="DF1" s="35"/>
      <c r="DG1" s="35"/>
      <c r="DH1" s="35"/>
      <c r="DI1" s="35"/>
      <c r="DJ1" s="35"/>
      <c r="DK1" s="35"/>
      <c r="DL1" s="35"/>
      <c r="DM1" s="35"/>
      <c r="DN1" s="35"/>
      <c r="DO1" s="35"/>
      <c r="DP1" s="35"/>
      <c r="DQ1" s="35"/>
      <c r="DR1" s="35"/>
      <c r="DS1" s="35"/>
      <c r="DT1" s="35"/>
      <c r="DU1" s="35"/>
      <c r="DV1" s="35"/>
      <c r="DW1" s="35"/>
      <c r="DX1" s="35"/>
      <c r="DY1" s="35"/>
      <c r="DZ1" s="35"/>
      <c r="EA1" s="35"/>
      <c r="EB1" s="35"/>
      <c r="EC1" s="35"/>
      <c r="ED1" s="35"/>
      <c r="EE1" s="35"/>
      <c r="EF1" s="35"/>
      <c r="EG1" s="35"/>
      <c r="EH1" s="35"/>
      <c r="EI1" s="35"/>
      <c r="EJ1" s="35"/>
      <c r="EK1" s="35"/>
      <c r="EL1" s="35"/>
      <c r="EM1" s="35"/>
      <c r="EN1" s="35"/>
      <c r="EO1" s="35"/>
      <c r="EP1" s="35"/>
      <c r="EQ1" s="35"/>
      <c r="ER1" s="35"/>
      <c r="ES1" s="35"/>
      <c r="ET1" s="35"/>
      <c r="EU1" s="35"/>
      <c r="EV1" s="35"/>
      <c r="EW1" s="35"/>
      <c r="EX1" s="35"/>
      <c r="EY1" s="35"/>
      <c r="EZ1" s="35"/>
      <c r="FA1" s="35"/>
      <c r="FB1" s="35"/>
      <c r="FC1" s="35"/>
      <c r="FD1" s="35"/>
      <c r="FE1" s="35"/>
      <c r="FF1" s="35"/>
      <c r="FG1" s="35"/>
      <c r="FH1" s="35"/>
      <c r="FI1" s="35"/>
      <c r="FJ1" s="35"/>
      <c r="FK1" s="35"/>
      <c r="FL1" s="35"/>
      <c r="FM1" s="35"/>
      <c r="FN1" s="35"/>
      <c r="FO1" s="35"/>
      <c r="FP1" s="35"/>
      <c r="FQ1" s="35"/>
      <c r="FR1" s="35"/>
      <c r="FS1" s="35"/>
      <c r="FT1" s="35"/>
      <c r="FU1" s="35"/>
      <c r="FV1" s="35"/>
      <c r="FW1" s="35"/>
      <c r="FX1" s="35"/>
      <c r="FY1" s="35"/>
      <c r="FZ1" s="35"/>
      <c r="GA1" s="35"/>
      <c r="GB1" s="35"/>
      <c r="GC1" s="35"/>
      <c r="GD1" s="35"/>
      <c r="GE1" s="35"/>
      <c r="GF1" s="35"/>
      <c r="GG1" s="35"/>
      <c r="GH1" s="35"/>
      <c r="GI1" s="35"/>
      <c r="GJ1" s="35"/>
      <c r="GK1" s="35"/>
      <c r="GL1" s="35"/>
      <c r="GM1" s="35"/>
      <c r="GN1" s="35"/>
      <c r="GO1" s="35"/>
      <c r="GP1" s="35"/>
      <c r="GQ1" s="35"/>
      <c r="GR1" s="35"/>
      <c r="GS1" s="35"/>
      <c r="GT1" s="35"/>
      <c r="GU1" s="35"/>
      <c r="GV1" s="35"/>
      <c r="GW1" s="35"/>
      <c r="GX1" s="35"/>
      <c r="GY1" s="35"/>
      <c r="GZ1" s="35"/>
      <c r="HA1" s="35"/>
      <c r="HB1" s="35"/>
      <c r="HC1" s="35"/>
      <c r="HD1" s="35"/>
      <c r="HE1" s="35"/>
      <c r="HF1" s="35"/>
      <c r="HG1" s="35"/>
      <c r="HH1" s="35"/>
      <c r="HI1" s="35"/>
      <c r="HJ1" s="35"/>
      <c r="HK1" s="35"/>
      <c r="HL1" s="35"/>
      <c r="HM1" s="35"/>
      <c r="HN1" s="35"/>
      <c r="HO1" s="35"/>
      <c r="HP1" s="35"/>
      <c r="HQ1" s="35"/>
      <c r="HR1" s="35"/>
      <c r="HS1" s="35"/>
      <c r="HT1" s="35"/>
      <c r="HU1" s="35"/>
      <c r="HV1" s="35"/>
      <c r="HW1" s="35"/>
      <c r="HX1" s="35"/>
      <c r="HY1" s="35"/>
      <c r="HZ1" s="35"/>
      <c r="IA1" s="35"/>
      <c r="IB1" s="35"/>
      <c r="IC1" s="35"/>
      <c r="ID1" s="35"/>
      <c r="IE1" s="35"/>
      <c r="IF1" s="35"/>
      <c r="IG1" s="35"/>
      <c r="IH1" s="35"/>
      <c r="II1" s="35"/>
      <c r="IJ1" s="35"/>
      <c r="IK1" s="35"/>
      <c r="IL1" s="35"/>
      <c r="IM1" s="35"/>
      <c r="IN1" s="35"/>
      <c r="IO1" s="35"/>
      <c r="IP1" s="35"/>
      <c r="IQ1" s="35"/>
      <c r="IR1" s="35"/>
      <c r="IS1" s="35"/>
      <c r="IT1" s="35"/>
      <c r="IU1" s="35"/>
      <c r="IV1" s="35"/>
      <c r="IW1" s="35"/>
      <c r="IX1" s="35"/>
      <c r="IY1" s="35"/>
      <c r="IZ1" s="35"/>
      <c r="JA1" s="35"/>
      <c r="JB1" s="35"/>
      <c r="JC1" s="35"/>
      <c r="JD1" s="35"/>
      <c r="JE1" s="35"/>
      <c r="JF1" s="35"/>
      <c r="JG1" s="35"/>
      <c r="JH1" s="35"/>
      <c r="JI1" s="35"/>
      <c r="JJ1" s="35"/>
      <c r="JK1" s="35"/>
      <c r="JL1" s="35"/>
      <c r="JM1" s="35"/>
      <c r="JN1" s="35"/>
      <c r="JO1" s="35"/>
      <c r="JP1" s="35"/>
      <c r="JQ1" s="35"/>
      <c r="JR1" s="35"/>
      <c r="JS1" s="35"/>
      <c r="JT1" s="35"/>
      <c r="JU1" s="35"/>
      <c r="JV1" s="35"/>
      <c r="JW1" s="35"/>
      <c r="JX1" s="35"/>
      <c r="JY1" s="35"/>
      <c r="JZ1" s="35"/>
      <c r="KA1" s="35"/>
      <c r="KB1" s="35"/>
      <c r="KC1" s="35"/>
      <c r="KD1" s="35"/>
      <c r="KE1" s="35"/>
      <c r="KF1" s="35"/>
      <c r="KG1" s="35"/>
      <c r="KH1" s="35"/>
      <c r="KI1" s="35"/>
      <c r="KJ1" s="35"/>
      <c r="KK1" s="35"/>
      <c r="KL1" s="35"/>
      <c r="KM1" s="35"/>
      <c r="KN1" s="35"/>
      <c r="KO1" s="35"/>
      <c r="KP1" s="35"/>
      <c r="KQ1" s="35"/>
      <c r="KR1" s="35"/>
      <c r="KS1" s="35"/>
      <c r="KT1" s="35"/>
      <c r="KU1" s="35"/>
      <c r="KV1" s="35"/>
      <c r="KW1" s="35"/>
      <c r="KX1" s="35"/>
      <c r="KY1" s="35"/>
      <c r="KZ1" s="35"/>
      <c r="LA1" s="35"/>
      <c r="LB1" s="35"/>
      <c r="LC1" s="35"/>
      <c r="LD1" s="35"/>
      <c r="LE1" s="35"/>
      <c r="LF1" s="35"/>
      <c r="LG1" s="35"/>
      <c r="LH1" s="35"/>
      <c r="LI1" s="35"/>
      <c r="LJ1" s="35"/>
      <c r="LK1" s="35"/>
      <c r="LL1" s="35"/>
      <c r="LM1" s="35"/>
      <c r="LN1" s="35"/>
      <c r="LO1" s="35"/>
      <c r="LP1" s="35"/>
      <c r="LQ1" s="35"/>
      <c r="LR1" s="35"/>
      <c r="LS1" s="35"/>
      <c r="LT1" s="35"/>
      <c r="LU1" s="35"/>
      <c r="LV1" s="35"/>
      <c r="LW1" s="35"/>
      <c r="LX1" s="35"/>
      <c r="LY1" s="35"/>
      <c r="LZ1" s="35"/>
      <c r="MA1" s="35"/>
      <c r="MB1" s="35"/>
      <c r="MC1" s="35"/>
      <c r="MD1" s="35"/>
      <c r="ME1" s="35"/>
      <c r="MF1" s="35"/>
      <c r="MG1" s="35"/>
      <c r="MH1" s="35"/>
      <c r="MI1" s="35"/>
      <c r="MJ1" s="35"/>
      <c r="MK1" s="35"/>
      <c r="ML1" s="35"/>
      <c r="MM1" s="35"/>
      <c r="MN1" s="35"/>
      <c r="MO1" s="35"/>
      <c r="MP1" s="35"/>
      <c r="MQ1" s="35"/>
      <c r="MR1" s="35"/>
      <c r="MS1" s="35"/>
      <c r="MT1" s="35"/>
      <c r="MU1" s="35"/>
      <c r="MV1" s="35"/>
      <c r="MW1" s="35"/>
      <c r="MX1" s="35"/>
      <c r="MY1" s="35"/>
      <c r="MZ1" s="35"/>
      <c r="NA1" s="35"/>
      <c r="NB1" s="35"/>
      <c r="NC1" s="35"/>
      <c r="ND1" s="35"/>
      <c r="NE1" s="35"/>
      <c r="NF1" s="35"/>
      <c r="NG1" s="35"/>
      <c r="NH1" s="35"/>
      <c r="NI1" s="35"/>
      <c r="NJ1" s="35"/>
      <c r="NK1" s="35"/>
      <c r="NL1" s="35"/>
      <c r="NM1" s="35"/>
      <c r="NN1" s="35"/>
      <c r="NO1" s="35"/>
      <c r="NP1" s="35"/>
      <c r="NQ1" s="35"/>
      <c r="NR1" s="35"/>
      <c r="NS1" s="35"/>
      <c r="NT1" s="35"/>
      <c r="NU1" s="35"/>
      <c r="NV1" s="35"/>
      <c r="NW1" s="35"/>
      <c r="NX1" s="35"/>
      <c r="NY1" s="35"/>
      <c r="NZ1" s="35"/>
      <c r="OA1" s="35"/>
      <c r="OB1" s="35"/>
      <c r="OC1" s="35"/>
      <c r="OD1" s="35"/>
      <c r="OE1" s="35"/>
      <c r="OF1" s="35"/>
      <c r="OG1" s="35"/>
      <c r="OH1" s="35"/>
      <c r="OI1" s="35"/>
      <c r="OJ1" s="35"/>
      <c r="OK1" s="35"/>
      <c r="OL1" s="35"/>
      <c r="OM1" s="35"/>
      <c r="ON1" s="35"/>
      <c r="OO1" s="35"/>
      <c r="OP1" s="35"/>
      <c r="OQ1" s="35"/>
      <c r="OR1" s="35"/>
      <c r="OS1" s="35"/>
      <c r="OT1" s="35"/>
      <c r="OU1" s="35"/>
      <c r="OV1" s="35"/>
      <c r="OW1" s="35"/>
      <c r="OX1" s="35"/>
      <c r="OY1" s="35"/>
      <c r="OZ1" s="35"/>
      <c r="PA1" s="35"/>
      <c r="PB1" s="35"/>
      <c r="PC1" s="35"/>
      <c r="PD1" s="35"/>
      <c r="PE1" s="35"/>
      <c r="PF1" s="35"/>
      <c r="PG1" s="35"/>
      <c r="PH1" s="35"/>
      <c r="PI1" s="35"/>
      <c r="PJ1" s="35"/>
      <c r="PK1" s="35"/>
      <c r="PL1" s="35"/>
      <c r="PM1" s="35"/>
      <c r="PN1" s="35"/>
      <c r="PO1" s="35"/>
      <c r="PP1" s="35"/>
      <c r="PQ1" s="35"/>
      <c r="PR1" s="35"/>
      <c r="PS1" s="35"/>
      <c r="PT1" s="35"/>
      <c r="PU1" s="35"/>
      <c r="PV1" s="35"/>
      <c r="PW1" s="35"/>
      <c r="PX1" s="35"/>
      <c r="PY1" s="35"/>
      <c r="PZ1" s="35"/>
      <c r="QA1" s="35"/>
      <c r="QB1" s="35"/>
      <c r="QC1" s="35"/>
      <c r="QD1" s="35"/>
      <c r="QE1" s="35"/>
      <c r="QF1" s="35"/>
      <c r="QG1" s="35"/>
      <c r="QH1" s="35"/>
      <c r="QI1" s="35"/>
      <c r="QJ1" s="35"/>
      <c r="QK1" s="35"/>
      <c r="QL1" s="35"/>
      <c r="QM1" s="35"/>
      <c r="QN1" s="35"/>
      <c r="QO1" s="35"/>
      <c r="QP1" s="35"/>
      <c r="QQ1" s="35"/>
      <c r="QR1" s="35"/>
      <c r="QS1" s="35"/>
      <c r="QT1" s="35"/>
      <c r="QU1" s="35"/>
      <c r="QV1" s="35"/>
      <c r="QW1" s="35"/>
      <c r="QX1" s="35"/>
      <c r="QY1" s="35"/>
      <c r="QZ1" s="35"/>
      <c r="RA1" s="35"/>
      <c r="RB1" s="35"/>
      <c r="RC1" s="35"/>
      <c r="RD1" s="35"/>
      <c r="RE1" s="35"/>
      <c r="RF1" s="35"/>
      <c r="RG1" s="35"/>
      <c r="RH1" s="35"/>
      <c r="RI1" s="35"/>
      <c r="RJ1" s="35"/>
      <c r="RK1" s="35"/>
      <c r="RL1" s="35"/>
      <c r="RM1" s="35"/>
      <c r="RN1" s="35"/>
      <c r="RO1" s="35"/>
      <c r="RP1" s="35"/>
      <c r="RQ1" s="35"/>
      <c r="RR1" s="35"/>
      <c r="RS1" s="35"/>
      <c r="RT1" s="35"/>
      <c r="RU1" s="35"/>
      <c r="RV1" s="35"/>
      <c r="RW1" s="35"/>
      <c r="RX1" s="35"/>
      <c r="RY1" s="35"/>
      <c r="RZ1" s="35"/>
      <c r="SA1" s="35"/>
      <c r="SB1" s="35"/>
      <c r="SC1" s="35"/>
      <c r="SD1" s="35"/>
      <c r="SE1" s="35"/>
      <c r="SF1" s="35"/>
      <c r="SG1" s="35"/>
      <c r="SH1" s="35"/>
      <c r="SI1" s="35"/>
      <c r="SJ1" s="35"/>
      <c r="SK1" s="35"/>
      <c r="SL1" s="35"/>
      <c r="SM1" s="35"/>
      <c r="SN1" s="35"/>
      <c r="SO1" s="35"/>
      <c r="SP1" s="35"/>
      <c r="SQ1" s="35"/>
      <c r="SR1" s="35"/>
      <c r="SS1" s="35"/>
      <c r="ST1" s="35"/>
      <c r="SU1" s="35"/>
      <c r="SV1" s="35"/>
      <c r="SW1" s="35"/>
      <c r="SX1" s="35"/>
      <c r="SY1" s="35"/>
      <c r="SZ1" s="35"/>
      <c r="TA1" s="35"/>
      <c r="TB1" s="35"/>
      <c r="TC1" s="35"/>
      <c r="TD1" s="35"/>
      <c r="TE1" s="35"/>
      <c r="TF1" s="35"/>
      <c r="TG1" s="35"/>
      <c r="TH1" s="35"/>
      <c r="TI1" s="35"/>
      <c r="TJ1" s="35"/>
      <c r="TK1" s="35"/>
      <c r="TL1" s="35"/>
      <c r="TM1" s="35"/>
      <c r="TN1" s="35"/>
      <c r="TO1" s="35"/>
      <c r="TP1" s="35"/>
      <c r="TQ1" s="35"/>
      <c r="TR1" s="35"/>
      <c r="TS1" s="35"/>
      <c r="TT1" s="35"/>
      <c r="TU1" s="35"/>
      <c r="TV1" s="35"/>
      <c r="TW1" s="35"/>
      <c r="TX1" s="35"/>
      <c r="TY1" s="35"/>
      <c r="TZ1" s="35"/>
      <c r="UA1" s="35"/>
      <c r="UB1" s="35"/>
      <c r="UC1" s="35"/>
      <c r="UD1" s="35"/>
      <c r="UE1" s="35"/>
      <c r="UF1" s="35"/>
      <c r="UG1" s="35"/>
      <c r="UH1" s="35"/>
      <c r="UI1" s="35"/>
      <c r="UJ1" s="35"/>
      <c r="UK1" s="35"/>
      <c r="UL1" s="35"/>
      <c r="UM1" s="35"/>
      <c r="UN1" s="35"/>
      <c r="UO1" s="35"/>
      <c r="UP1" s="35"/>
      <c r="UQ1" s="35"/>
      <c r="UR1" s="35"/>
      <c r="US1" s="35"/>
      <c r="UT1" s="35"/>
      <c r="UU1" s="35"/>
      <c r="UV1" s="35"/>
      <c r="UW1" s="35"/>
      <c r="UX1" s="35"/>
      <c r="UY1" s="35"/>
      <c r="UZ1" s="35"/>
      <c r="VA1" s="35"/>
      <c r="VB1" s="35"/>
      <c r="VC1" s="35"/>
      <c r="VD1" s="35"/>
      <c r="VE1" s="35"/>
      <c r="VF1" s="35"/>
      <c r="VG1" s="35"/>
      <c r="VH1" s="35"/>
      <c r="VI1" s="35"/>
      <c r="VJ1" s="35"/>
      <c r="VK1" s="35"/>
      <c r="VL1" s="35"/>
      <c r="VM1" s="35"/>
      <c r="VN1" s="35"/>
      <c r="VO1" s="35"/>
      <c r="VP1" s="35"/>
      <c r="VQ1" s="35"/>
      <c r="VR1" s="35"/>
      <c r="VS1" s="35"/>
      <c r="VT1" s="35"/>
      <c r="VU1" s="35"/>
      <c r="VV1" s="35"/>
      <c r="VW1" s="35"/>
      <c r="VX1" s="35"/>
      <c r="VY1" s="35"/>
      <c r="VZ1" s="35"/>
      <c r="WA1" s="35"/>
      <c r="WB1" s="35"/>
      <c r="WC1" s="35"/>
      <c r="WD1" s="35"/>
      <c r="WE1" s="35"/>
      <c r="WF1" s="35"/>
      <c r="WG1" s="35"/>
      <c r="WH1" s="35"/>
      <c r="WI1" s="35"/>
      <c r="WJ1" s="35"/>
      <c r="WK1" s="35"/>
      <c r="WL1" s="35"/>
      <c r="WM1" s="35"/>
      <c r="WN1" s="35"/>
      <c r="WO1" s="35"/>
      <c r="WP1" s="35"/>
      <c r="WQ1" s="35"/>
      <c r="WR1" s="35"/>
      <c r="WS1" s="35"/>
      <c r="WT1" s="35"/>
      <c r="WU1" s="35"/>
      <c r="WV1" s="35"/>
      <c r="WW1" s="35"/>
      <c r="WX1" s="35"/>
      <c r="WY1" s="35"/>
      <c r="WZ1" s="35"/>
      <c r="XA1" s="35"/>
      <c r="XB1" s="35"/>
      <c r="XC1" s="35"/>
      <c r="XD1" s="35"/>
      <c r="XE1" s="35"/>
      <c r="XF1" s="35"/>
      <c r="XG1" s="35"/>
      <c r="XH1" s="35"/>
      <c r="XI1" s="35"/>
      <c r="XJ1" s="35"/>
      <c r="XK1" s="35"/>
      <c r="XL1" s="35"/>
      <c r="XM1" s="35"/>
      <c r="XN1" s="35"/>
      <c r="XO1" s="35"/>
      <c r="XP1" s="35"/>
      <c r="XQ1" s="35"/>
      <c r="XR1" s="35"/>
      <c r="XS1" s="35"/>
      <c r="XT1" s="35"/>
      <c r="XU1" s="35"/>
      <c r="XV1" s="35"/>
      <c r="XW1" s="35"/>
      <c r="XX1" s="35"/>
      <c r="XY1" s="35"/>
      <c r="XZ1" s="35"/>
      <c r="YA1" s="35"/>
      <c r="YB1" s="35"/>
      <c r="YC1" s="35"/>
      <c r="YD1" s="35"/>
      <c r="YE1" s="35"/>
      <c r="YF1" s="35"/>
      <c r="YG1" s="35"/>
      <c r="YH1" s="35"/>
      <c r="YI1" s="35"/>
      <c r="YJ1" s="35"/>
      <c r="YK1" s="35"/>
      <c r="YL1" s="35"/>
      <c r="YM1" s="35"/>
      <c r="YN1" s="35"/>
      <c r="YO1" s="35"/>
      <c r="YP1" s="35"/>
      <c r="YQ1" s="35"/>
      <c r="YR1" s="35"/>
      <c r="YS1" s="35"/>
      <c r="YT1" s="35"/>
      <c r="YU1" s="35"/>
      <c r="YV1" s="35"/>
      <c r="YW1" s="35"/>
      <c r="YX1" s="35"/>
      <c r="YY1" s="35"/>
      <c r="YZ1" s="35"/>
      <c r="ZA1" s="35"/>
      <c r="ZB1" s="35"/>
      <c r="ZC1" s="35"/>
      <c r="ZD1" s="35"/>
      <c r="ZE1" s="35"/>
      <c r="ZF1" s="35"/>
      <c r="ZG1" s="35"/>
      <c r="ZH1" s="35"/>
      <c r="ZI1" s="35"/>
      <c r="ZJ1" s="35"/>
      <c r="ZK1" s="35"/>
      <c r="ZL1" s="35"/>
      <c r="ZM1" s="35"/>
      <c r="ZN1" s="35"/>
      <c r="ZO1" s="35"/>
      <c r="ZP1" s="35"/>
      <c r="ZQ1" s="35"/>
      <c r="ZR1" s="35"/>
      <c r="ZS1" s="35"/>
      <c r="ZT1" s="35"/>
      <c r="ZU1" s="35"/>
      <c r="ZV1" s="35"/>
      <c r="ZW1" s="35"/>
      <c r="ZX1" s="35"/>
      <c r="ZY1" s="35"/>
      <c r="ZZ1" s="35"/>
      <c r="AAA1" s="35"/>
      <c r="AAB1" s="35"/>
      <c r="AAC1" s="35"/>
      <c r="AAD1" s="35"/>
      <c r="AAE1" s="35"/>
      <c r="AAF1" s="35"/>
      <c r="AAG1" s="35"/>
      <c r="AAH1" s="35"/>
      <c r="AAI1" s="35"/>
      <c r="AAJ1" s="35"/>
      <c r="AAK1" s="35"/>
      <c r="AAL1" s="35"/>
      <c r="AAM1" s="35"/>
      <c r="AAN1" s="35"/>
      <c r="AAO1" s="35"/>
      <c r="AAP1" s="35"/>
      <c r="AAQ1" s="35"/>
      <c r="AAR1" s="35"/>
      <c r="AAS1" s="35"/>
      <c r="AAT1" s="35"/>
      <c r="AAU1" s="35"/>
      <c r="AAV1" s="35"/>
      <c r="AAW1" s="35"/>
      <c r="AAX1" s="35"/>
      <c r="AAY1" s="35"/>
      <c r="AAZ1" s="35"/>
      <c r="ABA1" s="35"/>
      <c r="ABB1" s="35"/>
      <c r="ABC1" s="35"/>
      <c r="ABD1" s="35"/>
      <c r="ABE1" s="35"/>
      <c r="ABF1" s="35"/>
      <c r="ABG1" s="35"/>
      <c r="ABH1" s="35"/>
      <c r="ABI1" s="35"/>
      <c r="ABJ1" s="35"/>
      <c r="ABK1" s="35"/>
      <c r="ABL1" s="35"/>
      <c r="ABM1" s="35"/>
      <c r="ABN1" s="35"/>
      <c r="ABO1" s="35"/>
      <c r="ABP1" s="35"/>
      <c r="ABQ1" s="35"/>
      <c r="ABR1" s="35"/>
      <c r="ABS1" s="35"/>
      <c r="ABT1" s="35"/>
      <c r="ABU1" s="35"/>
      <c r="ABV1" s="35"/>
      <c r="ABW1" s="35"/>
      <c r="ABX1" s="35"/>
      <c r="ABY1" s="35"/>
      <c r="ABZ1" s="35"/>
      <c r="ACA1" s="35"/>
      <c r="ACB1" s="35"/>
      <c r="ACC1" s="35"/>
      <c r="ACD1" s="35"/>
      <c r="ACE1" s="35"/>
      <c r="ACF1" s="35"/>
      <c r="ACG1" s="35"/>
      <c r="ACH1" s="35"/>
      <c r="ACI1" s="35"/>
      <c r="ACJ1" s="35"/>
      <c r="ACK1" s="35"/>
      <c r="ACL1" s="35"/>
      <c r="ACM1" s="35"/>
      <c r="ACN1" s="35"/>
      <c r="ACO1" s="35"/>
      <c r="ACP1" s="35"/>
      <c r="ACQ1" s="35"/>
      <c r="ACR1" s="35"/>
      <c r="ACS1" s="35"/>
      <c r="ACT1" s="35"/>
      <c r="ACU1" s="35"/>
      <c r="ACV1" s="35"/>
      <c r="ACW1" s="35"/>
      <c r="ACX1" s="35"/>
      <c r="ACY1" s="35"/>
      <c r="ACZ1" s="35"/>
      <c r="ADA1" s="35"/>
      <c r="ADB1" s="35"/>
      <c r="ADC1" s="35"/>
      <c r="ADD1" s="35"/>
      <c r="ADE1" s="35"/>
      <c r="ADF1" s="35"/>
      <c r="ADG1" s="35"/>
      <c r="ADH1" s="35"/>
      <c r="ADI1" s="35"/>
      <c r="ADJ1" s="35"/>
      <c r="ADK1" s="35"/>
      <c r="ADL1" s="35"/>
      <c r="ADM1" s="35"/>
      <c r="ADN1" s="35"/>
      <c r="ADO1" s="35"/>
      <c r="ADP1" s="35"/>
      <c r="ADQ1" s="35"/>
      <c r="ADR1" s="35"/>
      <c r="ADS1" s="35"/>
      <c r="ADT1" s="35"/>
      <c r="ADU1" s="35"/>
      <c r="ADV1" s="35"/>
      <c r="ADW1" s="35"/>
      <c r="ADX1" s="35"/>
      <c r="ADY1" s="35"/>
      <c r="ADZ1" s="35"/>
      <c r="AEA1" s="35"/>
      <c r="AEB1" s="35"/>
      <c r="AEC1" s="35"/>
      <c r="AED1" s="35"/>
      <c r="AEE1" s="35"/>
      <c r="AEF1" s="35"/>
      <c r="AEG1" s="35"/>
      <c r="AEH1" s="35"/>
      <c r="AEI1" s="35"/>
      <c r="AEJ1" s="35"/>
      <c r="AEK1" s="35"/>
      <c r="AEL1" s="35"/>
      <c r="AEM1" s="35"/>
      <c r="AEN1" s="35"/>
      <c r="AEO1" s="35"/>
      <c r="AEP1" s="35"/>
      <c r="AEQ1" s="35"/>
      <c r="AER1" s="35"/>
      <c r="AES1" s="35"/>
      <c r="AET1" s="35"/>
      <c r="AEU1" s="35"/>
      <c r="AEV1" s="35"/>
      <c r="AEW1" s="35"/>
      <c r="AEX1" s="35"/>
      <c r="AEY1" s="35"/>
      <c r="AEZ1" s="35"/>
      <c r="AFA1" s="35"/>
      <c r="AFB1" s="35"/>
      <c r="AFC1" s="35"/>
      <c r="AFD1" s="35"/>
      <c r="AFE1" s="35"/>
      <c r="AFF1" s="35"/>
      <c r="AFG1" s="35"/>
      <c r="AFH1" s="35"/>
      <c r="AFI1" s="35"/>
      <c r="AFJ1" s="35"/>
      <c r="AFK1" s="35"/>
      <c r="AFL1" s="35"/>
      <c r="AFM1" s="35"/>
      <c r="AFN1" s="35"/>
      <c r="AFO1" s="35"/>
      <c r="AFP1" s="35"/>
      <c r="AFQ1" s="35"/>
      <c r="AFR1" s="35"/>
      <c r="AFS1" s="35"/>
      <c r="AFT1" s="35"/>
      <c r="AFU1" s="35"/>
      <c r="AFV1" s="35"/>
      <c r="AFW1" s="35"/>
      <c r="AFX1" s="35"/>
      <c r="AFY1" s="35"/>
      <c r="AFZ1" s="35"/>
      <c r="AGA1" s="35"/>
      <c r="AGB1" s="35"/>
      <c r="AGC1" s="35"/>
      <c r="AGD1" s="35"/>
      <c r="AGE1" s="35"/>
      <c r="AGF1" s="35"/>
      <c r="AGG1" s="35"/>
      <c r="AGH1" s="35"/>
      <c r="AGI1" s="35"/>
      <c r="AGJ1" s="35"/>
      <c r="AGK1" s="35"/>
      <c r="AGL1" s="35"/>
      <c r="AGM1" s="35"/>
      <c r="AGN1" s="35"/>
      <c r="AGO1" s="35"/>
      <c r="AGP1" s="35"/>
      <c r="AGQ1" s="35"/>
      <c r="AGR1" s="35"/>
      <c r="AGS1" s="35"/>
      <c r="AGT1" s="35"/>
      <c r="AGU1" s="35"/>
      <c r="AGV1" s="35"/>
      <c r="AGW1" s="35"/>
      <c r="AGX1" s="35"/>
      <c r="AGY1" s="35"/>
      <c r="AGZ1" s="35"/>
      <c r="AHA1" s="35"/>
      <c r="AHB1" s="35"/>
      <c r="AHC1" s="35"/>
      <c r="AHD1" s="35"/>
      <c r="AHE1" s="35"/>
      <c r="AHF1" s="35"/>
      <c r="AHG1" s="35"/>
      <c r="AHH1" s="35"/>
      <c r="AHI1" s="35"/>
      <c r="AHJ1" s="35"/>
      <c r="AHK1" s="35"/>
      <c r="AHL1" s="35"/>
      <c r="AHM1" s="35"/>
      <c r="AHN1" s="35"/>
      <c r="AHO1" s="35"/>
      <c r="AHP1" s="35"/>
      <c r="AHQ1" s="35"/>
      <c r="AHR1" s="35"/>
      <c r="AHS1" s="35"/>
      <c r="AHT1" s="35"/>
      <c r="AHU1" s="35"/>
      <c r="AHV1" s="35"/>
      <c r="AHW1" s="35"/>
      <c r="AHX1" s="35"/>
      <c r="AHY1" s="35"/>
      <c r="AHZ1" s="35"/>
      <c r="AIA1" s="35"/>
      <c r="AIB1" s="35"/>
      <c r="AIC1" s="35"/>
      <c r="AID1" s="35"/>
      <c r="AIE1" s="35"/>
      <c r="AIF1" s="35"/>
      <c r="AIG1" s="35"/>
      <c r="AIH1" s="35"/>
      <c r="AII1" s="35"/>
      <c r="AIJ1" s="35"/>
      <c r="AIK1" s="35"/>
      <c r="AIL1" s="35"/>
      <c r="AIM1" s="35"/>
      <c r="AIN1" s="35"/>
      <c r="AIO1" s="35"/>
      <c r="AIP1" s="35"/>
      <c r="AIQ1" s="35"/>
      <c r="AIR1" s="35"/>
      <c r="AIS1" s="35"/>
      <c r="AIT1" s="35"/>
      <c r="AIU1" s="35"/>
      <c r="AIV1" s="35"/>
      <c r="AIW1" s="35"/>
      <c r="AIX1" s="35"/>
      <c r="AIY1" s="35"/>
      <c r="AIZ1" s="35"/>
      <c r="AJA1" s="35"/>
      <c r="AJB1" s="35"/>
      <c r="AJC1" s="35"/>
      <c r="AJD1" s="35"/>
      <c r="AJE1" s="35"/>
      <c r="AJF1" s="35"/>
      <c r="AJG1" s="35"/>
      <c r="AJH1" s="35"/>
      <c r="AJI1" s="35"/>
      <c r="AJJ1" s="35"/>
      <c r="AJK1" s="35"/>
      <c r="AJL1" s="35"/>
      <c r="AJM1" s="35"/>
      <c r="AJN1" s="35"/>
      <c r="AJO1" s="35"/>
      <c r="AJP1" s="35"/>
      <c r="AJQ1" s="35"/>
      <c r="AJR1" s="35"/>
      <c r="AJS1" s="35"/>
      <c r="AJT1" s="35"/>
      <c r="AJU1" s="35"/>
      <c r="AJV1" s="35"/>
      <c r="AJW1" s="35"/>
      <c r="AJX1" s="35"/>
      <c r="AJY1" s="35"/>
      <c r="AJZ1" s="35"/>
      <c r="AKA1" s="35"/>
      <c r="AKB1" s="35"/>
      <c r="AKC1" s="35"/>
      <c r="AKD1" s="35"/>
      <c r="AKE1" s="35"/>
      <c r="AKF1" s="35"/>
      <c r="AKG1" s="35"/>
      <c r="AKH1" s="35"/>
      <c r="AKI1" s="35"/>
      <c r="AKJ1" s="35"/>
      <c r="AKK1" s="35"/>
      <c r="AKL1" s="35"/>
      <c r="AKM1" s="35"/>
      <c r="AKN1" s="35"/>
      <c r="AKO1" s="35"/>
      <c r="AKP1" s="35"/>
      <c r="AKQ1" s="35"/>
      <c r="AKR1" s="35"/>
      <c r="AKS1" s="35"/>
      <c r="AKT1" s="35"/>
      <c r="AKU1" s="35"/>
      <c r="AKV1" s="35"/>
      <c r="AKW1" s="35"/>
      <c r="AKX1" s="35"/>
      <c r="AKY1" s="35"/>
      <c r="AKZ1" s="35"/>
      <c r="ALA1" s="35"/>
      <c r="ALB1" s="35"/>
      <c r="ALC1" s="35"/>
      <c r="ALD1" s="35"/>
      <c r="ALE1" s="35"/>
      <c r="ALF1" s="35"/>
      <c r="ALG1" s="35"/>
      <c r="ALH1" s="35"/>
      <c r="ALI1" s="35"/>
      <c r="ALJ1" s="35"/>
      <c r="ALK1" s="35"/>
      <c r="ALL1" s="35"/>
      <c r="ALM1" s="35"/>
      <c r="ALN1" s="35"/>
      <c r="ALO1" s="35"/>
      <c r="ALP1" s="35"/>
      <c r="ALQ1" s="35"/>
      <c r="ALR1" s="35"/>
      <c r="ALS1" s="35"/>
      <c r="ALT1" s="35"/>
      <c r="ALU1" s="35"/>
      <c r="ALV1" s="35"/>
      <c r="ALW1" s="35"/>
      <c r="ALX1" s="35"/>
      <c r="ALY1" s="1"/>
      <c r="ALZ1" s="1"/>
      <c r="AMA1" s="1"/>
      <c r="AMB1" s="1"/>
      <c r="AMC1" s="1"/>
      <c r="AMD1" s="1"/>
      <c r="AME1" s="1"/>
      <c r="AMF1" s="1"/>
      <c r="AMG1" s="1"/>
      <c r="AMH1" s="1"/>
      <c r="AMI1" s="1"/>
    </row>
    <row r="2" customFormat="false" ht="12.8" hidden="false" customHeight="false" outlineLevel="1" collapsed="false">
      <c r="A2" s="31"/>
      <c r="B2" s="33"/>
      <c r="C2" s="33"/>
      <c r="D2" s="33"/>
      <c r="E2" s="34"/>
      <c r="F2" s="34"/>
      <c r="G2" s="83"/>
      <c r="H2" s="83"/>
      <c r="I2" s="83"/>
      <c r="J2" s="127"/>
      <c r="K2" s="72"/>
      <c r="L2" s="31"/>
      <c r="M2" s="33"/>
      <c r="N2" s="31"/>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c r="CF2" s="35"/>
      <c r="CG2" s="35"/>
      <c r="CH2" s="35"/>
      <c r="CI2" s="35"/>
      <c r="CJ2" s="35"/>
      <c r="CK2" s="35"/>
      <c r="CL2" s="35"/>
      <c r="CM2" s="35"/>
      <c r="CN2" s="35"/>
      <c r="CO2" s="35"/>
      <c r="CP2" s="35"/>
      <c r="CQ2" s="35"/>
      <c r="CR2" s="35"/>
      <c r="CS2" s="35"/>
      <c r="CT2" s="35"/>
      <c r="CU2" s="35"/>
      <c r="CV2" s="35"/>
      <c r="CW2" s="35"/>
      <c r="CX2" s="35"/>
      <c r="CY2" s="35"/>
      <c r="CZ2" s="35"/>
      <c r="DA2" s="35"/>
      <c r="DB2" s="35"/>
      <c r="DC2" s="35"/>
      <c r="DD2" s="35"/>
      <c r="DE2" s="35"/>
      <c r="DF2" s="35"/>
      <c r="DG2" s="35"/>
      <c r="DH2" s="35"/>
      <c r="DI2" s="35"/>
      <c r="DJ2" s="35"/>
      <c r="DK2" s="35"/>
      <c r="DL2" s="35"/>
      <c r="DM2" s="35"/>
      <c r="DN2" s="35"/>
      <c r="DO2" s="35"/>
      <c r="DP2" s="35"/>
      <c r="DQ2" s="35"/>
      <c r="DR2" s="35"/>
      <c r="DS2" s="35"/>
      <c r="DT2" s="35"/>
      <c r="DU2" s="35"/>
      <c r="DV2" s="35"/>
      <c r="DW2" s="35"/>
      <c r="DX2" s="35"/>
      <c r="DY2" s="35"/>
      <c r="DZ2" s="35"/>
      <c r="EA2" s="35"/>
      <c r="EB2" s="35"/>
      <c r="EC2" s="35"/>
      <c r="ED2" s="35"/>
      <c r="EE2" s="35"/>
      <c r="EF2" s="35"/>
      <c r="EG2" s="35"/>
      <c r="EH2" s="35"/>
      <c r="EI2" s="35"/>
      <c r="EJ2" s="35"/>
      <c r="EK2" s="35"/>
      <c r="EL2" s="35"/>
      <c r="EM2" s="35"/>
      <c r="EN2" s="35"/>
      <c r="EO2" s="35"/>
      <c r="EP2" s="35"/>
      <c r="EQ2" s="35"/>
      <c r="ER2" s="35"/>
      <c r="ES2" s="35"/>
      <c r="ET2" s="35"/>
      <c r="EU2" s="35"/>
      <c r="EV2" s="35"/>
      <c r="EW2" s="35"/>
      <c r="EX2" s="35"/>
      <c r="EY2" s="35"/>
      <c r="EZ2" s="35"/>
      <c r="FA2" s="35"/>
      <c r="FB2" s="35"/>
      <c r="FC2" s="35"/>
      <c r="FD2" s="35"/>
      <c r="FE2" s="35"/>
      <c r="FF2" s="35"/>
      <c r="FG2" s="35"/>
      <c r="FH2" s="35"/>
      <c r="FI2" s="35"/>
      <c r="FJ2" s="35"/>
      <c r="FK2" s="35"/>
      <c r="FL2" s="35"/>
      <c r="FM2" s="35"/>
      <c r="FN2" s="35"/>
      <c r="FO2" s="35"/>
      <c r="FP2" s="35"/>
      <c r="FQ2" s="35"/>
      <c r="FR2" s="35"/>
      <c r="FS2" s="35"/>
      <c r="FT2" s="35"/>
      <c r="FU2" s="35"/>
      <c r="FV2" s="35"/>
      <c r="FW2" s="35"/>
      <c r="FX2" s="35"/>
      <c r="FY2" s="35"/>
      <c r="FZ2" s="35"/>
      <c r="GA2" s="35"/>
      <c r="GB2" s="35"/>
      <c r="GC2" s="35"/>
      <c r="GD2" s="35"/>
      <c r="GE2" s="35"/>
      <c r="GF2" s="35"/>
      <c r="GG2" s="35"/>
      <c r="GH2" s="35"/>
      <c r="GI2" s="35"/>
      <c r="GJ2" s="35"/>
      <c r="GK2" s="35"/>
      <c r="GL2" s="35"/>
      <c r="GM2" s="35"/>
      <c r="GN2" s="35"/>
      <c r="GO2" s="35"/>
      <c r="GP2" s="35"/>
      <c r="GQ2" s="35"/>
      <c r="GR2" s="35"/>
      <c r="GS2" s="35"/>
      <c r="GT2" s="35"/>
      <c r="GU2" s="35"/>
      <c r="GV2" s="35"/>
      <c r="GW2" s="35"/>
      <c r="GX2" s="35"/>
      <c r="GY2" s="35"/>
      <c r="GZ2" s="35"/>
      <c r="HA2" s="35"/>
      <c r="HB2" s="35"/>
      <c r="HC2" s="35"/>
      <c r="HD2" s="35"/>
      <c r="HE2" s="35"/>
      <c r="HF2" s="35"/>
      <c r="HG2" s="35"/>
      <c r="HH2" s="35"/>
      <c r="HI2" s="35"/>
      <c r="HJ2" s="35"/>
      <c r="HK2" s="35"/>
      <c r="HL2" s="35"/>
      <c r="HM2" s="35"/>
      <c r="HN2" s="35"/>
      <c r="HO2" s="35"/>
      <c r="HP2" s="35"/>
      <c r="HQ2" s="35"/>
      <c r="HR2" s="35"/>
      <c r="HS2" s="35"/>
      <c r="HT2" s="35"/>
      <c r="HU2" s="35"/>
      <c r="HV2" s="35"/>
      <c r="HW2" s="35"/>
      <c r="HX2" s="35"/>
      <c r="HY2" s="35"/>
      <c r="HZ2" s="35"/>
      <c r="IA2" s="35"/>
      <c r="IB2" s="35"/>
      <c r="IC2" s="35"/>
      <c r="ID2" s="35"/>
      <c r="IE2" s="35"/>
      <c r="IF2" s="35"/>
      <c r="IG2" s="35"/>
      <c r="IH2" s="35"/>
      <c r="II2" s="35"/>
      <c r="IJ2" s="35"/>
      <c r="IK2" s="35"/>
      <c r="IL2" s="35"/>
      <c r="IM2" s="35"/>
      <c r="IN2" s="35"/>
      <c r="IO2" s="35"/>
      <c r="IP2" s="35"/>
      <c r="IQ2" s="35"/>
      <c r="IR2" s="35"/>
      <c r="IS2" s="35"/>
      <c r="IT2" s="35"/>
      <c r="IU2" s="35"/>
      <c r="IV2" s="35"/>
      <c r="IW2" s="35"/>
      <c r="IX2" s="35"/>
      <c r="IY2" s="35"/>
      <c r="IZ2" s="35"/>
      <c r="JA2" s="35"/>
      <c r="JB2" s="35"/>
      <c r="JC2" s="35"/>
      <c r="JD2" s="35"/>
      <c r="JE2" s="35"/>
      <c r="JF2" s="35"/>
      <c r="JG2" s="35"/>
      <c r="JH2" s="35"/>
      <c r="JI2" s="35"/>
      <c r="JJ2" s="35"/>
      <c r="JK2" s="35"/>
      <c r="JL2" s="35"/>
      <c r="JM2" s="35"/>
      <c r="JN2" s="35"/>
      <c r="JO2" s="35"/>
      <c r="JP2" s="35"/>
      <c r="JQ2" s="35"/>
      <c r="JR2" s="35"/>
      <c r="JS2" s="35"/>
      <c r="JT2" s="35"/>
      <c r="JU2" s="35"/>
      <c r="JV2" s="35"/>
      <c r="JW2" s="35"/>
      <c r="JX2" s="35"/>
      <c r="JY2" s="35"/>
      <c r="JZ2" s="35"/>
      <c r="KA2" s="35"/>
      <c r="KB2" s="35"/>
      <c r="KC2" s="35"/>
      <c r="KD2" s="35"/>
      <c r="KE2" s="35"/>
      <c r="KF2" s="35"/>
      <c r="KG2" s="35"/>
      <c r="KH2" s="35"/>
      <c r="KI2" s="35"/>
      <c r="KJ2" s="35"/>
      <c r="KK2" s="35"/>
      <c r="KL2" s="35"/>
      <c r="KM2" s="35"/>
      <c r="KN2" s="35"/>
      <c r="KO2" s="35"/>
      <c r="KP2" s="35"/>
      <c r="KQ2" s="35"/>
      <c r="KR2" s="35"/>
      <c r="KS2" s="35"/>
      <c r="KT2" s="35"/>
      <c r="KU2" s="35"/>
      <c r="KV2" s="35"/>
      <c r="KW2" s="35"/>
      <c r="KX2" s="35"/>
      <c r="KY2" s="35"/>
      <c r="KZ2" s="35"/>
      <c r="LA2" s="35"/>
      <c r="LB2" s="35"/>
      <c r="LC2" s="35"/>
      <c r="LD2" s="35"/>
      <c r="LE2" s="35"/>
      <c r="LF2" s="35"/>
      <c r="LG2" s="35"/>
      <c r="LH2" s="35"/>
      <c r="LI2" s="35"/>
      <c r="LJ2" s="35"/>
      <c r="LK2" s="35"/>
      <c r="LL2" s="35"/>
      <c r="LM2" s="35"/>
      <c r="LN2" s="35"/>
      <c r="LO2" s="35"/>
      <c r="LP2" s="35"/>
      <c r="LQ2" s="35"/>
      <c r="LR2" s="35"/>
      <c r="LS2" s="35"/>
      <c r="LT2" s="35"/>
      <c r="LU2" s="35"/>
      <c r="LV2" s="35"/>
      <c r="LW2" s="35"/>
      <c r="LX2" s="35"/>
      <c r="LY2" s="35"/>
      <c r="LZ2" s="35"/>
      <c r="MA2" s="35"/>
      <c r="MB2" s="35"/>
      <c r="MC2" s="35"/>
      <c r="MD2" s="35"/>
      <c r="ME2" s="35"/>
      <c r="MF2" s="35"/>
      <c r="MG2" s="35"/>
      <c r="MH2" s="35"/>
      <c r="MI2" s="35"/>
      <c r="MJ2" s="35"/>
      <c r="MK2" s="35"/>
      <c r="ML2" s="35"/>
      <c r="MM2" s="35"/>
      <c r="MN2" s="35"/>
      <c r="MO2" s="35"/>
      <c r="MP2" s="35"/>
      <c r="MQ2" s="35"/>
      <c r="MR2" s="35"/>
      <c r="MS2" s="35"/>
      <c r="MT2" s="35"/>
      <c r="MU2" s="35"/>
      <c r="MV2" s="35"/>
      <c r="MW2" s="35"/>
      <c r="MX2" s="35"/>
      <c r="MY2" s="35"/>
      <c r="MZ2" s="35"/>
      <c r="NA2" s="35"/>
      <c r="NB2" s="35"/>
      <c r="NC2" s="35"/>
      <c r="ND2" s="35"/>
      <c r="NE2" s="35"/>
      <c r="NF2" s="35"/>
      <c r="NG2" s="35"/>
      <c r="NH2" s="35"/>
      <c r="NI2" s="35"/>
      <c r="NJ2" s="35"/>
      <c r="NK2" s="35"/>
      <c r="NL2" s="35"/>
      <c r="NM2" s="35"/>
      <c r="NN2" s="35"/>
      <c r="NO2" s="35"/>
      <c r="NP2" s="35"/>
      <c r="NQ2" s="35"/>
      <c r="NR2" s="35"/>
      <c r="NS2" s="35"/>
      <c r="NT2" s="35"/>
      <c r="NU2" s="35"/>
      <c r="NV2" s="35"/>
      <c r="NW2" s="35"/>
      <c r="NX2" s="35"/>
      <c r="NY2" s="35"/>
      <c r="NZ2" s="35"/>
      <c r="OA2" s="35"/>
      <c r="OB2" s="35"/>
      <c r="OC2" s="35"/>
      <c r="OD2" s="35"/>
      <c r="OE2" s="35"/>
      <c r="OF2" s="35"/>
      <c r="OG2" s="35"/>
      <c r="OH2" s="35"/>
      <c r="OI2" s="35"/>
      <c r="OJ2" s="35"/>
      <c r="OK2" s="35"/>
      <c r="OL2" s="35"/>
      <c r="OM2" s="35"/>
      <c r="ON2" s="35"/>
      <c r="OO2" s="35"/>
      <c r="OP2" s="35"/>
      <c r="OQ2" s="35"/>
      <c r="OR2" s="35"/>
      <c r="OS2" s="35"/>
      <c r="OT2" s="35"/>
      <c r="OU2" s="35"/>
      <c r="OV2" s="35"/>
      <c r="OW2" s="35"/>
      <c r="OX2" s="35"/>
      <c r="OY2" s="35"/>
      <c r="OZ2" s="35"/>
      <c r="PA2" s="35"/>
      <c r="PB2" s="35"/>
      <c r="PC2" s="35"/>
      <c r="PD2" s="35"/>
      <c r="PE2" s="35"/>
      <c r="PF2" s="35"/>
      <c r="PG2" s="35"/>
      <c r="PH2" s="35"/>
      <c r="PI2" s="35"/>
      <c r="PJ2" s="35"/>
      <c r="PK2" s="35"/>
      <c r="PL2" s="35"/>
      <c r="PM2" s="35"/>
      <c r="PN2" s="35"/>
      <c r="PO2" s="35"/>
      <c r="PP2" s="35"/>
      <c r="PQ2" s="35"/>
      <c r="PR2" s="35"/>
      <c r="PS2" s="35"/>
      <c r="PT2" s="35"/>
      <c r="PU2" s="35"/>
      <c r="PV2" s="35"/>
      <c r="PW2" s="35"/>
      <c r="PX2" s="35"/>
      <c r="PY2" s="35"/>
      <c r="PZ2" s="35"/>
      <c r="QA2" s="35"/>
      <c r="QB2" s="35"/>
      <c r="QC2" s="35"/>
      <c r="QD2" s="35"/>
      <c r="QE2" s="35"/>
      <c r="QF2" s="35"/>
      <c r="QG2" s="35"/>
      <c r="QH2" s="35"/>
      <c r="QI2" s="35"/>
      <c r="QJ2" s="35"/>
      <c r="QK2" s="35"/>
      <c r="QL2" s="35"/>
      <c r="QM2" s="35"/>
      <c r="QN2" s="35"/>
      <c r="QO2" s="35"/>
      <c r="QP2" s="35"/>
      <c r="QQ2" s="35"/>
      <c r="QR2" s="35"/>
      <c r="QS2" s="35"/>
      <c r="QT2" s="35"/>
      <c r="QU2" s="35"/>
      <c r="QV2" s="35"/>
      <c r="QW2" s="35"/>
      <c r="QX2" s="35"/>
      <c r="QY2" s="35"/>
      <c r="QZ2" s="35"/>
      <c r="RA2" s="35"/>
      <c r="RB2" s="35"/>
      <c r="RC2" s="35"/>
      <c r="RD2" s="35"/>
      <c r="RE2" s="35"/>
      <c r="RF2" s="35"/>
      <c r="RG2" s="35"/>
      <c r="RH2" s="35"/>
      <c r="RI2" s="35"/>
      <c r="RJ2" s="35"/>
      <c r="RK2" s="35"/>
      <c r="RL2" s="35"/>
      <c r="RM2" s="35"/>
      <c r="RN2" s="35"/>
      <c r="RO2" s="35"/>
      <c r="RP2" s="35"/>
      <c r="RQ2" s="35"/>
      <c r="RR2" s="35"/>
      <c r="RS2" s="35"/>
      <c r="RT2" s="35"/>
      <c r="RU2" s="35"/>
      <c r="RV2" s="35"/>
      <c r="RW2" s="35"/>
      <c r="RX2" s="35"/>
      <c r="RY2" s="35"/>
      <c r="RZ2" s="35"/>
      <c r="SA2" s="35"/>
      <c r="SB2" s="35"/>
      <c r="SC2" s="35"/>
      <c r="SD2" s="35"/>
      <c r="SE2" s="35"/>
      <c r="SF2" s="35"/>
      <c r="SG2" s="35"/>
      <c r="SH2" s="35"/>
      <c r="SI2" s="35"/>
      <c r="SJ2" s="35"/>
      <c r="SK2" s="35"/>
      <c r="SL2" s="35"/>
      <c r="SM2" s="35"/>
      <c r="SN2" s="35"/>
      <c r="SO2" s="35"/>
      <c r="SP2" s="35"/>
      <c r="SQ2" s="35"/>
      <c r="SR2" s="35"/>
      <c r="SS2" s="35"/>
      <c r="ST2" s="35"/>
      <c r="SU2" s="35"/>
      <c r="SV2" s="35"/>
      <c r="SW2" s="35"/>
      <c r="SX2" s="35"/>
      <c r="SY2" s="35"/>
      <c r="SZ2" s="35"/>
      <c r="TA2" s="35"/>
      <c r="TB2" s="35"/>
      <c r="TC2" s="35"/>
      <c r="TD2" s="35"/>
      <c r="TE2" s="35"/>
      <c r="TF2" s="35"/>
      <c r="TG2" s="35"/>
      <c r="TH2" s="35"/>
      <c r="TI2" s="35"/>
      <c r="TJ2" s="35"/>
      <c r="TK2" s="35"/>
      <c r="TL2" s="35"/>
      <c r="TM2" s="35"/>
      <c r="TN2" s="35"/>
      <c r="TO2" s="35"/>
      <c r="TP2" s="35"/>
      <c r="TQ2" s="35"/>
      <c r="TR2" s="35"/>
      <c r="TS2" s="35"/>
      <c r="TT2" s="35"/>
      <c r="TU2" s="35"/>
      <c r="TV2" s="35"/>
      <c r="TW2" s="35"/>
      <c r="TX2" s="35"/>
      <c r="TY2" s="35"/>
      <c r="TZ2" s="35"/>
      <c r="UA2" s="35"/>
      <c r="UB2" s="35"/>
      <c r="UC2" s="35"/>
      <c r="UD2" s="35"/>
      <c r="UE2" s="35"/>
      <c r="UF2" s="35"/>
      <c r="UG2" s="35"/>
      <c r="UH2" s="35"/>
      <c r="UI2" s="35"/>
      <c r="UJ2" s="35"/>
      <c r="UK2" s="35"/>
      <c r="UL2" s="35"/>
      <c r="UM2" s="35"/>
      <c r="UN2" s="35"/>
      <c r="UO2" s="35"/>
      <c r="UP2" s="35"/>
      <c r="UQ2" s="35"/>
      <c r="UR2" s="35"/>
      <c r="US2" s="35"/>
      <c r="UT2" s="35"/>
      <c r="UU2" s="35"/>
      <c r="UV2" s="35"/>
      <c r="UW2" s="35"/>
      <c r="UX2" s="35"/>
      <c r="UY2" s="35"/>
      <c r="UZ2" s="35"/>
      <c r="VA2" s="35"/>
      <c r="VB2" s="35"/>
      <c r="VC2" s="35"/>
      <c r="VD2" s="35"/>
      <c r="VE2" s="35"/>
      <c r="VF2" s="35"/>
      <c r="VG2" s="35"/>
      <c r="VH2" s="35"/>
      <c r="VI2" s="35"/>
      <c r="VJ2" s="35"/>
      <c r="VK2" s="35"/>
      <c r="VL2" s="35"/>
      <c r="VM2" s="35"/>
      <c r="VN2" s="35"/>
      <c r="VO2" s="35"/>
      <c r="VP2" s="35"/>
      <c r="VQ2" s="35"/>
      <c r="VR2" s="35"/>
      <c r="VS2" s="35"/>
      <c r="VT2" s="35"/>
      <c r="VU2" s="35"/>
      <c r="VV2" s="35"/>
      <c r="VW2" s="35"/>
      <c r="VX2" s="35"/>
      <c r="VY2" s="35"/>
      <c r="VZ2" s="35"/>
      <c r="WA2" s="35"/>
      <c r="WB2" s="35"/>
      <c r="WC2" s="35"/>
      <c r="WD2" s="35"/>
      <c r="WE2" s="35"/>
      <c r="WF2" s="35"/>
      <c r="WG2" s="35"/>
      <c r="WH2" s="35"/>
      <c r="WI2" s="35"/>
      <c r="WJ2" s="35"/>
      <c r="WK2" s="35"/>
      <c r="WL2" s="35"/>
      <c r="WM2" s="35"/>
      <c r="WN2" s="35"/>
      <c r="WO2" s="35"/>
      <c r="WP2" s="35"/>
      <c r="WQ2" s="35"/>
      <c r="WR2" s="35"/>
      <c r="WS2" s="35"/>
      <c r="WT2" s="35"/>
      <c r="WU2" s="35"/>
      <c r="WV2" s="35"/>
      <c r="WW2" s="35"/>
      <c r="WX2" s="35"/>
      <c r="WY2" s="35"/>
      <c r="WZ2" s="35"/>
      <c r="XA2" s="35"/>
      <c r="XB2" s="35"/>
      <c r="XC2" s="35"/>
      <c r="XD2" s="35"/>
      <c r="XE2" s="35"/>
      <c r="XF2" s="35"/>
      <c r="XG2" s="35"/>
      <c r="XH2" s="35"/>
      <c r="XI2" s="35"/>
      <c r="XJ2" s="35"/>
      <c r="XK2" s="35"/>
      <c r="XL2" s="35"/>
      <c r="XM2" s="35"/>
      <c r="XN2" s="35"/>
      <c r="XO2" s="35"/>
      <c r="XP2" s="35"/>
      <c r="XQ2" s="35"/>
      <c r="XR2" s="35"/>
      <c r="XS2" s="35"/>
      <c r="XT2" s="35"/>
      <c r="XU2" s="35"/>
      <c r="XV2" s="35"/>
      <c r="XW2" s="35"/>
      <c r="XX2" s="35"/>
      <c r="XY2" s="35"/>
      <c r="XZ2" s="35"/>
      <c r="YA2" s="35"/>
      <c r="YB2" s="35"/>
      <c r="YC2" s="35"/>
      <c r="YD2" s="35"/>
      <c r="YE2" s="35"/>
      <c r="YF2" s="35"/>
      <c r="YG2" s="35"/>
      <c r="YH2" s="35"/>
      <c r="YI2" s="35"/>
      <c r="YJ2" s="35"/>
      <c r="YK2" s="35"/>
      <c r="YL2" s="35"/>
      <c r="YM2" s="35"/>
      <c r="YN2" s="35"/>
      <c r="YO2" s="35"/>
      <c r="YP2" s="35"/>
      <c r="YQ2" s="35"/>
      <c r="YR2" s="35"/>
      <c r="YS2" s="35"/>
      <c r="YT2" s="35"/>
      <c r="YU2" s="35"/>
      <c r="YV2" s="35"/>
      <c r="YW2" s="35"/>
      <c r="YX2" s="35"/>
      <c r="YY2" s="35"/>
      <c r="YZ2" s="35"/>
      <c r="ZA2" s="35"/>
      <c r="ZB2" s="35"/>
      <c r="ZC2" s="35"/>
      <c r="ZD2" s="35"/>
      <c r="ZE2" s="35"/>
      <c r="ZF2" s="35"/>
      <c r="ZG2" s="35"/>
      <c r="ZH2" s="35"/>
      <c r="ZI2" s="35"/>
      <c r="ZJ2" s="35"/>
      <c r="ZK2" s="35"/>
      <c r="ZL2" s="35"/>
      <c r="ZM2" s="35"/>
      <c r="ZN2" s="35"/>
      <c r="ZO2" s="35"/>
      <c r="ZP2" s="35"/>
      <c r="ZQ2" s="35"/>
      <c r="ZR2" s="35"/>
      <c r="ZS2" s="35"/>
      <c r="ZT2" s="35"/>
      <c r="ZU2" s="35"/>
      <c r="ZV2" s="35"/>
      <c r="ZW2" s="35"/>
      <c r="ZX2" s="35"/>
      <c r="ZY2" s="35"/>
      <c r="ZZ2" s="35"/>
      <c r="AAA2" s="35"/>
      <c r="AAB2" s="35"/>
      <c r="AAC2" s="35"/>
      <c r="AAD2" s="35"/>
      <c r="AAE2" s="35"/>
      <c r="AAF2" s="35"/>
      <c r="AAG2" s="35"/>
      <c r="AAH2" s="35"/>
      <c r="AAI2" s="35"/>
      <c r="AAJ2" s="35"/>
      <c r="AAK2" s="35"/>
      <c r="AAL2" s="35"/>
      <c r="AAM2" s="35"/>
      <c r="AAN2" s="35"/>
      <c r="AAO2" s="35"/>
      <c r="AAP2" s="35"/>
      <c r="AAQ2" s="35"/>
      <c r="AAR2" s="35"/>
      <c r="AAS2" s="35"/>
      <c r="AAT2" s="35"/>
      <c r="AAU2" s="35"/>
      <c r="AAV2" s="35"/>
      <c r="AAW2" s="35"/>
      <c r="AAX2" s="35"/>
      <c r="AAY2" s="35"/>
      <c r="AAZ2" s="35"/>
      <c r="ABA2" s="35"/>
      <c r="ABB2" s="35"/>
      <c r="ABC2" s="35"/>
      <c r="ABD2" s="35"/>
      <c r="ABE2" s="35"/>
      <c r="ABF2" s="35"/>
      <c r="ABG2" s="35"/>
      <c r="ABH2" s="35"/>
      <c r="ABI2" s="35"/>
      <c r="ABJ2" s="35"/>
      <c r="ABK2" s="35"/>
      <c r="ABL2" s="35"/>
      <c r="ABM2" s="35"/>
      <c r="ABN2" s="35"/>
      <c r="ABO2" s="35"/>
      <c r="ABP2" s="35"/>
      <c r="ABQ2" s="35"/>
      <c r="ABR2" s="35"/>
      <c r="ABS2" s="35"/>
      <c r="ABT2" s="35"/>
      <c r="ABU2" s="35"/>
      <c r="ABV2" s="35"/>
      <c r="ABW2" s="35"/>
      <c r="ABX2" s="35"/>
      <c r="ABY2" s="35"/>
      <c r="ABZ2" s="35"/>
      <c r="ACA2" s="35"/>
      <c r="ACB2" s="35"/>
      <c r="ACC2" s="35"/>
      <c r="ACD2" s="35"/>
      <c r="ACE2" s="35"/>
      <c r="ACF2" s="35"/>
      <c r="ACG2" s="35"/>
      <c r="ACH2" s="35"/>
      <c r="ACI2" s="35"/>
      <c r="ACJ2" s="35"/>
      <c r="ACK2" s="35"/>
      <c r="ACL2" s="35"/>
      <c r="ACM2" s="35"/>
      <c r="ACN2" s="35"/>
      <c r="ACO2" s="35"/>
      <c r="ACP2" s="35"/>
      <c r="ACQ2" s="35"/>
      <c r="ACR2" s="35"/>
      <c r="ACS2" s="35"/>
      <c r="ACT2" s="35"/>
      <c r="ACU2" s="35"/>
      <c r="ACV2" s="35"/>
      <c r="ACW2" s="35"/>
      <c r="ACX2" s="35"/>
      <c r="ACY2" s="35"/>
      <c r="ACZ2" s="35"/>
      <c r="ADA2" s="35"/>
      <c r="ADB2" s="35"/>
      <c r="ADC2" s="35"/>
      <c r="ADD2" s="35"/>
      <c r="ADE2" s="35"/>
      <c r="ADF2" s="35"/>
      <c r="ADG2" s="35"/>
      <c r="ADH2" s="35"/>
      <c r="ADI2" s="35"/>
      <c r="ADJ2" s="35"/>
      <c r="ADK2" s="35"/>
      <c r="ADL2" s="35"/>
      <c r="ADM2" s="35"/>
      <c r="ADN2" s="35"/>
      <c r="ADO2" s="35"/>
      <c r="ADP2" s="35"/>
      <c r="ADQ2" s="35"/>
      <c r="ADR2" s="35"/>
      <c r="ADS2" s="35"/>
      <c r="ADT2" s="35"/>
      <c r="ADU2" s="35"/>
      <c r="ADV2" s="35"/>
      <c r="ADW2" s="35"/>
      <c r="ADX2" s="35"/>
      <c r="ADY2" s="35"/>
      <c r="ADZ2" s="35"/>
      <c r="AEA2" s="35"/>
      <c r="AEB2" s="35"/>
      <c r="AEC2" s="35"/>
      <c r="AED2" s="35"/>
      <c r="AEE2" s="35"/>
      <c r="AEF2" s="35"/>
      <c r="AEG2" s="35"/>
      <c r="AEH2" s="35"/>
      <c r="AEI2" s="35"/>
      <c r="AEJ2" s="35"/>
      <c r="AEK2" s="35"/>
      <c r="AEL2" s="35"/>
      <c r="AEM2" s="35"/>
      <c r="AEN2" s="35"/>
      <c r="AEO2" s="35"/>
      <c r="AEP2" s="35"/>
      <c r="AEQ2" s="35"/>
      <c r="AER2" s="35"/>
      <c r="AES2" s="35"/>
      <c r="AET2" s="35"/>
      <c r="AEU2" s="35"/>
      <c r="AEV2" s="35"/>
      <c r="AEW2" s="35"/>
      <c r="AEX2" s="35"/>
      <c r="AEY2" s="35"/>
      <c r="AEZ2" s="35"/>
      <c r="AFA2" s="35"/>
      <c r="AFB2" s="35"/>
      <c r="AFC2" s="35"/>
      <c r="AFD2" s="35"/>
      <c r="AFE2" s="35"/>
      <c r="AFF2" s="35"/>
      <c r="AFG2" s="35"/>
      <c r="AFH2" s="35"/>
      <c r="AFI2" s="35"/>
      <c r="AFJ2" s="35"/>
      <c r="AFK2" s="35"/>
      <c r="AFL2" s="35"/>
      <c r="AFM2" s="35"/>
      <c r="AFN2" s="35"/>
      <c r="AFO2" s="35"/>
      <c r="AFP2" s="35"/>
      <c r="AFQ2" s="35"/>
      <c r="AFR2" s="35"/>
      <c r="AFS2" s="35"/>
      <c r="AFT2" s="35"/>
      <c r="AFU2" s="35"/>
      <c r="AFV2" s="35"/>
      <c r="AFW2" s="35"/>
      <c r="AFX2" s="35"/>
      <c r="AFY2" s="35"/>
      <c r="AFZ2" s="35"/>
      <c r="AGA2" s="35"/>
      <c r="AGB2" s="35"/>
      <c r="AGC2" s="35"/>
      <c r="AGD2" s="35"/>
      <c r="AGE2" s="35"/>
      <c r="AGF2" s="35"/>
      <c r="AGG2" s="35"/>
      <c r="AGH2" s="35"/>
      <c r="AGI2" s="35"/>
      <c r="AGJ2" s="35"/>
      <c r="AGK2" s="35"/>
      <c r="AGL2" s="35"/>
      <c r="AGM2" s="35"/>
      <c r="AGN2" s="35"/>
      <c r="AGO2" s="35"/>
      <c r="AGP2" s="35"/>
      <c r="AGQ2" s="35"/>
      <c r="AGR2" s="35"/>
      <c r="AGS2" s="35"/>
      <c r="AGT2" s="35"/>
      <c r="AGU2" s="35"/>
      <c r="AGV2" s="35"/>
      <c r="AGW2" s="35"/>
      <c r="AGX2" s="35"/>
      <c r="AGY2" s="35"/>
      <c r="AGZ2" s="35"/>
      <c r="AHA2" s="35"/>
      <c r="AHB2" s="35"/>
      <c r="AHC2" s="35"/>
      <c r="AHD2" s="35"/>
      <c r="AHE2" s="35"/>
      <c r="AHF2" s="35"/>
      <c r="AHG2" s="35"/>
      <c r="AHH2" s="35"/>
      <c r="AHI2" s="35"/>
      <c r="AHJ2" s="35"/>
      <c r="AHK2" s="35"/>
      <c r="AHL2" s="35"/>
      <c r="AHM2" s="35"/>
      <c r="AHN2" s="35"/>
      <c r="AHO2" s="35"/>
      <c r="AHP2" s="35"/>
      <c r="AHQ2" s="35"/>
      <c r="AHR2" s="35"/>
      <c r="AHS2" s="35"/>
      <c r="AHT2" s="35"/>
      <c r="AHU2" s="35"/>
      <c r="AHV2" s="35"/>
      <c r="AHW2" s="35"/>
      <c r="AHX2" s="35"/>
      <c r="AHY2" s="35"/>
      <c r="AHZ2" s="35"/>
      <c r="AIA2" s="35"/>
      <c r="AIB2" s="35"/>
      <c r="AIC2" s="35"/>
      <c r="AID2" s="35"/>
      <c r="AIE2" s="35"/>
      <c r="AIF2" s="35"/>
      <c r="AIG2" s="35"/>
      <c r="AIH2" s="35"/>
      <c r="AII2" s="35"/>
      <c r="AIJ2" s="35"/>
      <c r="AIK2" s="35"/>
      <c r="AIL2" s="35"/>
      <c r="AIM2" s="35"/>
      <c r="AIN2" s="35"/>
      <c r="AIO2" s="35"/>
      <c r="AIP2" s="35"/>
      <c r="AIQ2" s="35"/>
      <c r="AIR2" s="35"/>
      <c r="AIS2" s="35"/>
      <c r="AIT2" s="35"/>
      <c r="AIU2" s="35"/>
      <c r="AIV2" s="35"/>
      <c r="AIW2" s="35"/>
      <c r="AIX2" s="35"/>
      <c r="AIY2" s="35"/>
      <c r="AIZ2" s="35"/>
      <c r="AJA2" s="35"/>
      <c r="AJB2" s="35"/>
      <c r="AJC2" s="35"/>
      <c r="AJD2" s="35"/>
      <c r="AJE2" s="35"/>
      <c r="AJF2" s="35"/>
      <c r="AJG2" s="35"/>
      <c r="AJH2" s="35"/>
      <c r="AJI2" s="35"/>
      <c r="AJJ2" s="35"/>
      <c r="AJK2" s="35"/>
      <c r="AJL2" s="35"/>
      <c r="AJM2" s="35"/>
      <c r="AJN2" s="35"/>
      <c r="AJO2" s="35"/>
      <c r="AJP2" s="35"/>
      <c r="AJQ2" s="35"/>
      <c r="AJR2" s="35"/>
      <c r="AJS2" s="35"/>
      <c r="AJT2" s="35"/>
      <c r="AJU2" s="35"/>
      <c r="AJV2" s="35"/>
      <c r="AJW2" s="35"/>
      <c r="AJX2" s="35"/>
      <c r="AJY2" s="35"/>
      <c r="AJZ2" s="35"/>
      <c r="AKA2" s="35"/>
      <c r="AKB2" s="35"/>
      <c r="AKC2" s="35"/>
      <c r="AKD2" s="35"/>
      <c r="AKE2" s="35"/>
      <c r="AKF2" s="35"/>
      <c r="AKG2" s="35"/>
      <c r="AKH2" s="35"/>
      <c r="AKI2" s="35"/>
      <c r="AKJ2" s="35"/>
      <c r="AKK2" s="35"/>
      <c r="AKL2" s="35"/>
      <c r="AKM2" s="35"/>
      <c r="AKN2" s="35"/>
      <c r="AKO2" s="35"/>
      <c r="AKP2" s="35"/>
      <c r="AKQ2" s="35"/>
      <c r="AKR2" s="35"/>
      <c r="AKS2" s="35"/>
      <c r="AKT2" s="35"/>
      <c r="AKU2" s="35"/>
      <c r="AKV2" s="35"/>
      <c r="AKW2" s="35"/>
      <c r="AKX2" s="35"/>
      <c r="AKY2" s="35"/>
      <c r="AKZ2" s="35"/>
      <c r="ALA2" s="35"/>
      <c r="ALB2" s="35"/>
      <c r="ALC2" s="35"/>
      <c r="ALD2" s="35"/>
      <c r="ALE2" s="35"/>
      <c r="ALF2" s="35"/>
      <c r="ALG2" s="35"/>
      <c r="ALH2" s="35"/>
      <c r="ALI2" s="35"/>
      <c r="ALJ2" s="35"/>
      <c r="ALK2" s="35"/>
      <c r="ALL2" s="35"/>
      <c r="ALM2" s="35"/>
      <c r="ALN2" s="35"/>
      <c r="ALO2" s="35"/>
      <c r="ALP2" s="35"/>
      <c r="ALQ2" s="35"/>
      <c r="ALR2" s="35"/>
      <c r="ALS2" s="35"/>
      <c r="ALT2" s="35"/>
      <c r="ALU2" s="35"/>
      <c r="ALV2" s="35"/>
      <c r="ALW2" s="35"/>
      <c r="ALX2" s="35"/>
      <c r="ALY2" s="1"/>
      <c r="ALZ2" s="1"/>
      <c r="AMA2" s="1"/>
      <c r="AMB2" s="1"/>
      <c r="AMC2" s="1"/>
      <c r="AMD2" s="1"/>
      <c r="AME2" s="1"/>
      <c r="AMF2" s="1"/>
      <c r="AMG2" s="1"/>
      <c r="AMH2" s="1"/>
      <c r="AMI2" s="1"/>
    </row>
    <row r="3" customFormat="false" ht="23.85" hidden="false" customHeight="false" outlineLevel="0" collapsed="false">
      <c r="A3" s="43" t="s">
        <v>414</v>
      </c>
      <c r="B3" s="45" t="s">
        <v>439</v>
      </c>
      <c r="C3" s="45" t="s">
        <v>923</v>
      </c>
      <c r="D3" s="45" t="s">
        <v>837</v>
      </c>
      <c r="E3" s="48" t="s">
        <v>440</v>
      </c>
      <c r="F3" s="48" t="s">
        <v>601</v>
      </c>
      <c r="G3" s="48" t="s">
        <v>706</v>
      </c>
      <c r="H3" s="45" t="s">
        <v>924</v>
      </c>
      <c r="I3" s="49" t="s">
        <v>765</v>
      </c>
      <c r="J3" s="128" t="s">
        <v>871</v>
      </c>
      <c r="K3" s="123" t="s">
        <v>561</v>
      </c>
      <c r="L3" s="43" t="s">
        <v>442</v>
      </c>
      <c r="M3" s="45" t="s">
        <v>851</v>
      </c>
      <c r="N3" s="48" t="s">
        <v>454</v>
      </c>
    </row>
    <row r="4" customFormat="false" ht="9.7" hidden="false" customHeight="true" outlineLevel="0" collapsed="false">
      <c r="A4" s="39" t="str">
        <f aca="false">A3</f>
        <v>A</v>
      </c>
      <c r="B4" s="51" t="str">
        <f aca="false">B3</f>
        <v>Status</v>
      </c>
      <c r="C4" s="51" t="str">
        <f aca="false">C3</f>
        <v>Service Type</v>
      </c>
      <c r="D4" s="51" t="str">
        <f aca="false">D3</f>
        <v>Alias</v>
      </c>
      <c r="E4" s="52" t="str">
        <f aca="false">E3</f>
        <v>Name</v>
      </c>
      <c r="F4" s="52" t="str">
        <f aca="false">F3</f>
        <v>Overview</v>
      </c>
      <c r="G4" s="52" t="str">
        <f aca="false">G3</f>
        <v>Link</v>
      </c>
      <c r="H4" s="51" t="str">
        <f aca="false">H3</f>
        <v>Service Category</v>
      </c>
      <c r="I4" s="51" t="str">
        <f aca="false">I3</f>
        <v>Activity</v>
      </c>
      <c r="J4" s="129" t="str">
        <f aca="false">J3</f>
        <v>Cost</v>
      </c>
      <c r="K4" s="129" t="str">
        <f aca="false">K3</f>
        <v>Reference</v>
      </c>
      <c r="L4" s="39" t="str">
        <f aca="false">K3</f>
        <v>Reference</v>
      </c>
      <c r="M4" s="51" t="str">
        <f aca="false">M3</f>
        <v>ID</v>
      </c>
      <c r="N4" s="52" t="str">
        <f aca="false">N3</f>
        <v>Z</v>
      </c>
    </row>
    <row r="5" customFormat="false" ht="12.8" hidden="false" customHeight="false" outlineLevel="0" collapsed="false">
      <c r="A5" s="54"/>
      <c r="B5" s="60"/>
      <c r="C5" s="62" t="s">
        <v>925</v>
      </c>
      <c r="D5" s="64"/>
      <c r="E5" s="64"/>
      <c r="F5" s="64"/>
      <c r="G5" s="64"/>
      <c r="H5" s="62"/>
      <c r="I5" s="70"/>
      <c r="J5" s="130"/>
      <c r="K5" s="63" t="s">
        <v>25</v>
      </c>
      <c r="L5" s="54" t="s">
        <v>25</v>
      </c>
      <c r="M5" s="126"/>
      <c r="N5" s="64" t="s">
        <v>364</v>
      </c>
    </row>
    <row r="6" customFormat="false" ht="12.8" hidden="false" customHeight="false" outlineLevel="0" collapsed="false">
      <c r="A6" s="54"/>
      <c r="B6" s="60"/>
      <c r="C6" s="62"/>
      <c r="D6" s="64"/>
      <c r="E6" s="64"/>
      <c r="F6" s="64"/>
      <c r="G6" s="64"/>
      <c r="H6" s="62"/>
      <c r="I6" s="70"/>
      <c r="J6" s="130"/>
      <c r="K6" s="63" t="s">
        <v>25</v>
      </c>
      <c r="L6" s="54" t="s">
        <v>25</v>
      </c>
      <c r="M6" s="126"/>
      <c r="N6" s="64" t="s">
        <v>364</v>
      </c>
    </row>
    <row r="7" customFormat="false" ht="12.8" hidden="false" customHeight="false" outlineLevel="0" collapsed="false">
      <c r="A7" s="54"/>
      <c r="B7" s="60"/>
      <c r="C7" s="62"/>
      <c r="D7" s="64"/>
      <c r="E7" s="64"/>
      <c r="F7" s="64"/>
      <c r="G7" s="64"/>
      <c r="H7" s="62"/>
      <c r="I7" s="70"/>
      <c r="J7" s="130"/>
      <c r="K7" s="63"/>
      <c r="L7" s="54"/>
      <c r="M7" s="126"/>
      <c r="N7" s="64" t="s">
        <v>364</v>
      </c>
    </row>
    <row r="8" customFormat="false" ht="12.8" hidden="false" customHeight="false" outlineLevel="0" collapsed="false">
      <c r="A8" s="54"/>
      <c r="B8" s="60"/>
      <c r="C8" s="62"/>
      <c r="D8" s="64"/>
      <c r="E8" s="64"/>
      <c r="F8" s="64"/>
      <c r="G8" s="64"/>
      <c r="H8" s="62"/>
      <c r="I8" s="70"/>
      <c r="J8" s="130"/>
      <c r="K8" s="63"/>
      <c r="L8" s="54"/>
      <c r="M8" s="126"/>
      <c r="N8" s="64" t="s">
        <v>364</v>
      </c>
    </row>
    <row r="9" customFormat="false" ht="12.8" hidden="false" customHeight="false" outlineLevel="0" collapsed="false">
      <c r="A9" s="54"/>
      <c r="B9" s="60"/>
      <c r="C9" s="62"/>
      <c r="D9" s="64"/>
      <c r="E9" s="64"/>
      <c r="F9" s="64"/>
      <c r="G9" s="64"/>
      <c r="H9" s="62"/>
      <c r="I9" s="70"/>
      <c r="J9" s="130"/>
      <c r="K9" s="63"/>
      <c r="L9" s="54"/>
      <c r="M9" s="126"/>
      <c r="N9" s="64" t="s">
        <v>364</v>
      </c>
    </row>
    <row r="10" customFormat="false" ht="12.8" hidden="false" customHeight="false" outlineLevel="0" collapsed="false">
      <c r="A10" s="54"/>
      <c r="B10" s="60"/>
      <c r="C10" s="62"/>
      <c r="D10" s="64"/>
      <c r="E10" s="64"/>
      <c r="F10" s="64"/>
      <c r="G10" s="64"/>
      <c r="H10" s="62"/>
      <c r="I10" s="70"/>
      <c r="J10" s="130"/>
      <c r="K10" s="63"/>
      <c r="L10" s="54"/>
      <c r="M10" s="126"/>
      <c r="N10" s="64" t="s">
        <v>364</v>
      </c>
    </row>
    <row r="11" customFormat="false" ht="12.8" hidden="false" customHeight="false" outlineLevel="0" collapsed="false">
      <c r="A11" s="54"/>
      <c r="B11" s="60"/>
      <c r="C11" s="62"/>
      <c r="D11" s="64"/>
      <c r="E11" s="64"/>
      <c r="F11" s="64"/>
      <c r="G11" s="64"/>
      <c r="H11" s="62"/>
      <c r="I11" s="70"/>
      <c r="J11" s="130"/>
      <c r="K11" s="63"/>
      <c r="L11" s="54"/>
      <c r="M11" s="126"/>
      <c r="N11" s="64" t="s">
        <v>364</v>
      </c>
    </row>
    <row r="12" customFormat="false" ht="12.8" hidden="false" customHeight="false" outlineLevel="0" collapsed="false">
      <c r="A12" s="54"/>
      <c r="B12" s="60"/>
      <c r="C12" s="62"/>
      <c r="D12" s="64"/>
      <c r="E12" s="64"/>
      <c r="F12" s="64"/>
      <c r="G12" s="64"/>
      <c r="H12" s="62"/>
      <c r="I12" s="70"/>
      <c r="J12" s="130"/>
      <c r="K12" s="63"/>
      <c r="L12" s="54"/>
      <c r="M12" s="126"/>
      <c r="N12" s="64" t="s">
        <v>364</v>
      </c>
    </row>
    <row r="13" customFormat="false" ht="12.8" hidden="false" customHeight="false" outlineLevel="0" collapsed="false">
      <c r="A13" s="54"/>
      <c r="B13" s="60"/>
      <c r="C13" s="62"/>
      <c r="D13" s="64"/>
      <c r="E13" s="64"/>
      <c r="F13" s="64"/>
      <c r="G13" s="64"/>
      <c r="H13" s="62"/>
      <c r="I13" s="70"/>
      <c r="J13" s="130"/>
      <c r="K13" s="63"/>
      <c r="L13" s="54"/>
      <c r="M13" s="126"/>
      <c r="N13" s="64" t="s">
        <v>364</v>
      </c>
    </row>
    <row r="14" customFormat="false" ht="12.8" hidden="false" customHeight="false" outlineLevel="0" collapsed="false">
      <c r="A14" s="54"/>
      <c r="B14" s="60"/>
      <c r="C14" s="62"/>
      <c r="D14" s="64"/>
      <c r="E14" s="64"/>
      <c r="F14" s="64"/>
      <c r="G14" s="64"/>
      <c r="H14" s="62"/>
      <c r="I14" s="70"/>
      <c r="J14" s="130"/>
      <c r="K14" s="63"/>
      <c r="L14" s="54"/>
      <c r="M14" s="126"/>
      <c r="N14" s="64" t="s">
        <v>364</v>
      </c>
    </row>
    <row r="15" customFormat="false" ht="12.8" hidden="false" customHeight="false" outlineLevel="0" collapsed="false">
      <c r="A15" s="54"/>
      <c r="B15" s="60"/>
      <c r="C15" s="62"/>
      <c r="D15" s="64"/>
      <c r="E15" s="64"/>
      <c r="F15" s="64"/>
      <c r="G15" s="64"/>
      <c r="H15" s="62"/>
      <c r="I15" s="70"/>
      <c r="J15" s="130"/>
      <c r="K15" s="63"/>
      <c r="L15" s="54"/>
      <c r="M15" s="126"/>
      <c r="N15" s="64" t="s">
        <v>364</v>
      </c>
    </row>
    <row r="16" customFormat="false" ht="12.8" hidden="false" customHeight="false" outlineLevel="0" collapsed="false">
      <c r="A16" s="54"/>
      <c r="B16" s="60"/>
      <c r="C16" s="62"/>
      <c r="D16" s="64"/>
      <c r="E16" s="64"/>
      <c r="F16" s="64"/>
      <c r="G16" s="64"/>
      <c r="H16" s="62"/>
      <c r="I16" s="70"/>
      <c r="J16" s="130"/>
      <c r="K16" s="63"/>
      <c r="L16" s="54"/>
      <c r="M16" s="126"/>
      <c r="N16" s="64" t="s">
        <v>364</v>
      </c>
    </row>
    <row r="17" customFormat="false" ht="12.8" hidden="false" customHeight="false" outlineLevel="0" collapsed="false">
      <c r="A17" s="54"/>
      <c r="B17" s="60"/>
      <c r="C17" s="62"/>
      <c r="D17" s="64"/>
      <c r="E17" s="64"/>
      <c r="F17" s="64"/>
      <c r="G17" s="64"/>
      <c r="H17" s="62"/>
      <c r="I17" s="70"/>
      <c r="J17" s="130"/>
      <c r="K17" s="63"/>
      <c r="L17" s="54"/>
      <c r="M17" s="126"/>
      <c r="N17" s="64" t="s">
        <v>364</v>
      </c>
    </row>
    <row r="18" customFormat="false" ht="12.8" hidden="false" customHeight="false" outlineLevel="0" collapsed="false">
      <c r="A18" s="54"/>
      <c r="B18" s="60"/>
      <c r="C18" s="62"/>
      <c r="D18" s="64"/>
      <c r="E18" s="64"/>
      <c r="F18" s="64"/>
      <c r="G18" s="64"/>
      <c r="H18" s="62"/>
      <c r="I18" s="70"/>
      <c r="J18" s="130"/>
      <c r="K18" s="63"/>
      <c r="L18" s="54"/>
      <c r="M18" s="126"/>
      <c r="N18" s="64" t="s">
        <v>364</v>
      </c>
    </row>
    <row r="19" customFormat="false" ht="12.8" hidden="false" customHeight="false" outlineLevel="0" collapsed="false">
      <c r="A19" s="54"/>
      <c r="B19" s="60"/>
      <c r="C19" s="62"/>
      <c r="D19" s="64"/>
      <c r="E19" s="64"/>
      <c r="F19" s="64"/>
      <c r="G19" s="64"/>
      <c r="H19" s="62"/>
      <c r="I19" s="70"/>
      <c r="J19" s="130"/>
      <c r="K19" s="63"/>
      <c r="L19" s="54"/>
      <c r="M19" s="126"/>
      <c r="N19" s="64" t="s">
        <v>364</v>
      </c>
    </row>
    <row r="20" customFormat="false" ht="12.8" hidden="false" customHeight="false" outlineLevel="0" collapsed="false">
      <c r="A20" s="54"/>
      <c r="B20" s="60"/>
      <c r="C20" s="62"/>
      <c r="D20" s="64"/>
      <c r="E20" s="64"/>
      <c r="F20" s="64"/>
      <c r="G20" s="64"/>
      <c r="H20" s="62"/>
      <c r="I20" s="70"/>
      <c r="J20" s="130"/>
      <c r="K20" s="63"/>
      <c r="L20" s="54"/>
      <c r="M20" s="126"/>
      <c r="N20" s="64" t="s">
        <v>364</v>
      </c>
    </row>
    <row r="21" customFormat="false" ht="12.8" hidden="false" customHeight="false" outlineLevel="0" collapsed="false">
      <c r="A21" s="54"/>
      <c r="B21" s="60"/>
      <c r="C21" s="62"/>
      <c r="D21" s="64"/>
      <c r="E21" s="64"/>
      <c r="F21" s="64"/>
      <c r="G21" s="64"/>
      <c r="H21" s="62"/>
      <c r="I21" s="70"/>
      <c r="J21" s="130"/>
      <c r="K21" s="63"/>
      <c r="L21" s="54"/>
      <c r="M21" s="126"/>
      <c r="N21" s="64" t="s">
        <v>364</v>
      </c>
    </row>
    <row r="22" customFormat="false" ht="12.8" hidden="false" customHeight="false" outlineLevel="0" collapsed="false">
      <c r="A22" s="54"/>
      <c r="B22" s="60"/>
      <c r="C22" s="62"/>
      <c r="D22" s="64"/>
      <c r="E22" s="64"/>
      <c r="F22" s="64"/>
      <c r="G22" s="64"/>
      <c r="H22" s="62"/>
      <c r="I22" s="70"/>
      <c r="J22" s="130"/>
      <c r="K22" s="63"/>
      <c r="L22" s="54"/>
      <c r="M22" s="126"/>
      <c r="N22" s="64" t="s">
        <v>364</v>
      </c>
    </row>
    <row r="23" customFormat="false" ht="12.8" hidden="false" customHeight="false" outlineLevel="0" collapsed="false">
      <c r="A23" s="54"/>
      <c r="B23" s="60"/>
      <c r="C23" s="62"/>
      <c r="D23" s="64"/>
      <c r="E23" s="64"/>
      <c r="F23" s="64"/>
      <c r="G23" s="64"/>
      <c r="H23" s="62"/>
      <c r="I23" s="70"/>
      <c r="J23" s="130"/>
      <c r="K23" s="63"/>
      <c r="L23" s="54"/>
      <c r="M23" s="126"/>
      <c r="N23" s="64" t="s">
        <v>364</v>
      </c>
    </row>
    <row r="24" customFormat="false" ht="12.8" hidden="false" customHeight="false" outlineLevel="0" collapsed="false">
      <c r="A24" s="54"/>
      <c r="B24" s="60"/>
      <c r="C24" s="62"/>
      <c r="D24" s="64"/>
      <c r="E24" s="64"/>
      <c r="F24" s="64"/>
      <c r="G24" s="64"/>
      <c r="H24" s="62"/>
      <c r="I24" s="70"/>
      <c r="J24" s="130"/>
      <c r="K24" s="63"/>
      <c r="L24" s="54"/>
      <c r="M24" s="126"/>
      <c r="N24" s="64" t="s">
        <v>364</v>
      </c>
    </row>
    <row r="25" customFormat="false" ht="12.8" hidden="false" customHeight="false" outlineLevel="0" collapsed="false">
      <c r="A25" s="54"/>
      <c r="B25" s="60"/>
      <c r="C25" s="62"/>
      <c r="D25" s="64"/>
      <c r="E25" s="64"/>
      <c r="F25" s="64"/>
      <c r="G25" s="64"/>
      <c r="H25" s="62"/>
      <c r="I25" s="70"/>
      <c r="J25" s="130"/>
      <c r="K25" s="63"/>
      <c r="L25" s="54"/>
      <c r="M25" s="126"/>
      <c r="N25" s="64" t="s">
        <v>364</v>
      </c>
    </row>
    <row r="26" customFormat="false" ht="12.8" hidden="false" customHeight="false" outlineLevel="0" collapsed="false">
      <c r="A26" s="54"/>
      <c r="B26" s="60"/>
      <c r="C26" s="62"/>
      <c r="D26" s="64"/>
      <c r="E26" s="64"/>
      <c r="F26" s="64"/>
      <c r="G26" s="64"/>
      <c r="H26" s="62"/>
      <c r="I26" s="70"/>
      <c r="J26" s="130"/>
      <c r="K26" s="63"/>
      <c r="L26" s="54"/>
      <c r="M26" s="126"/>
      <c r="N26" s="64" t="s">
        <v>364</v>
      </c>
    </row>
    <row r="27" customFormat="false" ht="12.8" hidden="false" customHeight="false" outlineLevel="0" collapsed="false">
      <c r="A27" s="54"/>
      <c r="B27" s="60"/>
      <c r="C27" s="62"/>
      <c r="D27" s="64"/>
      <c r="E27" s="64"/>
      <c r="F27" s="64"/>
      <c r="G27" s="64"/>
      <c r="H27" s="62"/>
      <c r="I27" s="70"/>
      <c r="J27" s="130"/>
      <c r="K27" s="63"/>
      <c r="L27" s="54"/>
      <c r="M27" s="126"/>
      <c r="N27" s="64" t="s">
        <v>364</v>
      </c>
    </row>
    <row r="28" customFormat="false" ht="12.8" hidden="false" customHeight="false" outlineLevel="0" collapsed="false">
      <c r="A28" s="54"/>
      <c r="B28" s="60"/>
      <c r="C28" s="62"/>
      <c r="D28" s="64"/>
      <c r="E28" s="64"/>
      <c r="F28" s="64"/>
      <c r="G28" s="64"/>
      <c r="H28" s="62"/>
      <c r="I28" s="70"/>
      <c r="J28" s="130"/>
      <c r="K28" s="63"/>
      <c r="L28" s="54"/>
      <c r="M28" s="126"/>
      <c r="N28" s="64" t="s">
        <v>364</v>
      </c>
    </row>
    <row r="29" customFormat="false" ht="12.8" hidden="false" customHeight="false" outlineLevel="0" collapsed="false">
      <c r="A29" s="54"/>
      <c r="B29" s="60"/>
      <c r="C29" s="62"/>
      <c r="D29" s="64"/>
      <c r="E29" s="64"/>
      <c r="F29" s="64"/>
      <c r="G29" s="64"/>
      <c r="H29" s="62"/>
      <c r="I29" s="70"/>
      <c r="J29" s="130"/>
      <c r="K29" s="63"/>
      <c r="L29" s="54"/>
      <c r="M29" s="126"/>
      <c r="N29" s="64" t="s">
        <v>364</v>
      </c>
    </row>
    <row r="30" customFormat="false" ht="12.8" hidden="false" customHeight="false" outlineLevel="0" collapsed="false">
      <c r="A30" s="54"/>
      <c r="B30" s="60"/>
      <c r="C30" s="62"/>
      <c r="D30" s="64"/>
      <c r="E30" s="64"/>
      <c r="F30" s="64"/>
      <c r="G30" s="64"/>
      <c r="H30" s="62"/>
      <c r="I30" s="70"/>
      <c r="J30" s="130"/>
      <c r="K30" s="63"/>
      <c r="L30" s="54"/>
      <c r="M30" s="126"/>
      <c r="N30" s="64" t="s">
        <v>364</v>
      </c>
    </row>
    <row r="31" customFormat="false" ht="12.8" hidden="false" customHeight="false" outlineLevel="0" collapsed="false">
      <c r="A31" s="54"/>
      <c r="B31" s="60"/>
      <c r="C31" s="62"/>
      <c r="D31" s="64"/>
      <c r="E31" s="64"/>
      <c r="F31" s="64"/>
      <c r="G31" s="64"/>
      <c r="H31" s="62"/>
      <c r="I31" s="70"/>
      <c r="J31" s="130"/>
      <c r="K31" s="63"/>
      <c r="L31" s="54"/>
      <c r="M31" s="126"/>
      <c r="N31" s="64" t="s">
        <v>364</v>
      </c>
    </row>
    <row r="32" customFormat="false" ht="12.8" hidden="false" customHeight="false" outlineLevel="0" collapsed="false">
      <c r="A32" s="54"/>
      <c r="B32" s="60"/>
      <c r="C32" s="62"/>
      <c r="D32" s="64"/>
      <c r="E32" s="64"/>
      <c r="F32" s="64"/>
      <c r="G32" s="64"/>
      <c r="H32" s="62"/>
      <c r="I32" s="70"/>
      <c r="J32" s="130"/>
      <c r="K32" s="63"/>
      <c r="L32" s="54"/>
      <c r="M32" s="126"/>
      <c r="N32" s="64" t="s">
        <v>364</v>
      </c>
    </row>
    <row r="33" customFormat="false" ht="12.8" hidden="false" customHeight="false" outlineLevel="0" collapsed="false">
      <c r="A33" s="54"/>
      <c r="B33" s="60"/>
      <c r="C33" s="62"/>
      <c r="D33" s="64"/>
      <c r="E33" s="64"/>
      <c r="F33" s="64"/>
      <c r="G33" s="64"/>
      <c r="H33" s="62"/>
      <c r="I33" s="70"/>
      <c r="J33" s="130"/>
      <c r="K33" s="63"/>
      <c r="L33" s="54"/>
      <c r="M33" s="126"/>
      <c r="N33" s="64" t="s">
        <v>364</v>
      </c>
    </row>
    <row r="34" customFormat="false" ht="12.8" hidden="false" customHeight="false" outlineLevel="0" collapsed="false">
      <c r="A34" s="54"/>
      <c r="B34" s="60"/>
      <c r="C34" s="62"/>
      <c r="D34" s="64"/>
      <c r="E34" s="64"/>
      <c r="F34" s="64"/>
      <c r="G34" s="64"/>
      <c r="H34" s="62"/>
      <c r="I34" s="70"/>
      <c r="J34" s="130"/>
      <c r="K34" s="63"/>
      <c r="L34" s="54"/>
      <c r="M34" s="126"/>
      <c r="N34" s="64" t="s">
        <v>364</v>
      </c>
    </row>
    <row r="35" customFormat="false" ht="12.8" hidden="false" customHeight="false" outlineLevel="0" collapsed="false">
      <c r="A35" s="54"/>
      <c r="B35" s="60"/>
      <c r="C35" s="62"/>
      <c r="D35" s="64"/>
      <c r="E35" s="64"/>
      <c r="F35" s="64"/>
      <c r="G35" s="64"/>
      <c r="H35" s="62"/>
      <c r="I35" s="70"/>
      <c r="J35" s="130"/>
      <c r="K35" s="63"/>
      <c r="L35" s="54"/>
      <c r="M35" s="126"/>
      <c r="N35" s="64" t="s">
        <v>364</v>
      </c>
    </row>
    <row r="36" customFormat="false" ht="12.8" hidden="false" customHeight="false" outlineLevel="0" collapsed="false">
      <c r="A36" s="54"/>
      <c r="B36" s="60"/>
      <c r="C36" s="62"/>
      <c r="D36" s="64"/>
      <c r="E36" s="64"/>
      <c r="F36" s="64"/>
      <c r="G36" s="64"/>
      <c r="H36" s="62"/>
      <c r="I36" s="70"/>
      <c r="J36" s="130"/>
      <c r="K36" s="63"/>
      <c r="L36" s="54"/>
      <c r="M36" s="126"/>
      <c r="N36" s="64" t="s">
        <v>364</v>
      </c>
    </row>
    <row r="37" customFormat="false" ht="12.8" hidden="false" customHeight="false" outlineLevel="0" collapsed="false">
      <c r="A37" s="54"/>
      <c r="B37" s="60"/>
      <c r="C37" s="62"/>
      <c r="D37" s="64"/>
      <c r="E37" s="64"/>
      <c r="F37" s="64"/>
      <c r="G37" s="64"/>
      <c r="H37" s="62"/>
      <c r="I37" s="70"/>
      <c r="J37" s="130"/>
      <c r="K37" s="63"/>
      <c r="L37" s="54"/>
      <c r="M37" s="126"/>
      <c r="N37" s="64" t="s">
        <v>364</v>
      </c>
    </row>
    <row r="38" customFormat="false" ht="12.8" hidden="false" customHeight="false" outlineLevel="0" collapsed="false">
      <c r="A38" s="54"/>
      <c r="B38" s="60"/>
      <c r="C38" s="62"/>
      <c r="D38" s="64"/>
      <c r="E38" s="64"/>
      <c r="F38" s="64"/>
      <c r="G38" s="64"/>
      <c r="H38" s="62"/>
      <c r="I38" s="70"/>
      <c r="J38" s="130"/>
      <c r="K38" s="63"/>
      <c r="L38" s="54"/>
      <c r="M38" s="126"/>
      <c r="N38" s="64" t="s">
        <v>364</v>
      </c>
    </row>
    <row r="39" customFormat="false" ht="12.8" hidden="false" customHeight="false" outlineLevel="0" collapsed="false">
      <c r="A39" s="54"/>
      <c r="B39" s="60"/>
      <c r="C39" s="62"/>
      <c r="D39" s="64"/>
      <c r="E39" s="64"/>
      <c r="F39" s="64"/>
      <c r="G39" s="64"/>
      <c r="H39" s="62"/>
      <c r="I39" s="70"/>
      <c r="J39" s="130"/>
      <c r="K39" s="63"/>
      <c r="L39" s="54"/>
      <c r="M39" s="126"/>
      <c r="N39" s="64" t="s">
        <v>364</v>
      </c>
    </row>
    <row r="40" customFormat="false" ht="12.8" hidden="false" customHeight="false" outlineLevel="0" collapsed="false">
      <c r="B40" s="3"/>
    </row>
  </sheetData>
  <autoFilter ref="A4:N39"/>
  <dataValidations count="2">
    <dataValidation allowBlank="true" errorStyle="stop" operator="equal" showDropDown="false" showErrorMessage="true" showInputMessage="false" sqref="C5:C39" type="list">
      <formula1>Static!$W$5:$W$6</formula1>
      <formula2>0</formula2>
    </dataValidation>
    <dataValidation allowBlank="true" errorStyle="stop" operator="equal" showDropDown="false" showErrorMessage="true" showInputMessage="false" sqref="H5:H39" type="list">
      <formula1>Static!$X$5:$X$9</formula1>
      <formula2>0</formula2>
    </dataValidation>
  </dataValidation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1D41A"/>
    <pageSetUpPr fitToPage="false"/>
  </sheetPr>
  <dimension ref="A1:AMJ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3" topLeftCell="F4" activePane="bottomRight" state="frozen"/>
      <selection pane="topLeft" activeCell="A1" activeCellId="0" sqref="A1"/>
      <selection pane="topRight" activeCell="F1" activeCellId="0" sqref="F1"/>
      <selection pane="bottomLeft" activeCell="A4" activeCellId="0" sqref="A4"/>
      <selection pane="bottomRight" activeCell="K7" activeCellId="0" sqref="K7"/>
    </sheetView>
  </sheetViews>
  <sheetFormatPr defaultColWidth="16.1484375" defaultRowHeight="12.8" zeroHeight="false" outlineLevelRow="1" outlineLevelCol="0"/>
  <cols>
    <col collapsed="false" customWidth="true" hidden="false" outlineLevel="0" max="1" min="1" style="3" width="1.8"/>
    <col collapsed="false" customWidth="true" hidden="false" outlineLevel="0" max="2" min="2" style="29" width="6.54"/>
    <col collapsed="false" customWidth="true" hidden="false" outlineLevel="0" max="3" min="3" style="29" width="8.48"/>
    <col collapsed="false" customWidth="true" hidden="false" outlineLevel="0" max="4" min="4" style="29" width="8.34"/>
    <col collapsed="false" customWidth="true" hidden="false" outlineLevel="0" max="6" min="6" style="1" width="16.36"/>
    <col collapsed="false" customWidth="true" hidden="false" outlineLevel="0" max="7" min="7" style="1" width="8.34"/>
    <col collapsed="false" customWidth="true" hidden="false" outlineLevel="0" max="8" min="8" style="29" width="11.72"/>
    <col collapsed="false" customWidth="true" hidden="false" outlineLevel="0" max="9" min="9" style="29" width="11.52"/>
    <col collapsed="false" customWidth="true" hidden="false" outlineLevel="0" max="10" min="10" style="121" width="10.06"/>
    <col collapsed="false" customWidth="true" hidden="false" outlineLevel="0" max="11" min="11" style="3" width="11.89"/>
    <col collapsed="false" customWidth="true" hidden="false" outlineLevel="0" max="12" min="12" style="3" width="16.97"/>
    <col collapsed="false" customWidth="true" hidden="false" outlineLevel="0" max="13" min="13" style="29" width="6.62"/>
    <col collapsed="false" customWidth="true" hidden="false" outlineLevel="0" max="14" min="14" style="1" width="2.54"/>
  </cols>
  <sheetData>
    <row r="1" customFormat="false" ht="81.3" hidden="false" customHeight="true" outlineLevel="1" collapsed="false">
      <c r="A1" s="31" t="s">
        <v>749</v>
      </c>
      <c r="B1" s="33" t="s">
        <v>860</v>
      </c>
      <c r="C1" s="33" t="s">
        <v>926</v>
      </c>
      <c r="D1" s="33" t="s">
        <v>817</v>
      </c>
      <c r="E1" s="34" t="s">
        <v>927</v>
      </c>
      <c r="F1" s="34" t="s">
        <v>819</v>
      </c>
      <c r="G1" s="83" t="s">
        <v>928</v>
      </c>
      <c r="H1" s="83" t="s">
        <v>929</v>
      </c>
      <c r="I1" s="83" t="s">
        <v>930</v>
      </c>
      <c r="J1" s="72" t="s">
        <v>931</v>
      </c>
      <c r="K1" s="72" t="s">
        <v>757</v>
      </c>
      <c r="L1" s="31" t="s">
        <v>835</v>
      </c>
      <c r="M1" s="33" t="s">
        <v>904</v>
      </c>
      <c r="N1" s="31" t="s">
        <v>412</v>
      </c>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c r="CT1" s="35"/>
      <c r="CU1" s="35"/>
      <c r="CV1" s="35"/>
      <c r="CW1" s="35"/>
      <c r="CX1" s="35"/>
      <c r="CY1" s="35"/>
      <c r="CZ1" s="35"/>
      <c r="DA1" s="35"/>
      <c r="DB1" s="35"/>
      <c r="DC1" s="35"/>
      <c r="DD1" s="35"/>
      <c r="DE1" s="35"/>
      <c r="DF1" s="35"/>
      <c r="DG1" s="35"/>
      <c r="DH1" s="35"/>
      <c r="DI1" s="35"/>
      <c r="DJ1" s="35"/>
      <c r="DK1" s="35"/>
      <c r="DL1" s="35"/>
      <c r="DM1" s="35"/>
      <c r="DN1" s="35"/>
      <c r="DO1" s="35"/>
      <c r="DP1" s="35"/>
      <c r="DQ1" s="35"/>
      <c r="DR1" s="35"/>
      <c r="DS1" s="35"/>
      <c r="DT1" s="35"/>
      <c r="DU1" s="35"/>
      <c r="DV1" s="35"/>
      <c r="DW1" s="35"/>
      <c r="DX1" s="35"/>
      <c r="DY1" s="35"/>
      <c r="DZ1" s="35"/>
      <c r="EA1" s="35"/>
      <c r="EB1" s="35"/>
      <c r="EC1" s="35"/>
      <c r="ED1" s="35"/>
      <c r="EE1" s="35"/>
      <c r="EF1" s="35"/>
      <c r="EG1" s="35"/>
      <c r="EH1" s="35"/>
      <c r="EI1" s="35"/>
      <c r="EJ1" s="35"/>
      <c r="EK1" s="35"/>
      <c r="EL1" s="35"/>
      <c r="EM1" s="35"/>
      <c r="EN1" s="35"/>
      <c r="EO1" s="35"/>
      <c r="EP1" s="35"/>
      <c r="EQ1" s="35"/>
      <c r="ER1" s="35"/>
      <c r="ES1" s="35"/>
      <c r="ET1" s="35"/>
      <c r="EU1" s="35"/>
      <c r="EV1" s="35"/>
      <c r="EW1" s="35"/>
      <c r="EX1" s="35"/>
      <c r="EY1" s="35"/>
      <c r="EZ1" s="35"/>
      <c r="FA1" s="35"/>
      <c r="FB1" s="35"/>
      <c r="FC1" s="35"/>
      <c r="FD1" s="35"/>
      <c r="FE1" s="35"/>
      <c r="FF1" s="35"/>
      <c r="FG1" s="35"/>
      <c r="FH1" s="35"/>
      <c r="FI1" s="35"/>
      <c r="FJ1" s="35"/>
      <c r="FK1" s="35"/>
      <c r="FL1" s="35"/>
      <c r="FM1" s="35"/>
      <c r="FN1" s="35"/>
      <c r="FO1" s="35"/>
      <c r="FP1" s="35"/>
      <c r="FQ1" s="35"/>
      <c r="FR1" s="35"/>
      <c r="FS1" s="35"/>
      <c r="FT1" s="35"/>
      <c r="FU1" s="35"/>
      <c r="FV1" s="35"/>
      <c r="FW1" s="35"/>
      <c r="FX1" s="35"/>
      <c r="FY1" s="35"/>
      <c r="FZ1" s="35"/>
      <c r="GA1" s="35"/>
      <c r="GB1" s="35"/>
      <c r="GC1" s="35"/>
      <c r="GD1" s="35"/>
      <c r="GE1" s="35"/>
      <c r="GF1" s="35"/>
      <c r="GG1" s="35"/>
      <c r="GH1" s="35"/>
      <c r="GI1" s="35"/>
      <c r="GJ1" s="35"/>
      <c r="GK1" s="35"/>
      <c r="GL1" s="35"/>
      <c r="GM1" s="35"/>
      <c r="GN1" s="35"/>
      <c r="GO1" s="35"/>
      <c r="GP1" s="35"/>
      <c r="GQ1" s="35"/>
      <c r="GR1" s="35"/>
      <c r="GS1" s="35"/>
      <c r="GT1" s="35"/>
      <c r="GU1" s="35"/>
      <c r="GV1" s="35"/>
      <c r="GW1" s="35"/>
      <c r="GX1" s="35"/>
      <c r="GY1" s="35"/>
      <c r="GZ1" s="35"/>
      <c r="HA1" s="35"/>
      <c r="HB1" s="35"/>
      <c r="HC1" s="35"/>
      <c r="HD1" s="35"/>
      <c r="HE1" s="35"/>
      <c r="HF1" s="35"/>
      <c r="HG1" s="35"/>
      <c r="HH1" s="35"/>
      <c r="HI1" s="35"/>
      <c r="HJ1" s="35"/>
      <c r="HK1" s="35"/>
      <c r="HL1" s="35"/>
      <c r="HM1" s="35"/>
      <c r="HN1" s="35"/>
      <c r="HO1" s="35"/>
      <c r="HP1" s="35"/>
      <c r="HQ1" s="35"/>
      <c r="HR1" s="35"/>
      <c r="HS1" s="35"/>
      <c r="HT1" s="35"/>
      <c r="HU1" s="35"/>
      <c r="HV1" s="35"/>
      <c r="HW1" s="35"/>
      <c r="HX1" s="35"/>
      <c r="HY1" s="35"/>
      <c r="HZ1" s="35"/>
      <c r="IA1" s="35"/>
      <c r="IB1" s="35"/>
      <c r="IC1" s="35"/>
      <c r="ID1" s="35"/>
      <c r="IE1" s="35"/>
      <c r="IF1" s="35"/>
      <c r="IG1" s="35"/>
      <c r="IH1" s="35"/>
      <c r="II1" s="35"/>
      <c r="IJ1" s="35"/>
      <c r="IK1" s="35"/>
      <c r="IL1" s="35"/>
      <c r="IM1" s="35"/>
      <c r="IN1" s="35"/>
      <c r="IO1" s="35"/>
      <c r="IP1" s="35"/>
      <c r="IQ1" s="35"/>
      <c r="IR1" s="35"/>
      <c r="IS1" s="35"/>
      <c r="IT1" s="35"/>
      <c r="IU1" s="35"/>
      <c r="IV1" s="35"/>
      <c r="IW1" s="35"/>
      <c r="IX1" s="35"/>
      <c r="IY1" s="35"/>
      <c r="IZ1" s="35"/>
      <c r="JA1" s="35"/>
      <c r="JB1" s="35"/>
      <c r="JC1" s="35"/>
      <c r="JD1" s="35"/>
      <c r="JE1" s="35"/>
      <c r="JF1" s="35"/>
      <c r="JG1" s="35"/>
      <c r="JH1" s="35"/>
      <c r="JI1" s="35"/>
      <c r="JJ1" s="35"/>
      <c r="JK1" s="35"/>
      <c r="JL1" s="35"/>
      <c r="JM1" s="35"/>
      <c r="JN1" s="35"/>
      <c r="JO1" s="35"/>
      <c r="JP1" s="35"/>
      <c r="JQ1" s="35"/>
      <c r="JR1" s="35"/>
      <c r="JS1" s="35"/>
      <c r="JT1" s="35"/>
      <c r="JU1" s="35"/>
      <c r="JV1" s="35"/>
      <c r="JW1" s="35"/>
      <c r="JX1" s="35"/>
      <c r="JY1" s="35"/>
      <c r="JZ1" s="35"/>
      <c r="KA1" s="35"/>
      <c r="KB1" s="35"/>
      <c r="KC1" s="35"/>
      <c r="KD1" s="35"/>
      <c r="KE1" s="35"/>
      <c r="KF1" s="35"/>
      <c r="KG1" s="35"/>
      <c r="KH1" s="35"/>
      <c r="KI1" s="35"/>
      <c r="KJ1" s="35"/>
      <c r="KK1" s="35"/>
      <c r="KL1" s="35"/>
      <c r="KM1" s="35"/>
      <c r="KN1" s="35"/>
      <c r="KO1" s="35"/>
      <c r="KP1" s="35"/>
      <c r="KQ1" s="35"/>
      <c r="KR1" s="35"/>
      <c r="KS1" s="35"/>
      <c r="KT1" s="35"/>
      <c r="KU1" s="35"/>
      <c r="KV1" s="35"/>
      <c r="KW1" s="35"/>
      <c r="KX1" s="35"/>
      <c r="KY1" s="35"/>
      <c r="KZ1" s="35"/>
      <c r="LA1" s="35"/>
      <c r="LB1" s="35"/>
      <c r="LC1" s="35"/>
      <c r="LD1" s="35"/>
      <c r="LE1" s="35"/>
      <c r="LF1" s="35"/>
      <c r="LG1" s="35"/>
      <c r="LH1" s="35"/>
      <c r="LI1" s="35"/>
      <c r="LJ1" s="35"/>
      <c r="LK1" s="35"/>
      <c r="LL1" s="35"/>
      <c r="LM1" s="35"/>
      <c r="LN1" s="35"/>
      <c r="LO1" s="35"/>
      <c r="LP1" s="35"/>
      <c r="LQ1" s="35"/>
      <c r="LR1" s="35"/>
      <c r="LS1" s="35"/>
      <c r="LT1" s="35"/>
      <c r="LU1" s="35"/>
      <c r="LV1" s="35"/>
      <c r="LW1" s="35"/>
      <c r="LX1" s="35"/>
      <c r="LY1" s="35"/>
      <c r="LZ1" s="35"/>
      <c r="MA1" s="35"/>
      <c r="MB1" s="35"/>
      <c r="MC1" s="35"/>
      <c r="MD1" s="35"/>
      <c r="ME1" s="35"/>
      <c r="MF1" s="35"/>
      <c r="MG1" s="35"/>
      <c r="MH1" s="35"/>
      <c r="MI1" s="35"/>
      <c r="MJ1" s="35"/>
      <c r="MK1" s="35"/>
      <c r="ML1" s="35"/>
      <c r="MM1" s="35"/>
      <c r="MN1" s="35"/>
      <c r="MO1" s="35"/>
      <c r="MP1" s="35"/>
      <c r="MQ1" s="35"/>
      <c r="MR1" s="35"/>
      <c r="MS1" s="35"/>
      <c r="MT1" s="35"/>
      <c r="MU1" s="35"/>
      <c r="MV1" s="35"/>
      <c r="MW1" s="35"/>
      <c r="MX1" s="35"/>
      <c r="MY1" s="35"/>
      <c r="MZ1" s="35"/>
      <c r="NA1" s="35"/>
      <c r="NB1" s="35"/>
      <c r="NC1" s="35"/>
      <c r="ND1" s="35"/>
      <c r="NE1" s="35"/>
      <c r="NF1" s="35"/>
      <c r="NG1" s="35"/>
      <c r="NH1" s="35"/>
      <c r="NI1" s="35"/>
      <c r="NJ1" s="35"/>
      <c r="NK1" s="35"/>
      <c r="NL1" s="35"/>
      <c r="NM1" s="35"/>
      <c r="NN1" s="35"/>
      <c r="NO1" s="35"/>
      <c r="NP1" s="35"/>
      <c r="NQ1" s="35"/>
      <c r="NR1" s="35"/>
      <c r="NS1" s="35"/>
      <c r="NT1" s="35"/>
      <c r="NU1" s="35"/>
      <c r="NV1" s="35"/>
      <c r="NW1" s="35"/>
      <c r="NX1" s="35"/>
      <c r="NY1" s="35"/>
      <c r="NZ1" s="35"/>
      <c r="OA1" s="35"/>
      <c r="OB1" s="35"/>
      <c r="OC1" s="35"/>
      <c r="OD1" s="35"/>
      <c r="OE1" s="35"/>
      <c r="OF1" s="35"/>
      <c r="OG1" s="35"/>
      <c r="OH1" s="35"/>
      <c r="OI1" s="35"/>
      <c r="OJ1" s="35"/>
      <c r="OK1" s="35"/>
      <c r="OL1" s="35"/>
      <c r="OM1" s="35"/>
      <c r="ON1" s="35"/>
      <c r="OO1" s="35"/>
      <c r="OP1" s="35"/>
      <c r="OQ1" s="35"/>
      <c r="OR1" s="35"/>
      <c r="OS1" s="35"/>
      <c r="OT1" s="35"/>
      <c r="OU1" s="35"/>
      <c r="OV1" s="35"/>
      <c r="OW1" s="35"/>
      <c r="OX1" s="35"/>
      <c r="OY1" s="35"/>
      <c r="OZ1" s="35"/>
      <c r="PA1" s="35"/>
      <c r="PB1" s="35"/>
      <c r="PC1" s="35"/>
      <c r="PD1" s="35"/>
      <c r="PE1" s="35"/>
      <c r="PF1" s="35"/>
      <c r="PG1" s="35"/>
      <c r="PH1" s="35"/>
      <c r="PI1" s="35"/>
      <c r="PJ1" s="35"/>
      <c r="PK1" s="35"/>
      <c r="PL1" s="35"/>
      <c r="PM1" s="35"/>
      <c r="PN1" s="35"/>
      <c r="PO1" s="35"/>
      <c r="PP1" s="35"/>
      <c r="PQ1" s="35"/>
      <c r="PR1" s="35"/>
      <c r="PS1" s="35"/>
      <c r="PT1" s="35"/>
      <c r="PU1" s="35"/>
      <c r="PV1" s="35"/>
      <c r="PW1" s="35"/>
      <c r="PX1" s="35"/>
      <c r="PY1" s="35"/>
      <c r="PZ1" s="35"/>
      <c r="QA1" s="35"/>
      <c r="QB1" s="35"/>
      <c r="QC1" s="35"/>
      <c r="QD1" s="35"/>
      <c r="QE1" s="35"/>
      <c r="QF1" s="35"/>
      <c r="QG1" s="35"/>
      <c r="QH1" s="35"/>
      <c r="QI1" s="35"/>
      <c r="QJ1" s="35"/>
      <c r="QK1" s="35"/>
      <c r="QL1" s="35"/>
      <c r="QM1" s="35"/>
      <c r="QN1" s="35"/>
      <c r="QO1" s="35"/>
      <c r="QP1" s="35"/>
      <c r="QQ1" s="35"/>
      <c r="QR1" s="35"/>
      <c r="QS1" s="35"/>
      <c r="QT1" s="35"/>
      <c r="QU1" s="35"/>
      <c r="QV1" s="35"/>
      <c r="QW1" s="35"/>
      <c r="QX1" s="35"/>
      <c r="QY1" s="35"/>
      <c r="QZ1" s="35"/>
      <c r="RA1" s="35"/>
      <c r="RB1" s="35"/>
      <c r="RC1" s="35"/>
      <c r="RD1" s="35"/>
      <c r="RE1" s="35"/>
      <c r="RF1" s="35"/>
      <c r="RG1" s="35"/>
      <c r="RH1" s="35"/>
      <c r="RI1" s="35"/>
      <c r="RJ1" s="35"/>
      <c r="RK1" s="35"/>
      <c r="RL1" s="35"/>
      <c r="RM1" s="35"/>
      <c r="RN1" s="35"/>
      <c r="RO1" s="35"/>
      <c r="RP1" s="35"/>
      <c r="RQ1" s="35"/>
      <c r="RR1" s="35"/>
      <c r="RS1" s="35"/>
      <c r="RT1" s="35"/>
      <c r="RU1" s="35"/>
      <c r="RV1" s="35"/>
      <c r="RW1" s="35"/>
      <c r="RX1" s="35"/>
      <c r="RY1" s="35"/>
      <c r="RZ1" s="35"/>
      <c r="SA1" s="35"/>
      <c r="SB1" s="35"/>
      <c r="SC1" s="35"/>
      <c r="SD1" s="35"/>
      <c r="SE1" s="35"/>
      <c r="SF1" s="35"/>
      <c r="SG1" s="35"/>
      <c r="SH1" s="35"/>
      <c r="SI1" s="35"/>
      <c r="SJ1" s="35"/>
      <c r="SK1" s="35"/>
      <c r="SL1" s="35"/>
      <c r="SM1" s="35"/>
      <c r="SN1" s="35"/>
      <c r="SO1" s="35"/>
      <c r="SP1" s="35"/>
      <c r="SQ1" s="35"/>
      <c r="SR1" s="35"/>
      <c r="SS1" s="35"/>
      <c r="ST1" s="35"/>
      <c r="SU1" s="35"/>
      <c r="SV1" s="35"/>
      <c r="SW1" s="35"/>
      <c r="SX1" s="35"/>
      <c r="SY1" s="35"/>
      <c r="SZ1" s="35"/>
      <c r="TA1" s="35"/>
      <c r="TB1" s="35"/>
      <c r="TC1" s="35"/>
      <c r="TD1" s="35"/>
      <c r="TE1" s="35"/>
      <c r="TF1" s="35"/>
      <c r="TG1" s="35"/>
      <c r="TH1" s="35"/>
      <c r="TI1" s="35"/>
      <c r="TJ1" s="35"/>
      <c r="TK1" s="35"/>
      <c r="TL1" s="35"/>
      <c r="TM1" s="35"/>
      <c r="TN1" s="35"/>
      <c r="TO1" s="35"/>
      <c r="TP1" s="35"/>
      <c r="TQ1" s="35"/>
      <c r="TR1" s="35"/>
      <c r="TS1" s="35"/>
      <c r="TT1" s="35"/>
      <c r="TU1" s="35"/>
      <c r="TV1" s="35"/>
      <c r="TW1" s="35"/>
      <c r="TX1" s="35"/>
      <c r="TY1" s="35"/>
      <c r="TZ1" s="35"/>
      <c r="UA1" s="35"/>
      <c r="UB1" s="35"/>
      <c r="UC1" s="35"/>
      <c r="UD1" s="35"/>
      <c r="UE1" s="35"/>
      <c r="UF1" s="35"/>
      <c r="UG1" s="35"/>
      <c r="UH1" s="35"/>
      <c r="UI1" s="35"/>
      <c r="UJ1" s="35"/>
      <c r="UK1" s="35"/>
      <c r="UL1" s="35"/>
      <c r="UM1" s="35"/>
      <c r="UN1" s="35"/>
      <c r="UO1" s="35"/>
      <c r="UP1" s="35"/>
      <c r="UQ1" s="35"/>
      <c r="UR1" s="35"/>
      <c r="US1" s="35"/>
      <c r="UT1" s="35"/>
      <c r="UU1" s="35"/>
      <c r="UV1" s="35"/>
      <c r="UW1" s="35"/>
      <c r="UX1" s="35"/>
      <c r="UY1" s="35"/>
      <c r="UZ1" s="35"/>
      <c r="VA1" s="35"/>
      <c r="VB1" s="35"/>
      <c r="VC1" s="35"/>
      <c r="VD1" s="35"/>
      <c r="VE1" s="35"/>
      <c r="VF1" s="35"/>
      <c r="VG1" s="35"/>
      <c r="VH1" s="35"/>
      <c r="VI1" s="35"/>
      <c r="VJ1" s="35"/>
      <c r="VK1" s="35"/>
      <c r="VL1" s="35"/>
      <c r="VM1" s="35"/>
      <c r="VN1" s="35"/>
      <c r="VO1" s="35"/>
      <c r="VP1" s="35"/>
      <c r="VQ1" s="35"/>
      <c r="VR1" s="35"/>
      <c r="VS1" s="35"/>
      <c r="VT1" s="35"/>
      <c r="VU1" s="35"/>
      <c r="VV1" s="35"/>
      <c r="VW1" s="35"/>
      <c r="VX1" s="35"/>
      <c r="VY1" s="35"/>
      <c r="VZ1" s="35"/>
      <c r="WA1" s="35"/>
      <c r="WB1" s="35"/>
      <c r="WC1" s="35"/>
      <c r="WD1" s="35"/>
      <c r="WE1" s="35"/>
      <c r="WF1" s="35"/>
      <c r="WG1" s="35"/>
      <c r="WH1" s="35"/>
      <c r="WI1" s="35"/>
      <c r="WJ1" s="35"/>
      <c r="WK1" s="35"/>
      <c r="WL1" s="35"/>
      <c r="WM1" s="35"/>
      <c r="WN1" s="35"/>
      <c r="WO1" s="35"/>
      <c r="WP1" s="35"/>
      <c r="WQ1" s="35"/>
      <c r="WR1" s="35"/>
      <c r="WS1" s="35"/>
      <c r="WT1" s="35"/>
      <c r="WU1" s="35"/>
      <c r="WV1" s="35"/>
      <c r="WW1" s="35"/>
      <c r="WX1" s="35"/>
      <c r="WY1" s="35"/>
      <c r="WZ1" s="35"/>
      <c r="XA1" s="35"/>
      <c r="XB1" s="35"/>
      <c r="XC1" s="35"/>
      <c r="XD1" s="35"/>
      <c r="XE1" s="35"/>
      <c r="XF1" s="35"/>
      <c r="XG1" s="35"/>
      <c r="XH1" s="35"/>
      <c r="XI1" s="35"/>
      <c r="XJ1" s="35"/>
      <c r="XK1" s="35"/>
      <c r="XL1" s="35"/>
      <c r="XM1" s="35"/>
      <c r="XN1" s="35"/>
      <c r="XO1" s="35"/>
      <c r="XP1" s="35"/>
      <c r="XQ1" s="35"/>
      <c r="XR1" s="35"/>
      <c r="XS1" s="35"/>
      <c r="XT1" s="35"/>
      <c r="XU1" s="35"/>
      <c r="XV1" s="35"/>
      <c r="XW1" s="35"/>
      <c r="XX1" s="35"/>
      <c r="XY1" s="35"/>
      <c r="XZ1" s="35"/>
      <c r="YA1" s="35"/>
      <c r="YB1" s="35"/>
      <c r="YC1" s="35"/>
      <c r="YD1" s="35"/>
      <c r="YE1" s="35"/>
      <c r="YF1" s="35"/>
      <c r="YG1" s="35"/>
      <c r="YH1" s="35"/>
      <c r="YI1" s="35"/>
      <c r="YJ1" s="35"/>
      <c r="YK1" s="35"/>
      <c r="YL1" s="35"/>
      <c r="YM1" s="35"/>
      <c r="YN1" s="35"/>
      <c r="YO1" s="35"/>
      <c r="YP1" s="35"/>
      <c r="YQ1" s="35"/>
      <c r="YR1" s="35"/>
      <c r="YS1" s="35"/>
      <c r="YT1" s="35"/>
      <c r="YU1" s="35"/>
      <c r="YV1" s="35"/>
      <c r="YW1" s="35"/>
      <c r="YX1" s="35"/>
      <c r="YY1" s="35"/>
      <c r="YZ1" s="35"/>
      <c r="ZA1" s="35"/>
      <c r="ZB1" s="35"/>
      <c r="ZC1" s="35"/>
      <c r="ZD1" s="35"/>
      <c r="ZE1" s="35"/>
      <c r="ZF1" s="35"/>
      <c r="ZG1" s="35"/>
      <c r="ZH1" s="35"/>
      <c r="ZI1" s="35"/>
      <c r="ZJ1" s="35"/>
      <c r="ZK1" s="35"/>
      <c r="ZL1" s="35"/>
      <c r="ZM1" s="35"/>
      <c r="ZN1" s="35"/>
      <c r="ZO1" s="35"/>
      <c r="ZP1" s="35"/>
      <c r="ZQ1" s="35"/>
      <c r="ZR1" s="35"/>
      <c r="ZS1" s="35"/>
      <c r="ZT1" s="35"/>
      <c r="ZU1" s="35"/>
      <c r="ZV1" s="35"/>
      <c r="ZW1" s="35"/>
      <c r="ZX1" s="35"/>
      <c r="ZY1" s="35"/>
      <c r="ZZ1" s="35"/>
      <c r="AAA1" s="35"/>
      <c r="AAB1" s="35"/>
      <c r="AAC1" s="35"/>
      <c r="AAD1" s="35"/>
      <c r="AAE1" s="35"/>
      <c r="AAF1" s="35"/>
      <c r="AAG1" s="35"/>
      <c r="AAH1" s="35"/>
      <c r="AAI1" s="35"/>
      <c r="AAJ1" s="35"/>
      <c r="AAK1" s="35"/>
      <c r="AAL1" s="35"/>
      <c r="AAM1" s="35"/>
      <c r="AAN1" s="35"/>
      <c r="AAO1" s="35"/>
      <c r="AAP1" s="35"/>
      <c r="AAQ1" s="35"/>
      <c r="AAR1" s="35"/>
      <c r="AAS1" s="35"/>
      <c r="AAT1" s="35"/>
      <c r="AAU1" s="35"/>
      <c r="AAV1" s="35"/>
      <c r="AAW1" s="35"/>
      <c r="AAX1" s="35"/>
      <c r="AAY1" s="35"/>
      <c r="AAZ1" s="35"/>
      <c r="ABA1" s="35"/>
      <c r="ABB1" s="35"/>
      <c r="ABC1" s="35"/>
      <c r="ABD1" s="35"/>
      <c r="ABE1" s="35"/>
      <c r="ABF1" s="35"/>
      <c r="ABG1" s="35"/>
      <c r="ABH1" s="35"/>
      <c r="ABI1" s="35"/>
      <c r="ABJ1" s="35"/>
      <c r="ABK1" s="35"/>
      <c r="ABL1" s="35"/>
      <c r="ABM1" s="35"/>
      <c r="ABN1" s="35"/>
      <c r="ABO1" s="35"/>
      <c r="ABP1" s="35"/>
      <c r="ABQ1" s="35"/>
      <c r="ABR1" s="35"/>
      <c r="ABS1" s="35"/>
      <c r="ABT1" s="35"/>
      <c r="ABU1" s="35"/>
      <c r="ABV1" s="35"/>
      <c r="ABW1" s="35"/>
      <c r="ABX1" s="35"/>
      <c r="ABY1" s="35"/>
      <c r="ABZ1" s="35"/>
      <c r="ACA1" s="35"/>
      <c r="ACB1" s="35"/>
      <c r="ACC1" s="35"/>
      <c r="ACD1" s="35"/>
      <c r="ACE1" s="35"/>
      <c r="ACF1" s="35"/>
      <c r="ACG1" s="35"/>
      <c r="ACH1" s="35"/>
      <c r="ACI1" s="35"/>
      <c r="ACJ1" s="35"/>
      <c r="ACK1" s="35"/>
      <c r="ACL1" s="35"/>
      <c r="ACM1" s="35"/>
      <c r="ACN1" s="35"/>
      <c r="ACO1" s="35"/>
      <c r="ACP1" s="35"/>
      <c r="ACQ1" s="35"/>
      <c r="ACR1" s="35"/>
      <c r="ACS1" s="35"/>
      <c r="ACT1" s="35"/>
      <c r="ACU1" s="35"/>
      <c r="ACV1" s="35"/>
      <c r="ACW1" s="35"/>
      <c r="ACX1" s="35"/>
      <c r="ACY1" s="35"/>
      <c r="ACZ1" s="35"/>
      <c r="ADA1" s="35"/>
      <c r="ADB1" s="35"/>
      <c r="ADC1" s="35"/>
      <c r="ADD1" s="35"/>
      <c r="ADE1" s="35"/>
      <c r="ADF1" s="35"/>
      <c r="ADG1" s="35"/>
      <c r="ADH1" s="35"/>
      <c r="ADI1" s="35"/>
      <c r="ADJ1" s="35"/>
      <c r="ADK1" s="35"/>
      <c r="ADL1" s="35"/>
      <c r="ADM1" s="35"/>
      <c r="ADN1" s="35"/>
      <c r="ADO1" s="35"/>
      <c r="ADP1" s="35"/>
      <c r="ADQ1" s="35"/>
      <c r="ADR1" s="35"/>
      <c r="ADS1" s="35"/>
      <c r="ADT1" s="35"/>
      <c r="ADU1" s="35"/>
      <c r="ADV1" s="35"/>
      <c r="ADW1" s="35"/>
      <c r="ADX1" s="35"/>
      <c r="ADY1" s="35"/>
      <c r="ADZ1" s="35"/>
      <c r="AEA1" s="35"/>
      <c r="AEB1" s="35"/>
      <c r="AEC1" s="35"/>
      <c r="AED1" s="35"/>
      <c r="AEE1" s="35"/>
      <c r="AEF1" s="35"/>
      <c r="AEG1" s="35"/>
      <c r="AEH1" s="35"/>
      <c r="AEI1" s="35"/>
      <c r="AEJ1" s="35"/>
      <c r="AEK1" s="35"/>
      <c r="AEL1" s="35"/>
      <c r="AEM1" s="35"/>
      <c r="AEN1" s="35"/>
      <c r="AEO1" s="35"/>
      <c r="AEP1" s="35"/>
      <c r="AEQ1" s="35"/>
      <c r="AER1" s="35"/>
      <c r="AES1" s="35"/>
      <c r="AET1" s="35"/>
      <c r="AEU1" s="35"/>
      <c r="AEV1" s="35"/>
      <c r="AEW1" s="35"/>
      <c r="AEX1" s="35"/>
      <c r="AEY1" s="35"/>
      <c r="AEZ1" s="35"/>
      <c r="AFA1" s="35"/>
      <c r="AFB1" s="35"/>
      <c r="AFC1" s="35"/>
      <c r="AFD1" s="35"/>
      <c r="AFE1" s="35"/>
      <c r="AFF1" s="35"/>
      <c r="AFG1" s="35"/>
      <c r="AFH1" s="35"/>
      <c r="AFI1" s="35"/>
      <c r="AFJ1" s="35"/>
      <c r="AFK1" s="35"/>
      <c r="AFL1" s="35"/>
      <c r="AFM1" s="35"/>
      <c r="AFN1" s="35"/>
      <c r="AFO1" s="35"/>
      <c r="AFP1" s="35"/>
      <c r="AFQ1" s="35"/>
      <c r="AFR1" s="35"/>
      <c r="AFS1" s="35"/>
      <c r="AFT1" s="35"/>
      <c r="AFU1" s="35"/>
      <c r="AFV1" s="35"/>
      <c r="AFW1" s="35"/>
      <c r="AFX1" s="35"/>
      <c r="AFY1" s="35"/>
      <c r="AFZ1" s="35"/>
      <c r="AGA1" s="35"/>
      <c r="AGB1" s="35"/>
      <c r="AGC1" s="35"/>
      <c r="AGD1" s="35"/>
      <c r="AGE1" s="35"/>
      <c r="AGF1" s="35"/>
      <c r="AGG1" s="35"/>
      <c r="AGH1" s="35"/>
      <c r="AGI1" s="35"/>
      <c r="AGJ1" s="35"/>
      <c r="AGK1" s="35"/>
      <c r="AGL1" s="35"/>
      <c r="AGM1" s="35"/>
      <c r="AGN1" s="35"/>
      <c r="AGO1" s="35"/>
      <c r="AGP1" s="35"/>
      <c r="AGQ1" s="35"/>
      <c r="AGR1" s="35"/>
      <c r="AGS1" s="35"/>
      <c r="AGT1" s="35"/>
      <c r="AGU1" s="35"/>
      <c r="AGV1" s="35"/>
      <c r="AGW1" s="35"/>
      <c r="AGX1" s="35"/>
      <c r="AGY1" s="35"/>
      <c r="AGZ1" s="35"/>
      <c r="AHA1" s="35"/>
      <c r="AHB1" s="35"/>
      <c r="AHC1" s="35"/>
      <c r="AHD1" s="35"/>
      <c r="AHE1" s="35"/>
      <c r="AHF1" s="35"/>
      <c r="AHG1" s="35"/>
      <c r="AHH1" s="35"/>
      <c r="AHI1" s="35"/>
      <c r="AHJ1" s="35"/>
      <c r="AHK1" s="35"/>
      <c r="AHL1" s="35"/>
      <c r="AHM1" s="35"/>
      <c r="AHN1" s="35"/>
      <c r="AHO1" s="35"/>
      <c r="AHP1" s="35"/>
      <c r="AHQ1" s="35"/>
      <c r="AHR1" s="35"/>
      <c r="AHS1" s="35"/>
      <c r="AHT1" s="35"/>
      <c r="AHU1" s="35"/>
      <c r="AHV1" s="35"/>
      <c r="AHW1" s="35"/>
      <c r="AHX1" s="35"/>
      <c r="AHY1" s="35"/>
      <c r="AHZ1" s="35"/>
      <c r="AIA1" s="35"/>
      <c r="AIB1" s="35"/>
      <c r="AIC1" s="35"/>
      <c r="AID1" s="35"/>
      <c r="AIE1" s="35"/>
      <c r="AIF1" s="35"/>
      <c r="AIG1" s="35"/>
      <c r="AIH1" s="35"/>
      <c r="AII1" s="35"/>
      <c r="AIJ1" s="35"/>
      <c r="AIK1" s="35"/>
      <c r="AIL1" s="35"/>
      <c r="AIM1" s="35"/>
      <c r="AIN1" s="35"/>
      <c r="AIO1" s="35"/>
      <c r="AIP1" s="35"/>
      <c r="AIQ1" s="35"/>
      <c r="AIR1" s="35"/>
      <c r="AIS1" s="35"/>
      <c r="AIT1" s="35"/>
      <c r="AIU1" s="35"/>
      <c r="AIV1" s="35"/>
      <c r="AIW1" s="35"/>
      <c r="AIX1" s="35"/>
      <c r="AIY1" s="35"/>
      <c r="AIZ1" s="35"/>
      <c r="AJA1" s="35"/>
      <c r="AJB1" s="35"/>
      <c r="AJC1" s="35"/>
      <c r="AJD1" s="35"/>
      <c r="AJE1" s="35"/>
      <c r="AJF1" s="35"/>
      <c r="AJG1" s="35"/>
      <c r="AJH1" s="35"/>
      <c r="AJI1" s="35"/>
      <c r="AJJ1" s="35"/>
      <c r="AJK1" s="35"/>
      <c r="AJL1" s="35"/>
      <c r="AJM1" s="35"/>
      <c r="AJN1" s="35"/>
      <c r="AJO1" s="35"/>
      <c r="AJP1" s="35"/>
      <c r="AJQ1" s="35"/>
      <c r="AJR1" s="35"/>
      <c r="AJS1" s="35"/>
      <c r="AJT1" s="35"/>
      <c r="AJU1" s="35"/>
      <c r="AJV1" s="35"/>
      <c r="AJW1" s="35"/>
      <c r="AJX1" s="35"/>
      <c r="AJY1" s="35"/>
      <c r="AJZ1" s="35"/>
      <c r="AKA1" s="35"/>
      <c r="AKB1" s="35"/>
      <c r="AKC1" s="35"/>
      <c r="AKD1" s="35"/>
      <c r="AKE1" s="35"/>
      <c r="AKF1" s="35"/>
      <c r="AKG1" s="35"/>
      <c r="AKH1" s="35"/>
      <c r="AKI1" s="35"/>
      <c r="AKJ1" s="35"/>
      <c r="AKK1" s="35"/>
      <c r="AKL1" s="35"/>
      <c r="AKM1" s="35"/>
      <c r="AKN1" s="35"/>
      <c r="AKO1" s="35"/>
      <c r="AKP1" s="35"/>
      <c r="AKQ1" s="35"/>
      <c r="AKR1" s="35"/>
      <c r="AKS1" s="35"/>
      <c r="AKT1" s="35"/>
      <c r="AKU1" s="35"/>
      <c r="AKV1" s="35"/>
      <c r="AKW1" s="35"/>
      <c r="AKX1" s="35"/>
      <c r="AKY1" s="35"/>
      <c r="AKZ1" s="35"/>
      <c r="ALA1" s="35"/>
      <c r="ALB1" s="35"/>
      <c r="ALC1" s="35"/>
      <c r="ALD1" s="35"/>
      <c r="ALE1" s="35"/>
      <c r="ALF1" s="35"/>
      <c r="ALG1" s="35"/>
      <c r="ALH1" s="35"/>
      <c r="ALI1" s="35"/>
      <c r="ALJ1" s="35"/>
      <c r="ALK1" s="35"/>
      <c r="ALL1" s="35"/>
      <c r="ALM1" s="35"/>
      <c r="ALN1" s="35"/>
      <c r="ALO1" s="35"/>
      <c r="ALP1" s="35"/>
      <c r="ALQ1" s="35"/>
      <c r="ALR1" s="35"/>
      <c r="ALS1" s="35"/>
      <c r="ALT1" s="35"/>
      <c r="ALU1" s="35"/>
      <c r="ALV1" s="35"/>
      <c r="ALW1" s="35"/>
      <c r="ALX1" s="35"/>
      <c r="ALY1" s="1"/>
      <c r="ALZ1" s="1"/>
      <c r="AMA1" s="1"/>
      <c r="AMB1" s="1"/>
      <c r="AMC1" s="1"/>
      <c r="AMD1" s="1"/>
      <c r="AME1" s="1"/>
      <c r="AMF1" s="1"/>
      <c r="AMG1" s="1"/>
      <c r="AMH1" s="1"/>
      <c r="AMI1" s="1"/>
      <c r="AMJ1" s="1"/>
    </row>
    <row r="2" customFormat="false" ht="12.8" hidden="false" customHeight="false" outlineLevel="1" collapsed="false">
      <c r="A2" s="31"/>
      <c r="B2" s="33"/>
      <c r="C2" s="33"/>
      <c r="D2" s="33"/>
      <c r="E2" s="34"/>
      <c r="F2" s="34"/>
      <c r="G2" s="83"/>
      <c r="H2" s="83"/>
      <c r="I2" s="83"/>
      <c r="J2" s="127"/>
      <c r="K2" s="72"/>
      <c r="L2" s="31"/>
      <c r="M2" s="33"/>
      <c r="N2" s="31"/>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c r="CF2" s="35"/>
      <c r="CG2" s="35"/>
      <c r="CH2" s="35"/>
      <c r="CI2" s="35"/>
      <c r="CJ2" s="35"/>
      <c r="CK2" s="35"/>
      <c r="CL2" s="35"/>
      <c r="CM2" s="35"/>
      <c r="CN2" s="35"/>
      <c r="CO2" s="35"/>
      <c r="CP2" s="35"/>
      <c r="CQ2" s="35"/>
      <c r="CR2" s="35"/>
      <c r="CS2" s="35"/>
      <c r="CT2" s="35"/>
      <c r="CU2" s="35"/>
      <c r="CV2" s="35"/>
      <c r="CW2" s="35"/>
      <c r="CX2" s="35"/>
      <c r="CY2" s="35"/>
      <c r="CZ2" s="35"/>
      <c r="DA2" s="35"/>
      <c r="DB2" s="35"/>
      <c r="DC2" s="35"/>
      <c r="DD2" s="35"/>
      <c r="DE2" s="35"/>
      <c r="DF2" s="35"/>
      <c r="DG2" s="35"/>
      <c r="DH2" s="35"/>
      <c r="DI2" s="35"/>
      <c r="DJ2" s="35"/>
      <c r="DK2" s="35"/>
      <c r="DL2" s="35"/>
      <c r="DM2" s="35"/>
      <c r="DN2" s="35"/>
      <c r="DO2" s="35"/>
      <c r="DP2" s="35"/>
      <c r="DQ2" s="35"/>
      <c r="DR2" s="35"/>
      <c r="DS2" s="35"/>
      <c r="DT2" s="35"/>
      <c r="DU2" s="35"/>
      <c r="DV2" s="35"/>
      <c r="DW2" s="35"/>
      <c r="DX2" s="35"/>
      <c r="DY2" s="35"/>
      <c r="DZ2" s="35"/>
      <c r="EA2" s="35"/>
      <c r="EB2" s="35"/>
      <c r="EC2" s="35"/>
      <c r="ED2" s="35"/>
      <c r="EE2" s="35"/>
      <c r="EF2" s="35"/>
      <c r="EG2" s="35"/>
      <c r="EH2" s="35"/>
      <c r="EI2" s="35"/>
      <c r="EJ2" s="35"/>
      <c r="EK2" s="35"/>
      <c r="EL2" s="35"/>
      <c r="EM2" s="35"/>
      <c r="EN2" s="35"/>
      <c r="EO2" s="35"/>
      <c r="EP2" s="35"/>
      <c r="EQ2" s="35"/>
      <c r="ER2" s="35"/>
      <c r="ES2" s="35"/>
      <c r="ET2" s="35"/>
      <c r="EU2" s="35"/>
      <c r="EV2" s="35"/>
      <c r="EW2" s="35"/>
      <c r="EX2" s="35"/>
      <c r="EY2" s="35"/>
      <c r="EZ2" s="35"/>
      <c r="FA2" s="35"/>
      <c r="FB2" s="35"/>
      <c r="FC2" s="35"/>
      <c r="FD2" s="35"/>
      <c r="FE2" s="35"/>
      <c r="FF2" s="35"/>
      <c r="FG2" s="35"/>
      <c r="FH2" s="35"/>
      <c r="FI2" s="35"/>
      <c r="FJ2" s="35"/>
      <c r="FK2" s="35"/>
      <c r="FL2" s="35"/>
      <c r="FM2" s="35"/>
      <c r="FN2" s="35"/>
      <c r="FO2" s="35"/>
      <c r="FP2" s="35"/>
      <c r="FQ2" s="35"/>
      <c r="FR2" s="35"/>
      <c r="FS2" s="35"/>
      <c r="FT2" s="35"/>
      <c r="FU2" s="35"/>
      <c r="FV2" s="35"/>
      <c r="FW2" s="35"/>
      <c r="FX2" s="35"/>
      <c r="FY2" s="35"/>
      <c r="FZ2" s="35"/>
      <c r="GA2" s="35"/>
      <c r="GB2" s="35"/>
      <c r="GC2" s="35"/>
      <c r="GD2" s="35"/>
      <c r="GE2" s="35"/>
      <c r="GF2" s="35"/>
      <c r="GG2" s="35"/>
      <c r="GH2" s="35"/>
      <c r="GI2" s="35"/>
      <c r="GJ2" s="35"/>
      <c r="GK2" s="35"/>
      <c r="GL2" s="35"/>
      <c r="GM2" s="35"/>
      <c r="GN2" s="35"/>
      <c r="GO2" s="35"/>
      <c r="GP2" s="35"/>
      <c r="GQ2" s="35"/>
      <c r="GR2" s="35"/>
      <c r="GS2" s="35"/>
      <c r="GT2" s="35"/>
      <c r="GU2" s="35"/>
      <c r="GV2" s="35"/>
      <c r="GW2" s="35"/>
      <c r="GX2" s="35"/>
      <c r="GY2" s="35"/>
      <c r="GZ2" s="35"/>
      <c r="HA2" s="35"/>
      <c r="HB2" s="35"/>
      <c r="HC2" s="35"/>
      <c r="HD2" s="35"/>
      <c r="HE2" s="35"/>
      <c r="HF2" s="35"/>
      <c r="HG2" s="35"/>
      <c r="HH2" s="35"/>
      <c r="HI2" s="35"/>
      <c r="HJ2" s="35"/>
      <c r="HK2" s="35"/>
      <c r="HL2" s="35"/>
      <c r="HM2" s="35"/>
      <c r="HN2" s="35"/>
      <c r="HO2" s="35"/>
      <c r="HP2" s="35"/>
      <c r="HQ2" s="35"/>
      <c r="HR2" s="35"/>
      <c r="HS2" s="35"/>
      <c r="HT2" s="35"/>
      <c r="HU2" s="35"/>
      <c r="HV2" s="35"/>
      <c r="HW2" s="35"/>
      <c r="HX2" s="35"/>
      <c r="HY2" s="35"/>
      <c r="HZ2" s="35"/>
      <c r="IA2" s="35"/>
      <c r="IB2" s="35"/>
      <c r="IC2" s="35"/>
      <c r="ID2" s="35"/>
      <c r="IE2" s="35"/>
      <c r="IF2" s="35"/>
      <c r="IG2" s="35"/>
      <c r="IH2" s="35"/>
      <c r="II2" s="35"/>
      <c r="IJ2" s="35"/>
      <c r="IK2" s="35"/>
      <c r="IL2" s="35"/>
      <c r="IM2" s="35"/>
      <c r="IN2" s="35"/>
      <c r="IO2" s="35"/>
      <c r="IP2" s="35"/>
      <c r="IQ2" s="35"/>
      <c r="IR2" s="35"/>
      <c r="IS2" s="35"/>
      <c r="IT2" s="35"/>
      <c r="IU2" s="35"/>
      <c r="IV2" s="35"/>
      <c r="IW2" s="35"/>
      <c r="IX2" s="35"/>
      <c r="IY2" s="35"/>
      <c r="IZ2" s="35"/>
      <c r="JA2" s="35"/>
      <c r="JB2" s="35"/>
      <c r="JC2" s="35"/>
      <c r="JD2" s="35"/>
      <c r="JE2" s="35"/>
      <c r="JF2" s="35"/>
      <c r="JG2" s="35"/>
      <c r="JH2" s="35"/>
      <c r="JI2" s="35"/>
      <c r="JJ2" s="35"/>
      <c r="JK2" s="35"/>
      <c r="JL2" s="35"/>
      <c r="JM2" s="35"/>
      <c r="JN2" s="35"/>
      <c r="JO2" s="35"/>
      <c r="JP2" s="35"/>
      <c r="JQ2" s="35"/>
      <c r="JR2" s="35"/>
      <c r="JS2" s="35"/>
      <c r="JT2" s="35"/>
      <c r="JU2" s="35"/>
      <c r="JV2" s="35"/>
      <c r="JW2" s="35"/>
      <c r="JX2" s="35"/>
      <c r="JY2" s="35"/>
      <c r="JZ2" s="35"/>
      <c r="KA2" s="35"/>
      <c r="KB2" s="35"/>
      <c r="KC2" s="35"/>
      <c r="KD2" s="35"/>
      <c r="KE2" s="35"/>
      <c r="KF2" s="35"/>
      <c r="KG2" s="35"/>
      <c r="KH2" s="35"/>
      <c r="KI2" s="35"/>
      <c r="KJ2" s="35"/>
      <c r="KK2" s="35"/>
      <c r="KL2" s="35"/>
      <c r="KM2" s="35"/>
      <c r="KN2" s="35"/>
      <c r="KO2" s="35"/>
      <c r="KP2" s="35"/>
      <c r="KQ2" s="35"/>
      <c r="KR2" s="35"/>
      <c r="KS2" s="35"/>
      <c r="KT2" s="35"/>
      <c r="KU2" s="35"/>
      <c r="KV2" s="35"/>
      <c r="KW2" s="35"/>
      <c r="KX2" s="35"/>
      <c r="KY2" s="35"/>
      <c r="KZ2" s="35"/>
      <c r="LA2" s="35"/>
      <c r="LB2" s="35"/>
      <c r="LC2" s="35"/>
      <c r="LD2" s="35"/>
      <c r="LE2" s="35"/>
      <c r="LF2" s="35"/>
      <c r="LG2" s="35"/>
      <c r="LH2" s="35"/>
      <c r="LI2" s="35"/>
      <c r="LJ2" s="35"/>
      <c r="LK2" s="35"/>
      <c r="LL2" s="35"/>
      <c r="LM2" s="35"/>
      <c r="LN2" s="35"/>
      <c r="LO2" s="35"/>
      <c r="LP2" s="35"/>
      <c r="LQ2" s="35"/>
      <c r="LR2" s="35"/>
      <c r="LS2" s="35"/>
      <c r="LT2" s="35"/>
      <c r="LU2" s="35"/>
      <c r="LV2" s="35"/>
      <c r="LW2" s="35"/>
      <c r="LX2" s="35"/>
      <c r="LY2" s="35"/>
      <c r="LZ2" s="35"/>
      <c r="MA2" s="35"/>
      <c r="MB2" s="35"/>
      <c r="MC2" s="35"/>
      <c r="MD2" s="35"/>
      <c r="ME2" s="35"/>
      <c r="MF2" s="35"/>
      <c r="MG2" s="35"/>
      <c r="MH2" s="35"/>
      <c r="MI2" s="35"/>
      <c r="MJ2" s="35"/>
      <c r="MK2" s="35"/>
      <c r="ML2" s="35"/>
      <c r="MM2" s="35"/>
      <c r="MN2" s="35"/>
      <c r="MO2" s="35"/>
      <c r="MP2" s="35"/>
      <c r="MQ2" s="35"/>
      <c r="MR2" s="35"/>
      <c r="MS2" s="35"/>
      <c r="MT2" s="35"/>
      <c r="MU2" s="35"/>
      <c r="MV2" s="35"/>
      <c r="MW2" s="35"/>
      <c r="MX2" s="35"/>
      <c r="MY2" s="35"/>
      <c r="MZ2" s="35"/>
      <c r="NA2" s="35"/>
      <c r="NB2" s="35"/>
      <c r="NC2" s="35"/>
      <c r="ND2" s="35"/>
      <c r="NE2" s="35"/>
      <c r="NF2" s="35"/>
      <c r="NG2" s="35"/>
      <c r="NH2" s="35"/>
      <c r="NI2" s="35"/>
      <c r="NJ2" s="35"/>
      <c r="NK2" s="35"/>
      <c r="NL2" s="35"/>
      <c r="NM2" s="35"/>
      <c r="NN2" s="35"/>
      <c r="NO2" s="35"/>
      <c r="NP2" s="35"/>
      <c r="NQ2" s="35"/>
      <c r="NR2" s="35"/>
      <c r="NS2" s="35"/>
      <c r="NT2" s="35"/>
      <c r="NU2" s="35"/>
      <c r="NV2" s="35"/>
      <c r="NW2" s="35"/>
      <c r="NX2" s="35"/>
      <c r="NY2" s="35"/>
      <c r="NZ2" s="35"/>
      <c r="OA2" s="35"/>
      <c r="OB2" s="35"/>
      <c r="OC2" s="35"/>
      <c r="OD2" s="35"/>
      <c r="OE2" s="35"/>
      <c r="OF2" s="35"/>
      <c r="OG2" s="35"/>
      <c r="OH2" s="35"/>
      <c r="OI2" s="35"/>
      <c r="OJ2" s="35"/>
      <c r="OK2" s="35"/>
      <c r="OL2" s="35"/>
      <c r="OM2" s="35"/>
      <c r="ON2" s="35"/>
      <c r="OO2" s="35"/>
      <c r="OP2" s="35"/>
      <c r="OQ2" s="35"/>
      <c r="OR2" s="35"/>
      <c r="OS2" s="35"/>
      <c r="OT2" s="35"/>
      <c r="OU2" s="35"/>
      <c r="OV2" s="35"/>
      <c r="OW2" s="35"/>
      <c r="OX2" s="35"/>
      <c r="OY2" s="35"/>
      <c r="OZ2" s="35"/>
      <c r="PA2" s="35"/>
      <c r="PB2" s="35"/>
      <c r="PC2" s="35"/>
      <c r="PD2" s="35"/>
      <c r="PE2" s="35"/>
      <c r="PF2" s="35"/>
      <c r="PG2" s="35"/>
      <c r="PH2" s="35"/>
      <c r="PI2" s="35"/>
      <c r="PJ2" s="35"/>
      <c r="PK2" s="35"/>
      <c r="PL2" s="35"/>
      <c r="PM2" s="35"/>
      <c r="PN2" s="35"/>
      <c r="PO2" s="35"/>
      <c r="PP2" s="35"/>
      <c r="PQ2" s="35"/>
      <c r="PR2" s="35"/>
      <c r="PS2" s="35"/>
      <c r="PT2" s="35"/>
      <c r="PU2" s="35"/>
      <c r="PV2" s="35"/>
      <c r="PW2" s="35"/>
      <c r="PX2" s="35"/>
      <c r="PY2" s="35"/>
      <c r="PZ2" s="35"/>
      <c r="QA2" s="35"/>
      <c r="QB2" s="35"/>
      <c r="QC2" s="35"/>
      <c r="QD2" s="35"/>
      <c r="QE2" s="35"/>
      <c r="QF2" s="35"/>
      <c r="QG2" s="35"/>
      <c r="QH2" s="35"/>
      <c r="QI2" s="35"/>
      <c r="QJ2" s="35"/>
      <c r="QK2" s="35"/>
      <c r="QL2" s="35"/>
      <c r="QM2" s="35"/>
      <c r="QN2" s="35"/>
      <c r="QO2" s="35"/>
      <c r="QP2" s="35"/>
      <c r="QQ2" s="35"/>
      <c r="QR2" s="35"/>
      <c r="QS2" s="35"/>
      <c r="QT2" s="35"/>
      <c r="QU2" s="35"/>
      <c r="QV2" s="35"/>
      <c r="QW2" s="35"/>
      <c r="QX2" s="35"/>
      <c r="QY2" s="35"/>
      <c r="QZ2" s="35"/>
      <c r="RA2" s="35"/>
      <c r="RB2" s="35"/>
      <c r="RC2" s="35"/>
      <c r="RD2" s="35"/>
      <c r="RE2" s="35"/>
      <c r="RF2" s="35"/>
      <c r="RG2" s="35"/>
      <c r="RH2" s="35"/>
      <c r="RI2" s="35"/>
      <c r="RJ2" s="35"/>
      <c r="RK2" s="35"/>
      <c r="RL2" s="35"/>
      <c r="RM2" s="35"/>
      <c r="RN2" s="35"/>
      <c r="RO2" s="35"/>
      <c r="RP2" s="35"/>
      <c r="RQ2" s="35"/>
      <c r="RR2" s="35"/>
      <c r="RS2" s="35"/>
      <c r="RT2" s="35"/>
      <c r="RU2" s="35"/>
      <c r="RV2" s="35"/>
      <c r="RW2" s="35"/>
      <c r="RX2" s="35"/>
      <c r="RY2" s="35"/>
      <c r="RZ2" s="35"/>
      <c r="SA2" s="35"/>
      <c r="SB2" s="35"/>
      <c r="SC2" s="35"/>
      <c r="SD2" s="35"/>
      <c r="SE2" s="35"/>
      <c r="SF2" s="35"/>
      <c r="SG2" s="35"/>
      <c r="SH2" s="35"/>
      <c r="SI2" s="35"/>
      <c r="SJ2" s="35"/>
      <c r="SK2" s="35"/>
      <c r="SL2" s="35"/>
      <c r="SM2" s="35"/>
      <c r="SN2" s="35"/>
      <c r="SO2" s="35"/>
      <c r="SP2" s="35"/>
      <c r="SQ2" s="35"/>
      <c r="SR2" s="35"/>
      <c r="SS2" s="35"/>
      <c r="ST2" s="35"/>
      <c r="SU2" s="35"/>
      <c r="SV2" s="35"/>
      <c r="SW2" s="35"/>
      <c r="SX2" s="35"/>
      <c r="SY2" s="35"/>
      <c r="SZ2" s="35"/>
      <c r="TA2" s="35"/>
      <c r="TB2" s="35"/>
      <c r="TC2" s="35"/>
      <c r="TD2" s="35"/>
      <c r="TE2" s="35"/>
      <c r="TF2" s="35"/>
      <c r="TG2" s="35"/>
      <c r="TH2" s="35"/>
      <c r="TI2" s="35"/>
      <c r="TJ2" s="35"/>
      <c r="TK2" s="35"/>
      <c r="TL2" s="35"/>
      <c r="TM2" s="35"/>
      <c r="TN2" s="35"/>
      <c r="TO2" s="35"/>
      <c r="TP2" s="35"/>
      <c r="TQ2" s="35"/>
      <c r="TR2" s="35"/>
      <c r="TS2" s="35"/>
      <c r="TT2" s="35"/>
      <c r="TU2" s="35"/>
      <c r="TV2" s="35"/>
      <c r="TW2" s="35"/>
      <c r="TX2" s="35"/>
      <c r="TY2" s="35"/>
      <c r="TZ2" s="35"/>
      <c r="UA2" s="35"/>
      <c r="UB2" s="35"/>
      <c r="UC2" s="35"/>
      <c r="UD2" s="35"/>
      <c r="UE2" s="35"/>
      <c r="UF2" s="35"/>
      <c r="UG2" s="35"/>
      <c r="UH2" s="35"/>
      <c r="UI2" s="35"/>
      <c r="UJ2" s="35"/>
      <c r="UK2" s="35"/>
      <c r="UL2" s="35"/>
      <c r="UM2" s="35"/>
      <c r="UN2" s="35"/>
      <c r="UO2" s="35"/>
      <c r="UP2" s="35"/>
      <c r="UQ2" s="35"/>
      <c r="UR2" s="35"/>
      <c r="US2" s="35"/>
      <c r="UT2" s="35"/>
      <c r="UU2" s="35"/>
      <c r="UV2" s="35"/>
      <c r="UW2" s="35"/>
      <c r="UX2" s="35"/>
      <c r="UY2" s="35"/>
      <c r="UZ2" s="35"/>
      <c r="VA2" s="35"/>
      <c r="VB2" s="35"/>
      <c r="VC2" s="35"/>
      <c r="VD2" s="35"/>
      <c r="VE2" s="35"/>
      <c r="VF2" s="35"/>
      <c r="VG2" s="35"/>
      <c r="VH2" s="35"/>
      <c r="VI2" s="35"/>
      <c r="VJ2" s="35"/>
      <c r="VK2" s="35"/>
      <c r="VL2" s="35"/>
      <c r="VM2" s="35"/>
      <c r="VN2" s="35"/>
      <c r="VO2" s="35"/>
      <c r="VP2" s="35"/>
      <c r="VQ2" s="35"/>
      <c r="VR2" s="35"/>
      <c r="VS2" s="35"/>
      <c r="VT2" s="35"/>
      <c r="VU2" s="35"/>
      <c r="VV2" s="35"/>
      <c r="VW2" s="35"/>
      <c r="VX2" s="35"/>
      <c r="VY2" s="35"/>
      <c r="VZ2" s="35"/>
      <c r="WA2" s="35"/>
      <c r="WB2" s="35"/>
      <c r="WC2" s="35"/>
      <c r="WD2" s="35"/>
      <c r="WE2" s="35"/>
      <c r="WF2" s="35"/>
      <c r="WG2" s="35"/>
      <c r="WH2" s="35"/>
      <c r="WI2" s="35"/>
      <c r="WJ2" s="35"/>
      <c r="WK2" s="35"/>
      <c r="WL2" s="35"/>
      <c r="WM2" s="35"/>
      <c r="WN2" s="35"/>
      <c r="WO2" s="35"/>
      <c r="WP2" s="35"/>
      <c r="WQ2" s="35"/>
      <c r="WR2" s="35"/>
      <c r="WS2" s="35"/>
      <c r="WT2" s="35"/>
      <c r="WU2" s="35"/>
      <c r="WV2" s="35"/>
      <c r="WW2" s="35"/>
      <c r="WX2" s="35"/>
      <c r="WY2" s="35"/>
      <c r="WZ2" s="35"/>
      <c r="XA2" s="35"/>
      <c r="XB2" s="35"/>
      <c r="XC2" s="35"/>
      <c r="XD2" s="35"/>
      <c r="XE2" s="35"/>
      <c r="XF2" s="35"/>
      <c r="XG2" s="35"/>
      <c r="XH2" s="35"/>
      <c r="XI2" s="35"/>
      <c r="XJ2" s="35"/>
      <c r="XK2" s="35"/>
      <c r="XL2" s="35"/>
      <c r="XM2" s="35"/>
      <c r="XN2" s="35"/>
      <c r="XO2" s="35"/>
      <c r="XP2" s="35"/>
      <c r="XQ2" s="35"/>
      <c r="XR2" s="35"/>
      <c r="XS2" s="35"/>
      <c r="XT2" s="35"/>
      <c r="XU2" s="35"/>
      <c r="XV2" s="35"/>
      <c r="XW2" s="35"/>
      <c r="XX2" s="35"/>
      <c r="XY2" s="35"/>
      <c r="XZ2" s="35"/>
      <c r="YA2" s="35"/>
      <c r="YB2" s="35"/>
      <c r="YC2" s="35"/>
      <c r="YD2" s="35"/>
      <c r="YE2" s="35"/>
      <c r="YF2" s="35"/>
      <c r="YG2" s="35"/>
      <c r="YH2" s="35"/>
      <c r="YI2" s="35"/>
      <c r="YJ2" s="35"/>
      <c r="YK2" s="35"/>
      <c r="YL2" s="35"/>
      <c r="YM2" s="35"/>
      <c r="YN2" s="35"/>
      <c r="YO2" s="35"/>
      <c r="YP2" s="35"/>
      <c r="YQ2" s="35"/>
      <c r="YR2" s="35"/>
      <c r="YS2" s="35"/>
      <c r="YT2" s="35"/>
      <c r="YU2" s="35"/>
      <c r="YV2" s="35"/>
      <c r="YW2" s="35"/>
      <c r="YX2" s="35"/>
      <c r="YY2" s="35"/>
      <c r="YZ2" s="35"/>
      <c r="ZA2" s="35"/>
      <c r="ZB2" s="35"/>
      <c r="ZC2" s="35"/>
      <c r="ZD2" s="35"/>
      <c r="ZE2" s="35"/>
      <c r="ZF2" s="35"/>
      <c r="ZG2" s="35"/>
      <c r="ZH2" s="35"/>
      <c r="ZI2" s="35"/>
      <c r="ZJ2" s="35"/>
      <c r="ZK2" s="35"/>
      <c r="ZL2" s="35"/>
      <c r="ZM2" s="35"/>
      <c r="ZN2" s="35"/>
      <c r="ZO2" s="35"/>
      <c r="ZP2" s="35"/>
      <c r="ZQ2" s="35"/>
      <c r="ZR2" s="35"/>
      <c r="ZS2" s="35"/>
      <c r="ZT2" s="35"/>
      <c r="ZU2" s="35"/>
      <c r="ZV2" s="35"/>
      <c r="ZW2" s="35"/>
      <c r="ZX2" s="35"/>
      <c r="ZY2" s="35"/>
      <c r="ZZ2" s="35"/>
      <c r="AAA2" s="35"/>
      <c r="AAB2" s="35"/>
      <c r="AAC2" s="35"/>
      <c r="AAD2" s="35"/>
      <c r="AAE2" s="35"/>
      <c r="AAF2" s="35"/>
      <c r="AAG2" s="35"/>
      <c r="AAH2" s="35"/>
      <c r="AAI2" s="35"/>
      <c r="AAJ2" s="35"/>
      <c r="AAK2" s="35"/>
      <c r="AAL2" s="35"/>
      <c r="AAM2" s="35"/>
      <c r="AAN2" s="35"/>
      <c r="AAO2" s="35"/>
      <c r="AAP2" s="35"/>
      <c r="AAQ2" s="35"/>
      <c r="AAR2" s="35"/>
      <c r="AAS2" s="35"/>
      <c r="AAT2" s="35"/>
      <c r="AAU2" s="35"/>
      <c r="AAV2" s="35"/>
      <c r="AAW2" s="35"/>
      <c r="AAX2" s="35"/>
      <c r="AAY2" s="35"/>
      <c r="AAZ2" s="35"/>
      <c r="ABA2" s="35"/>
      <c r="ABB2" s="35"/>
      <c r="ABC2" s="35"/>
      <c r="ABD2" s="35"/>
      <c r="ABE2" s="35"/>
      <c r="ABF2" s="35"/>
      <c r="ABG2" s="35"/>
      <c r="ABH2" s="35"/>
      <c r="ABI2" s="35"/>
      <c r="ABJ2" s="35"/>
      <c r="ABK2" s="35"/>
      <c r="ABL2" s="35"/>
      <c r="ABM2" s="35"/>
      <c r="ABN2" s="35"/>
      <c r="ABO2" s="35"/>
      <c r="ABP2" s="35"/>
      <c r="ABQ2" s="35"/>
      <c r="ABR2" s="35"/>
      <c r="ABS2" s="35"/>
      <c r="ABT2" s="35"/>
      <c r="ABU2" s="35"/>
      <c r="ABV2" s="35"/>
      <c r="ABW2" s="35"/>
      <c r="ABX2" s="35"/>
      <c r="ABY2" s="35"/>
      <c r="ABZ2" s="35"/>
      <c r="ACA2" s="35"/>
      <c r="ACB2" s="35"/>
      <c r="ACC2" s="35"/>
      <c r="ACD2" s="35"/>
      <c r="ACE2" s="35"/>
      <c r="ACF2" s="35"/>
      <c r="ACG2" s="35"/>
      <c r="ACH2" s="35"/>
      <c r="ACI2" s="35"/>
      <c r="ACJ2" s="35"/>
      <c r="ACK2" s="35"/>
      <c r="ACL2" s="35"/>
      <c r="ACM2" s="35"/>
      <c r="ACN2" s="35"/>
      <c r="ACO2" s="35"/>
      <c r="ACP2" s="35"/>
      <c r="ACQ2" s="35"/>
      <c r="ACR2" s="35"/>
      <c r="ACS2" s="35"/>
      <c r="ACT2" s="35"/>
      <c r="ACU2" s="35"/>
      <c r="ACV2" s="35"/>
      <c r="ACW2" s="35"/>
      <c r="ACX2" s="35"/>
      <c r="ACY2" s="35"/>
      <c r="ACZ2" s="35"/>
      <c r="ADA2" s="35"/>
      <c r="ADB2" s="35"/>
      <c r="ADC2" s="35"/>
      <c r="ADD2" s="35"/>
      <c r="ADE2" s="35"/>
      <c r="ADF2" s="35"/>
      <c r="ADG2" s="35"/>
      <c r="ADH2" s="35"/>
      <c r="ADI2" s="35"/>
      <c r="ADJ2" s="35"/>
      <c r="ADK2" s="35"/>
      <c r="ADL2" s="35"/>
      <c r="ADM2" s="35"/>
      <c r="ADN2" s="35"/>
      <c r="ADO2" s="35"/>
      <c r="ADP2" s="35"/>
      <c r="ADQ2" s="35"/>
      <c r="ADR2" s="35"/>
      <c r="ADS2" s="35"/>
      <c r="ADT2" s="35"/>
      <c r="ADU2" s="35"/>
      <c r="ADV2" s="35"/>
      <c r="ADW2" s="35"/>
      <c r="ADX2" s="35"/>
      <c r="ADY2" s="35"/>
      <c r="ADZ2" s="35"/>
      <c r="AEA2" s="35"/>
      <c r="AEB2" s="35"/>
      <c r="AEC2" s="35"/>
      <c r="AED2" s="35"/>
      <c r="AEE2" s="35"/>
      <c r="AEF2" s="35"/>
      <c r="AEG2" s="35"/>
      <c r="AEH2" s="35"/>
      <c r="AEI2" s="35"/>
      <c r="AEJ2" s="35"/>
      <c r="AEK2" s="35"/>
      <c r="AEL2" s="35"/>
      <c r="AEM2" s="35"/>
      <c r="AEN2" s="35"/>
      <c r="AEO2" s="35"/>
      <c r="AEP2" s="35"/>
      <c r="AEQ2" s="35"/>
      <c r="AER2" s="35"/>
      <c r="AES2" s="35"/>
      <c r="AET2" s="35"/>
      <c r="AEU2" s="35"/>
      <c r="AEV2" s="35"/>
      <c r="AEW2" s="35"/>
      <c r="AEX2" s="35"/>
      <c r="AEY2" s="35"/>
      <c r="AEZ2" s="35"/>
      <c r="AFA2" s="35"/>
      <c r="AFB2" s="35"/>
      <c r="AFC2" s="35"/>
      <c r="AFD2" s="35"/>
      <c r="AFE2" s="35"/>
      <c r="AFF2" s="35"/>
      <c r="AFG2" s="35"/>
      <c r="AFH2" s="35"/>
      <c r="AFI2" s="35"/>
      <c r="AFJ2" s="35"/>
      <c r="AFK2" s="35"/>
      <c r="AFL2" s="35"/>
      <c r="AFM2" s="35"/>
      <c r="AFN2" s="35"/>
      <c r="AFO2" s="35"/>
      <c r="AFP2" s="35"/>
      <c r="AFQ2" s="35"/>
      <c r="AFR2" s="35"/>
      <c r="AFS2" s="35"/>
      <c r="AFT2" s="35"/>
      <c r="AFU2" s="35"/>
      <c r="AFV2" s="35"/>
      <c r="AFW2" s="35"/>
      <c r="AFX2" s="35"/>
      <c r="AFY2" s="35"/>
      <c r="AFZ2" s="35"/>
      <c r="AGA2" s="35"/>
      <c r="AGB2" s="35"/>
      <c r="AGC2" s="35"/>
      <c r="AGD2" s="35"/>
      <c r="AGE2" s="35"/>
      <c r="AGF2" s="35"/>
      <c r="AGG2" s="35"/>
      <c r="AGH2" s="35"/>
      <c r="AGI2" s="35"/>
      <c r="AGJ2" s="35"/>
      <c r="AGK2" s="35"/>
      <c r="AGL2" s="35"/>
      <c r="AGM2" s="35"/>
      <c r="AGN2" s="35"/>
      <c r="AGO2" s="35"/>
      <c r="AGP2" s="35"/>
      <c r="AGQ2" s="35"/>
      <c r="AGR2" s="35"/>
      <c r="AGS2" s="35"/>
      <c r="AGT2" s="35"/>
      <c r="AGU2" s="35"/>
      <c r="AGV2" s="35"/>
      <c r="AGW2" s="35"/>
      <c r="AGX2" s="35"/>
      <c r="AGY2" s="35"/>
      <c r="AGZ2" s="35"/>
      <c r="AHA2" s="35"/>
      <c r="AHB2" s="35"/>
      <c r="AHC2" s="35"/>
      <c r="AHD2" s="35"/>
      <c r="AHE2" s="35"/>
      <c r="AHF2" s="35"/>
      <c r="AHG2" s="35"/>
      <c r="AHH2" s="35"/>
      <c r="AHI2" s="35"/>
      <c r="AHJ2" s="35"/>
      <c r="AHK2" s="35"/>
      <c r="AHL2" s="35"/>
      <c r="AHM2" s="35"/>
      <c r="AHN2" s="35"/>
      <c r="AHO2" s="35"/>
      <c r="AHP2" s="35"/>
      <c r="AHQ2" s="35"/>
      <c r="AHR2" s="35"/>
      <c r="AHS2" s="35"/>
      <c r="AHT2" s="35"/>
      <c r="AHU2" s="35"/>
      <c r="AHV2" s="35"/>
      <c r="AHW2" s="35"/>
      <c r="AHX2" s="35"/>
      <c r="AHY2" s="35"/>
      <c r="AHZ2" s="35"/>
      <c r="AIA2" s="35"/>
      <c r="AIB2" s="35"/>
      <c r="AIC2" s="35"/>
      <c r="AID2" s="35"/>
      <c r="AIE2" s="35"/>
      <c r="AIF2" s="35"/>
      <c r="AIG2" s="35"/>
      <c r="AIH2" s="35"/>
      <c r="AII2" s="35"/>
      <c r="AIJ2" s="35"/>
      <c r="AIK2" s="35"/>
      <c r="AIL2" s="35"/>
      <c r="AIM2" s="35"/>
      <c r="AIN2" s="35"/>
      <c r="AIO2" s="35"/>
      <c r="AIP2" s="35"/>
      <c r="AIQ2" s="35"/>
      <c r="AIR2" s="35"/>
      <c r="AIS2" s="35"/>
      <c r="AIT2" s="35"/>
      <c r="AIU2" s="35"/>
      <c r="AIV2" s="35"/>
      <c r="AIW2" s="35"/>
      <c r="AIX2" s="35"/>
      <c r="AIY2" s="35"/>
      <c r="AIZ2" s="35"/>
      <c r="AJA2" s="35"/>
      <c r="AJB2" s="35"/>
      <c r="AJC2" s="35"/>
      <c r="AJD2" s="35"/>
      <c r="AJE2" s="35"/>
      <c r="AJF2" s="35"/>
      <c r="AJG2" s="35"/>
      <c r="AJH2" s="35"/>
      <c r="AJI2" s="35"/>
      <c r="AJJ2" s="35"/>
      <c r="AJK2" s="35"/>
      <c r="AJL2" s="35"/>
      <c r="AJM2" s="35"/>
      <c r="AJN2" s="35"/>
      <c r="AJO2" s="35"/>
      <c r="AJP2" s="35"/>
      <c r="AJQ2" s="35"/>
      <c r="AJR2" s="35"/>
      <c r="AJS2" s="35"/>
      <c r="AJT2" s="35"/>
      <c r="AJU2" s="35"/>
      <c r="AJV2" s="35"/>
      <c r="AJW2" s="35"/>
      <c r="AJX2" s="35"/>
      <c r="AJY2" s="35"/>
      <c r="AJZ2" s="35"/>
      <c r="AKA2" s="35"/>
      <c r="AKB2" s="35"/>
      <c r="AKC2" s="35"/>
      <c r="AKD2" s="35"/>
      <c r="AKE2" s="35"/>
      <c r="AKF2" s="35"/>
      <c r="AKG2" s="35"/>
      <c r="AKH2" s="35"/>
      <c r="AKI2" s="35"/>
      <c r="AKJ2" s="35"/>
      <c r="AKK2" s="35"/>
      <c r="AKL2" s="35"/>
      <c r="AKM2" s="35"/>
      <c r="AKN2" s="35"/>
      <c r="AKO2" s="35"/>
      <c r="AKP2" s="35"/>
      <c r="AKQ2" s="35"/>
      <c r="AKR2" s="35"/>
      <c r="AKS2" s="35"/>
      <c r="AKT2" s="35"/>
      <c r="AKU2" s="35"/>
      <c r="AKV2" s="35"/>
      <c r="AKW2" s="35"/>
      <c r="AKX2" s="35"/>
      <c r="AKY2" s="35"/>
      <c r="AKZ2" s="35"/>
      <c r="ALA2" s="35"/>
      <c r="ALB2" s="35"/>
      <c r="ALC2" s="35"/>
      <c r="ALD2" s="35"/>
      <c r="ALE2" s="35"/>
      <c r="ALF2" s="35"/>
      <c r="ALG2" s="35"/>
      <c r="ALH2" s="35"/>
      <c r="ALI2" s="35"/>
      <c r="ALJ2" s="35"/>
      <c r="ALK2" s="35"/>
      <c r="ALL2" s="35"/>
      <c r="ALM2" s="35"/>
      <c r="ALN2" s="35"/>
      <c r="ALO2" s="35"/>
      <c r="ALP2" s="35"/>
      <c r="ALQ2" s="35"/>
      <c r="ALR2" s="35"/>
      <c r="ALS2" s="35"/>
      <c r="ALT2" s="35"/>
      <c r="ALU2" s="35"/>
      <c r="ALV2" s="35"/>
      <c r="ALW2" s="35"/>
      <c r="ALX2" s="35"/>
      <c r="ALY2" s="1"/>
      <c r="ALZ2" s="1"/>
      <c r="AMA2" s="1"/>
      <c r="AMB2" s="1"/>
      <c r="AMC2" s="1"/>
      <c r="AMD2" s="1"/>
      <c r="AME2" s="1"/>
      <c r="AMF2" s="1"/>
      <c r="AMG2" s="1"/>
      <c r="AMH2" s="1"/>
      <c r="AMI2" s="1"/>
      <c r="AMJ2" s="1"/>
    </row>
    <row r="3" customFormat="false" ht="24.05" hidden="false" customHeight="false" outlineLevel="0" collapsed="false">
      <c r="A3" s="43" t="s">
        <v>414</v>
      </c>
      <c r="B3" s="45" t="s">
        <v>439</v>
      </c>
      <c r="C3" s="45" t="s">
        <v>932</v>
      </c>
      <c r="D3" s="45" t="s">
        <v>837</v>
      </c>
      <c r="E3" s="48" t="s">
        <v>440</v>
      </c>
      <c r="F3" s="48" t="s">
        <v>601</v>
      </c>
      <c r="G3" s="48" t="s">
        <v>706</v>
      </c>
      <c r="H3" s="45" t="s">
        <v>933</v>
      </c>
      <c r="I3" s="49" t="s">
        <v>907</v>
      </c>
      <c r="J3" s="128" t="s">
        <v>934</v>
      </c>
      <c r="K3" s="123" t="s">
        <v>561</v>
      </c>
      <c r="L3" s="43" t="s">
        <v>442</v>
      </c>
      <c r="M3" s="45" t="s">
        <v>851</v>
      </c>
      <c r="N3" s="48" t="s">
        <v>454</v>
      </c>
    </row>
    <row r="4" customFormat="false" ht="9.7" hidden="false" customHeight="true" outlineLevel="0" collapsed="false">
      <c r="A4" s="39" t="str">
        <f aca="false">A3</f>
        <v>A</v>
      </c>
      <c r="B4" s="51" t="str">
        <f aca="false">B3</f>
        <v>Status</v>
      </c>
      <c r="C4" s="51" t="str">
        <f aca="false">C3</f>
        <v>Client Type</v>
      </c>
      <c r="D4" s="51" t="str">
        <f aca="false">D3</f>
        <v>Alias</v>
      </c>
      <c r="E4" s="52" t="str">
        <f aca="false">E3</f>
        <v>Name</v>
      </c>
      <c r="F4" s="52" t="str">
        <f aca="false">F3</f>
        <v>Overview</v>
      </c>
      <c r="G4" s="52" t="str">
        <f aca="false">G3</f>
        <v>Link</v>
      </c>
      <c r="H4" s="51" t="str">
        <f aca="false">H3</f>
        <v>Client Category</v>
      </c>
      <c r="I4" s="51" t="str">
        <f aca="false">I3</f>
        <v>Contacts</v>
      </c>
      <c r="J4" s="124" t="str">
        <f aca="false">J3</f>
        <v>Revenue</v>
      </c>
      <c r="K4" s="129" t="str">
        <f aca="false">K3</f>
        <v>Reference</v>
      </c>
      <c r="L4" s="39" t="str">
        <f aca="false">K3</f>
        <v>Reference</v>
      </c>
      <c r="M4" s="51" t="str">
        <f aca="false">M3</f>
        <v>ID</v>
      </c>
      <c r="N4" s="52" t="str">
        <f aca="false">N3</f>
        <v>Z</v>
      </c>
    </row>
    <row r="5" customFormat="false" ht="12.8" hidden="false" customHeight="false" outlineLevel="0" collapsed="false">
      <c r="A5" s="54"/>
      <c r="B5" s="60"/>
      <c r="C5" s="62" t="s">
        <v>853</v>
      </c>
      <c r="D5" s="64"/>
      <c r="E5" s="64"/>
      <c r="F5" s="64"/>
      <c r="G5" s="64"/>
      <c r="H5" s="62"/>
      <c r="I5" s="70"/>
      <c r="J5" s="130"/>
      <c r="K5" s="63" t="s">
        <v>25</v>
      </c>
      <c r="L5" s="54" t="s">
        <v>25</v>
      </c>
      <c r="M5" s="126"/>
      <c r="N5" s="64" t="s">
        <v>364</v>
      </c>
    </row>
    <row r="6" customFormat="false" ht="12.8" hidden="false" customHeight="false" outlineLevel="0" collapsed="false">
      <c r="A6" s="54"/>
      <c r="B6" s="60"/>
      <c r="C6" s="62" t="s">
        <v>853</v>
      </c>
      <c r="D6" s="64"/>
      <c r="E6" s="64"/>
      <c r="F6" s="64"/>
      <c r="G6" s="64"/>
      <c r="H6" s="62"/>
      <c r="I6" s="70"/>
      <c r="J6" s="130"/>
      <c r="K6" s="63" t="s">
        <v>25</v>
      </c>
      <c r="L6" s="54" t="s">
        <v>25</v>
      </c>
      <c r="M6" s="126"/>
      <c r="N6" s="64" t="s">
        <v>364</v>
      </c>
    </row>
    <row r="7" customFormat="false" ht="12.8" hidden="false" customHeight="false" outlineLevel="0" collapsed="false">
      <c r="A7" s="54"/>
      <c r="B7" s="60"/>
      <c r="C7" s="62"/>
      <c r="D7" s="64"/>
      <c r="E7" s="64"/>
      <c r="F7" s="64"/>
      <c r="G7" s="64"/>
      <c r="H7" s="62"/>
      <c r="I7" s="70"/>
      <c r="J7" s="130"/>
      <c r="K7" s="63"/>
      <c r="L7" s="54"/>
      <c r="M7" s="126"/>
      <c r="N7" s="64" t="s">
        <v>364</v>
      </c>
    </row>
    <row r="8" customFormat="false" ht="12.8" hidden="false" customHeight="false" outlineLevel="0" collapsed="false">
      <c r="A8" s="54"/>
      <c r="B8" s="60"/>
      <c r="C8" s="62"/>
      <c r="D8" s="64"/>
      <c r="E8" s="64"/>
      <c r="F8" s="64"/>
      <c r="G8" s="64"/>
      <c r="H8" s="62"/>
      <c r="I8" s="70"/>
      <c r="J8" s="130"/>
      <c r="K8" s="63"/>
      <c r="L8" s="54"/>
      <c r="M8" s="126"/>
      <c r="N8" s="64" t="s">
        <v>364</v>
      </c>
    </row>
    <row r="9" customFormat="false" ht="12.8" hidden="false" customHeight="false" outlineLevel="0" collapsed="false">
      <c r="A9" s="54"/>
      <c r="B9" s="60"/>
      <c r="C9" s="62"/>
      <c r="D9" s="64"/>
      <c r="E9" s="64"/>
      <c r="F9" s="64"/>
      <c r="G9" s="64"/>
      <c r="H9" s="62"/>
      <c r="I9" s="70"/>
      <c r="J9" s="130"/>
      <c r="K9" s="63"/>
      <c r="L9" s="54"/>
      <c r="M9" s="126"/>
      <c r="N9" s="64" t="s">
        <v>364</v>
      </c>
    </row>
    <row r="10" customFormat="false" ht="12.8" hidden="false" customHeight="false" outlineLevel="0" collapsed="false">
      <c r="A10" s="54"/>
      <c r="B10" s="60"/>
      <c r="C10" s="62"/>
      <c r="D10" s="64"/>
      <c r="E10" s="64"/>
      <c r="F10" s="64"/>
      <c r="G10" s="64"/>
      <c r="H10" s="62"/>
      <c r="I10" s="70"/>
      <c r="J10" s="130"/>
      <c r="K10" s="63"/>
      <c r="L10" s="54"/>
      <c r="M10" s="126"/>
      <c r="N10" s="64" t="s">
        <v>364</v>
      </c>
    </row>
    <row r="11" customFormat="false" ht="12.8" hidden="false" customHeight="false" outlineLevel="0" collapsed="false">
      <c r="A11" s="54"/>
      <c r="B11" s="60"/>
      <c r="C11" s="62"/>
      <c r="D11" s="64"/>
      <c r="E11" s="64"/>
      <c r="F11" s="64"/>
      <c r="G11" s="64"/>
      <c r="H11" s="62"/>
      <c r="I11" s="70"/>
      <c r="J11" s="130"/>
      <c r="K11" s="63"/>
      <c r="L11" s="54"/>
      <c r="M11" s="126"/>
      <c r="N11" s="64" t="s">
        <v>364</v>
      </c>
    </row>
    <row r="12" customFormat="false" ht="12.8" hidden="false" customHeight="false" outlineLevel="0" collapsed="false">
      <c r="A12" s="54"/>
      <c r="B12" s="60"/>
      <c r="C12" s="62"/>
      <c r="D12" s="64"/>
      <c r="E12" s="64"/>
      <c r="F12" s="64"/>
      <c r="G12" s="64"/>
      <c r="H12" s="62"/>
      <c r="I12" s="70"/>
      <c r="J12" s="130"/>
      <c r="K12" s="63"/>
      <c r="L12" s="54"/>
      <c r="M12" s="126"/>
      <c r="N12" s="64" t="s">
        <v>364</v>
      </c>
    </row>
    <row r="13" customFormat="false" ht="12.8" hidden="false" customHeight="false" outlineLevel="0" collapsed="false">
      <c r="A13" s="54"/>
      <c r="B13" s="60"/>
      <c r="C13" s="62"/>
      <c r="D13" s="64"/>
      <c r="E13" s="64"/>
      <c r="F13" s="64"/>
      <c r="G13" s="64"/>
      <c r="H13" s="62"/>
      <c r="I13" s="70"/>
      <c r="J13" s="130"/>
      <c r="K13" s="63"/>
      <c r="L13" s="54"/>
      <c r="M13" s="126"/>
      <c r="N13" s="64" t="s">
        <v>364</v>
      </c>
    </row>
    <row r="14" customFormat="false" ht="12.8" hidden="false" customHeight="false" outlineLevel="0" collapsed="false">
      <c r="A14" s="54"/>
      <c r="B14" s="60"/>
      <c r="C14" s="62"/>
      <c r="D14" s="64"/>
      <c r="E14" s="64"/>
      <c r="F14" s="64"/>
      <c r="G14" s="64"/>
      <c r="H14" s="62"/>
      <c r="I14" s="70"/>
      <c r="J14" s="130"/>
      <c r="K14" s="63"/>
      <c r="L14" s="54"/>
      <c r="M14" s="126"/>
      <c r="N14" s="64" t="s">
        <v>364</v>
      </c>
    </row>
    <row r="15" customFormat="false" ht="12.8" hidden="false" customHeight="false" outlineLevel="0" collapsed="false">
      <c r="A15" s="54"/>
      <c r="B15" s="60"/>
      <c r="C15" s="62"/>
      <c r="D15" s="64"/>
      <c r="E15" s="64"/>
      <c r="F15" s="64"/>
      <c r="G15" s="64"/>
      <c r="H15" s="62"/>
      <c r="I15" s="70"/>
      <c r="J15" s="130"/>
      <c r="K15" s="63"/>
      <c r="L15" s="54"/>
      <c r="M15" s="126"/>
      <c r="N15" s="64" t="s">
        <v>364</v>
      </c>
    </row>
    <row r="16" customFormat="false" ht="12.8" hidden="false" customHeight="false" outlineLevel="0" collapsed="false">
      <c r="A16" s="54"/>
      <c r="B16" s="60"/>
      <c r="C16" s="62"/>
      <c r="D16" s="64"/>
      <c r="E16" s="64"/>
      <c r="F16" s="64"/>
      <c r="G16" s="64"/>
      <c r="H16" s="62"/>
      <c r="I16" s="70"/>
      <c r="J16" s="130"/>
      <c r="K16" s="63"/>
      <c r="L16" s="54"/>
      <c r="M16" s="126"/>
      <c r="N16" s="64" t="s">
        <v>364</v>
      </c>
    </row>
    <row r="17" customFormat="false" ht="12.8" hidden="false" customHeight="false" outlineLevel="0" collapsed="false">
      <c r="A17" s="54"/>
      <c r="B17" s="60"/>
      <c r="C17" s="62"/>
      <c r="D17" s="64"/>
      <c r="E17" s="64"/>
      <c r="F17" s="64"/>
      <c r="G17" s="64"/>
      <c r="H17" s="62"/>
      <c r="I17" s="70"/>
      <c r="J17" s="130"/>
      <c r="K17" s="63"/>
      <c r="L17" s="54"/>
      <c r="M17" s="126"/>
      <c r="N17" s="64" t="s">
        <v>364</v>
      </c>
    </row>
    <row r="18" customFormat="false" ht="12.8" hidden="false" customHeight="false" outlineLevel="0" collapsed="false">
      <c r="A18" s="54"/>
      <c r="B18" s="60"/>
      <c r="C18" s="62"/>
      <c r="D18" s="64"/>
      <c r="E18" s="64"/>
      <c r="F18" s="64"/>
      <c r="G18" s="64"/>
      <c r="H18" s="62"/>
      <c r="I18" s="70"/>
      <c r="J18" s="130"/>
      <c r="K18" s="63"/>
      <c r="L18" s="54"/>
      <c r="M18" s="126"/>
      <c r="N18" s="64" t="s">
        <v>364</v>
      </c>
    </row>
    <row r="19" customFormat="false" ht="12.8" hidden="false" customHeight="false" outlineLevel="0" collapsed="false">
      <c r="A19" s="54"/>
      <c r="B19" s="60"/>
      <c r="C19" s="62"/>
      <c r="D19" s="64"/>
      <c r="E19" s="64"/>
      <c r="F19" s="64"/>
      <c r="G19" s="64"/>
      <c r="H19" s="62"/>
      <c r="I19" s="70"/>
      <c r="J19" s="130"/>
      <c r="K19" s="63"/>
      <c r="L19" s="54"/>
      <c r="M19" s="126"/>
      <c r="N19" s="64" t="s">
        <v>364</v>
      </c>
    </row>
    <row r="20" customFormat="false" ht="12.8" hidden="false" customHeight="false" outlineLevel="0" collapsed="false">
      <c r="A20" s="54"/>
      <c r="B20" s="60"/>
      <c r="C20" s="62"/>
      <c r="D20" s="64"/>
      <c r="E20" s="64"/>
      <c r="F20" s="64"/>
      <c r="G20" s="64"/>
      <c r="H20" s="62"/>
      <c r="I20" s="70"/>
      <c r="J20" s="130"/>
      <c r="K20" s="63"/>
      <c r="L20" s="54"/>
      <c r="M20" s="126"/>
      <c r="N20" s="64" t="s">
        <v>364</v>
      </c>
    </row>
    <row r="21" customFormat="false" ht="12.8" hidden="false" customHeight="false" outlineLevel="0" collapsed="false">
      <c r="A21" s="54"/>
      <c r="B21" s="60"/>
      <c r="C21" s="62"/>
      <c r="D21" s="64"/>
      <c r="E21" s="64"/>
      <c r="F21" s="64"/>
      <c r="G21" s="64"/>
      <c r="H21" s="62"/>
      <c r="I21" s="70"/>
      <c r="J21" s="130"/>
      <c r="K21" s="63"/>
      <c r="L21" s="54"/>
      <c r="M21" s="126"/>
      <c r="N21" s="64" t="s">
        <v>364</v>
      </c>
    </row>
    <row r="22" customFormat="false" ht="12.8" hidden="false" customHeight="false" outlineLevel="0" collapsed="false">
      <c r="A22" s="54"/>
      <c r="B22" s="60"/>
      <c r="C22" s="62"/>
      <c r="D22" s="64"/>
      <c r="E22" s="64"/>
      <c r="F22" s="64"/>
      <c r="G22" s="64"/>
      <c r="H22" s="62"/>
      <c r="I22" s="70"/>
      <c r="J22" s="130"/>
      <c r="K22" s="63"/>
      <c r="L22" s="54"/>
      <c r="M22" s="126"/>
      <c r="N22" s="64" t="s">
        <v>364</v>
      </c>
    </row>
    <row r="23" customFormat="false" ht="12.8" hidden="false" customHeight="false" outlineLevel="0" collapsed="false">
      <c r="A23" s="54"/>
      <c r="B23" s="60"/>
      <c r="C23" s="62"/>
      <c r="D23" s="64"/>
      <c r="E23" s="64"/>
      <c r="F23" s="64"/>
      <c r="G23" s="64"/>
      <c r="H23" s="62"/>
      <c r="I23" s="70"/>
      <c r="J23" s="130"/>
      <c r="K23" s="63"/>
      <c r="L23" s="54"/>
      <c r="M23" s="126"/>
      <c r="N23" s="64" t="s">
        <v>364</v>
      </c>
    </row>
    <row r="24" customFormat="false" ht="12.8" hidden="false" customHeight="false" outlineLevel="0" collapsed="false">
      <c r="A24" s="54"/>
      <c r="B24" s="60"/>
      <c r="C24" s="62"/>
      <c r="D24" s="64"/>
      <c r="E24" s="64"/>
      <c r="F24" s="64"/>
      <c r="G24" s="64"/>
      <c r="H24" s="62"/>
      <c r="I24" s="70"/>
      <c r="J24" s="130"/>
      <c r="K24" s="63"/>
      <c r="L24" s="54"/>
      <c r="M24" s="126"/>
      <c r="N24" s="64" t="s">
        <v>364</v>
      </c>
    </row>
    <row r="25" customFormat="false" ht="12.8" hidden="false" customHeight="false" outlineLevel="0" collapsed="false">
      <c r="A25" s="54"/>
      <c r="B25" s="60"/>
      <c r="C25" s="62"/>
      <c r="D25" s="64"/>
      <c r="E25" s="64"/>
      <c r="F25" s="64"/>
      <c r="G25" s="64"/>
      <c r="H25" s="62"/>
      <c r="I25" s="70"/>
      <c r="J25" s="130"/>
      <c r="K25" s="63"/>
      <c r="L25" s="54"/>
      <c r="M25" s="126"/>
      <c r="N25" s="64" t="s">
        <v>364</v>
      </c>
    </row>
    <row r="26" customFormat="false" ht="12.8" hidden="false" customHeight="false" outlineLevel="0" collapsed="false">
      <c r="A26" s="54"/>
      <c r="B26" s="60"/>
      <c r="C26" s="62"/>
      <c r="D26" s="64"/>
      <c r="E26" s="64"/>
      <c r="F26" s="64"/>
      <c r="G26" s="64"/>
      <c r="H26" s="62"/>
      <c r="I26" s="70"/>
      <c r="J26" s="130"/>
      <c r="K26" s="63"/>
      <c r="L26" s="54"/>
      <c r="M26" s="126"/>
      <c r="N26" s="64" t="s">
        <v>364</v>
      </c>
    </row>
    <row r="27" customFormat="false" ht="12.8" hidden="false" customHeight="false" outlineLevel="0" collapsed="false">
      <c r="A27" s="54"/>
      <c r="B27" s="60"/>
      <c r="C27" s="62"/>
      <c r="D27" s="64"/>
      <c r="E27" s="64"/>
      <c r="F27" s="64"/>
      <c r="G27" s="64"/>
      <c r="H27" s="62"/>
      <c r="I27" s="70"/>
      <c r="J27" s="130"/>
      <c r="K27" s="63"/>
      <c r="L27" s="54"/>
      <c r="M27" s="126"/>
      <c r="N27" s="64" t="s">
        <v>364</v>
      </c>
    </row>
    <row r="28" customFormat="false" ht="12.8" hidden="false" customHeight="false" outlineLevel="0" collapsed="false">
      <c r="A28" s="54"/>
      <c r="B28" s="60"/>
      <c r="C28" s="62"/>
      <c r="D28" s="64"/>
      <c r="E28" s="64"/>
      <c r="F28" s="64"/>
      <c r="G28" s="64"/>
      <c r="H28" s="62"/>
      <c r="I28" s="70"/>
      <c r="J28" s="130"/>
      <c r="K28" s="63"/>
      <c r="L28" s="54"/>
      <c r="M28" s="126"/>
      <c r="N28" s="64" t="s">
        <v>364</v>
      </c>
    </row>
    <row r="29" customFormat="false" ht="12.8" hidden="false" customHeight="false" outlineLevel="0" collapsed="false">
      <c r="A29" s="54"/>
      <c r="B29" s="60"/>
      <c r="C29" s="62"/>
      <c r="D29" s="64"/>
      <c r="E29" s="64"/>
      <c r="F29" s="64"/>
      <c r="G29" s="64"/>
      <c r="H29" s="62"/>
      <c r="I29" s="70"/>
      <c r="J29" s="130"/>
      <c r="K29" s="63"/>
      <c r="L29" s="54"/>
      <c r="M29" s="126"/>
      <c r="N29" s="64" t="s">
        <v>364</v>
      </c>
    </row>
    <row r="30" customFormat="false" ht="12.8" hidden="false" customHeight="false" outlineLevel="0" collapsed="false">
      <c r="A30" s="54"/>
      <c r="B30" s="60"/>
      <c r="C30" s="62"/>
      <c r="D30" s="64"/>
      <c r="E30" s="64"/>
      <c r="F30" s="64"/>
      <c r="G30" s="64"/>
      <c r="H30" s="62"/>
      <c r="I30" s="70"/>
      <c r="J30" s="130"/>
      <c r="K30" s="63"/>
      <c r="L30" s="54"/>
      <c r="M30" s="126"/>
      <c r="N30" s="64" t="s">
        <v>364</v>
      </c>
    </row>
    <row r="31" customFormat="false" ht="12.8" hidden="false" customHeight="false" outlineLevel="0" collapsed="false">
      <c r="A31" s="54"/>
      <c r="B31" s="60"/>
      <c r="C31" s="62"/>
      <c r="D31" s="64"/>
      <c r="E31" s="64"/>
      <c r="F31" s="64"/>
      <c r="G31" s="64"/>
      <c r="H31" s="62"/>
      <c r="I31" s="70"/>
      <c r="J31" s="130"/>
      <c r="K31" s="63"/>
      <c r="L31" s="54"/>
      <c r="M31" s="126"/>
      <c r="N31" s="64" t="s">
        <v>364</v>
      </c>
    </row>
    <row r="32" customFormat="false" ht="12.8" hidden="false" customHeight="false" outlineLevel="0" collapsed="false">
      <c r="A32" s="54"/>
      <c r="B32" s="60"/>
      <c r="C32" s="62"/>
      <c r="D32" s="64"/>
      <c r="E32" s="64"/>
      <c r="F32" s="64"/>
      <c r="G32" s="64"/>
      <c r="H32" s="62"/>
      <c r="I32" s="70"/>
      <c r="J32" s="130"/>
      <c r="K32" s="63"/>
      <c r="L32" s="54"/>
      <c r="M32" s="126"/>
      <c r="N32" s="64" t="s">
        <v>364</v>
      </c>
    </row>
    <row r="33" customFormat="false" ht="12.8" hidden="false" customHeight="false" outlineLevel="0" collapsed="false">
      <c r="A33" s="54"/>
      <c r="B33" s="60"/>
      <c r="C33" s="62"/>
      <c r="D33" s="64"/>
      <c r="E33" s="64"/>
      <c r="F33" s="64"/>
      <c r="G33" s="64"/>
      <c r="H33" s="62"/>
      <c r="I33" s="70"/>
      <c r="J33" s="130"/>
      <c r="K33" s="63"/>
      <c r="L33" s="54"/>
      <c r="M33" s="126"/>
      <c r="N33" s="64" t="s">
        <v>364</v>
      </c>
    </row>
    <row r="34" customFormat="false" ht="12.8" hidden="false" customHeight="false" outlineLevel="0" collapsed="false">
      <c r="A34" s="54"/>
      <c r="B34" s="60"/>
      <c r="C34" s="62"/>
      <c r="D34" s="64"/>
      <c r="E34" s="64"/>
      <c r="F34" s="64"/>
      <c r="G34" s="64"/>
      <c r="H34" s="62"/>
      <c r="I34" s="70"/>
      <c r="J34" s="130"/>
      <c r="K34" s="63"/>
      <c r="L34" s="54"/>
      <c r="M34" s="126"/>
      <c r="N34" s="64" t="s">
        <v>364</v>
      </c>
    </row>
    <row r="35" customFormat="false" ht="12.8" hidden="false" customHeight="false" outlineLevel="0" collapsed="false">
      <c r="A35" s="54"/>
      <c r="B35" s="60"/>
      <c r="C35" s="62"/>
      <c r="D35" s="64"/>
      <c r="E35" s="64"/>
      <c r="F35" s="64"/>
      <c r="G35" s="64"/>
      <c r="H35" s="62"/>
      <c r="I35" s="70"/>
      <c r="J35" s="130"/>
      <c r="K35" s="63"/>
      <c r="L35" s="54"/>
      <c r="M35" s="126"/>
      <c r="N35" s="64" t="s">
        <v>364</v>
      </c>
    </row>
    <row r="36" customFormat="false" ht="12.8" hidden="false" customHeight="false" outlineLevel="0" collapsed="false">
      <c r="A36" s="54"/>
      <c r="B36" s="60"/>
      <c r="C36" s="62"/>
      <c r="D36" s="64"/>
      <c r="E36" s="64"/>
      <c r="F36" s="64"/>
      <c r="G36" s="64"/>
      <c r="H36" s="62"/>
      <c r="I36" s="70"/>
      <c r="J36" s="130"/>
      <c r="K36" s="63"/>
      <c r="L36" s="54"/>
      <c r="M36" s="126"/>
      <c r="N36" s="64" t="s">
        <v>364</v>
      </c>
    </row>
    <row r="37" customFormat="false" ht="12.8" hidden="false" customHeight="false" outlineLevel="0" collapsed="false">
      <c r="A37" s="54"/>
      <c r="B37" s="60"/>
      <c r="C37" s="62"/>
      <c r="D37" s="64"/>
      <c r="E37" s="64"/>
      <c r="F37" s="64"/>
      <c r="G37" s="64"/>
      <c r="H37" s="62"/>
      <c r="I37" s="70"/>
      <c r="J37" s="130"/>
      <c r="K37" s="63"/>
      <c r="L37" s="54"/>
      <c r="M37" s="126"/>
      <c r="N37" s="64" t="s">
        <v>364</v>
      </c>
    </row>
    <row r="38" customFormat="false" ht="12.8" hidden="false" customHeight="false" outlineLevel="0" collapsed="false">
      <c r="A38" s="54"/>
      <c r="B38" s="60"/>
      <c r="C38" s="62"/>
      <c r="D38" s="64"/>
      <c r="E38" s="64"/>
      <c r="F38" s="64"/>
      <c r="G38" s="64"/>
      <c r="H38" s="62"/>
      <c r="I38" s="70"/>
      <c r="J38" s="130"/>
      <c r="K38" s="63"/>
      <c r="L38" s="54"/>
      <c r="M38" s="126"/>
      <c r="N38" s="64" t="s">
        <v>364</v>
      </c>
    </row>
    <row r="39" customFormat="false" ht="12.8" hidden="false" customHeight="false" outlineLevel="0" collapsed="false">
      <c r="A39" s="54"/>
      <c r="B39" s="60"/>
      <c r="C39" s="62"/>
      <c r="D39" s="64"/>
      <c r="E39" s="64"/>
      <c r="F39" s="64"/>
      <c r="G39" s="64"/>
      <c r="H39" s="62"/>
      <c r="I39" s="70"/>
      <c r="J39" s="130"/>
      <c r="K39" s="63"/>
      <c r="L39" s="54"/>
      <c r="M39" s="126"/>
      <c r="N39" s="64" t="s">
        <v>364</v>
      </c>
    </row>
    <row r="40" customFormat="false" ht="12.8" hidden="false" customHeight="false" outlineLevel="0" collapsed="false">
      <c r="B40" s="3"/>
    </row>
  </sheetData>
  <autoFilter ref="A4:N39"/>
  <dataValidations count="2">
    <dataValidation allowBlank="true" errorStyle="stop" operator="equal" showDropDown="false" showErrorMessage="true" showInputMessage="false" sqref="C5:C39" type="list">
      <formula1>Static!$Y$5:$Y$6</formula1>
      <formula2>0</formula2>
    </dataValidation>
    <dataValidation allowBlank="true" errorStyle="stop" operator="equal" showDropDown="false" showErrorMessage="true" showInputMessage="false" sqref="H5:H39" type="list">
      <formula1>Static!$Z$5:$Z$9</formula1>
      <formula2>0</formula2>
    </dataValidation>
  </dataValidation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1D41A"/>
    <pageSetUpPr fitToPage="false"/>
  </sheetPr>
  <dimension ref="A1:AMI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3" topLeftCell="F4" activePane="bottomRight" state="frozen"/>
      <selection pane="topLeft" activeCell="A1" activeCellId="0" sqref="A1"/>
      <selection pane="topRight" activeCell="F1" activeCellId="0" sqref="F1"/>
      <selection pane="bottomLeft" activeCell="A4" activeCellId="0" sqref="A4"/>
      <selection pane="bottomRight" activeCell="H9" activeCellId="0" sqref="H9"/>
    </sheetView>
  </sheetViews>
  <sheetFormatPr defaultColWidth="16.1484375" defaultRowHeight="12.8" zeroHeight="false" outlineLevelRow="1" outlineLevelCol="0"/>
  <cols>
    <col collapsed="false" customWidth="true" hidden="false" outlineLevel="0" max="1" min="1" style="3" width="1.8"/>
    <col collapsed="false" customWidth="true" hidden="false" outlineLevel="0" max="2" min="2" style="29" width="6.54"/>
    <col collapsed="false" customWidth="true" hidden="false" outlineLevel="0" max="3" min="3" style="29" width="14.38"/>
    <col collapsed="false" customWidth="true" hidden="false" outlineLevel="0" max="4" min="4" style="29" width="12.64"/>
    <col collapsed="false" customWidth="true" hidden="false" outlineLevel="0" max="6" min="6" style="1" width="13.89"/>
    <col collapsed="false" customWidth="true" hidden="false" outlineLevel="0" max="7" min="7" style="1" width="9.72"/>
    <col collapsed="false" customWidth="true" hidden="false" outlineLevel="0" max="8" min="8" style="29" width="14.59"/>
    <col collapsed="false" customWidth="true" hidden="false" outlineLevel="0" max="9" min="9" style="29" width="10.8"/>
    <col collapsed="false" customWidth="true" hidden="false" outlineLevel="0" max="10" min="10" style="3" width="8.64"/>
    <col collapsed="false" customWidth="true" hidden="false" outlineLevel="0" max="11" min="11" style="3" width="13.4"/>
    <col collapsed="false" customWidth="true" hidden="false" outlineLevel="0" max="12" min="12" style="3" width="13.58"/>
    <col collapsed="false" customWidth="true" hidden="false" outlineLevel="0" max="13" min="13" style="29" width="8.03"/>
    <col collapsed="false" customWidth="true" hidden="false" outlineLevel="0" max="14" min="14" style="1" width="2.54"/>
    <col collapsed="false" customWidth="true" hidden="false" outlineLevel="0" max="1024" min="1024" style="1" width="11.52"/>
  </cols>
  <sheetData>
    <row r="1" customFormat="false" ht="81.3" hidden="false" customHeight="true" outlineLevel="1" collapsed="false">
      <c r="A1" s="31" t="s">
        <v>749</v>
      </c>
      <c r="B1" s="33" t="s">
        <v>860</v>
      </c>
      <c r="C1" s="33" t="s">
        <v>935</v>
      </c>
      <c r="D1" s="33" t="s">
        <v>817</v>
      </c>
      <c r="E1" s="34" t="s">
        <v>918</v>
      </c>
      <c r="F1" s="34" t="s">
        <v>819</v>
      </c>
      <c r="G1" s="83" t="s">
        <v>936</v>
      </c>
      <c r="H1" s="83" t="s">
        <v>920</v>
      </c>
      <c r="I1" s="83" t="s">
        <v>937</v>
      </c>
      <c r="J1" s="72" t="s">
        <v>938</v>
      </c>
      <c r="K1" s="72" t="s">
        <v>757</v>
      </c>
      <c r="L1" s="31" t="s">
        <v>835</v>
      </c>
      <c r="M1" s="33" t="s">
        <v>904</v>
      </c>
      <c r="N1" s="31" t="s">
        <v>412</v>
      </c>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c r="CT1" s="35"/>
      <c r="CU1" s="35"/>
      <c r="CV1" s="35"/>
      <c r="CW1" s="35"/>
      <c r="CX1" s="35"/>
      <c r="CY1" s="35"/>
      <c r="CZ1" s="35"/>
      <c r="DA1" s="35"/>
      <c r="DB1" s="35"/>
      <c r="DC1" s="35"/>
      <c r="DD1" s="35"/>
      <c r="DE1" s="35"/>
      <c r="DF1" s="35"/>
      <c r="DG1" s="35"/>
      <c r="DH1" s="35"/>
      <c r="DI1" s="35"/>
      <c r="DJ1" s="35"/>
      <c r="DK1" s="35"/>
      <c r="DL1" s="35"/>
      <c r="DM1" s="35"/>
      <c r="DN1" s="35"/>
      <c r="DO1" s="35"/>
      <c r="DP1" s="35"/>
      <c r="DQ1" s="35"/>
      <c r="DR1" s="35"/>
      <c r="DS1" s="35"/>
      <c r="DT1" s="35"/>
      <c r="DU1" s="35"/>
      <c r="DV1" s="35"/>
      <c r="DW1" s="35"/>
      <c r="DX1" s="35"/>
      <c r="DY1" s="35"/>
      <c r="DZ1" s="35"/>
      <c r="EA1" s="35"/>
      <c r="EB1" s="35"/>
      <c r="EC1" s="35"/>
      <c r="ED1" s="35"/>
      <c r="EE1" s="35"/>
      <c r="EF1" s="35"/>
      <c r="EG1" s="35"/>
      <c r="EH1" s="35"/>
      <c r="EI1" s="35"/>
      <c r="EJ1" s="35"/>
      <c r="EK1" s="35"/>
      <c r="EL1" s="35"/>
      <c r="EM1" s="35"/>
      <c r="EN1" s="35"/>
      <c r="EO1" s="35"/>
      <c r="EP1" s="35"/>
      <c r="EQ1" s="35"/>
      <c r="ER1" s="35"/>
      <c r="ES1" s="35"/>
      <c r="ET1" s="35"/>
      <c r="EU1" s="35"/>
      <c r="EV1" s="35"/>
      <c r="EW1" s="35"/>
      <c r="EX1" s="35"/>
      <c r="EY1" s="35"/>
      <c r="EZ1" s="35"/>
      <c r="FA1" s="35"/>
      <c r="FB1" s="35"/>
      <c r="FC1" s="35"/>
      <c r="FD1" s="35"/>
      <c r="FE1" s="35"/>
      <c r="FF1" s="35"/>
      <c r="FG1" s="35"/>
      <c r="FH1" s="35"/>
      <c r="FI1" s="35"/>
      <c r="FJ1" s="35"/>
      <c r="FK1" s="35"/>
      <c r="FL1" s="35"/>
      <c r="FM1" s="35"/>
      <c r="FN1" s="35"/>
      <c r="FO1" s="35"/>
      <c r="FP1" s="35"/>
      <c r="FQ1" s="35"/>
      <c r="FR1" s="35"/>
      <c r="FS1" s="35"/>
      <c r="FT1" s="35"/>
      <c r="FU1" s="35"/>
      <c r="FV1" s="35"/>
      <c r="FW1" s="35"/>
      <c r="FX1" s="35"/>
      <c r="FY1" s="35"/>
      <c r="FZ1" s="35"/>
      <c r="GA1" s="35"/>
      <c r="GB1" s="35"/>
      <c r="GC1" s="35"/>
      <c r="GD1" s="35"/>
      <c r="GE1" s="35"/>
      <c r="GF1" s="35"/>
      <c r="GG1" s="35"/>
      <c r="GH1" s="35"/>
      <c r="GI1" s="35"/>
      <c r="GJ1" s="35"/>
      <c r="GK1" s="35"/>
      <c r="GL1" s="35"/>
      <c r="GM1" s="35"/>
      <c r="GN1" s="35"/>
      <c r="GO1" s="35"/>
      <c r="GP1" s="35"/>
      <c r="GQ1" s="35"/>
      <c r="GR1" s="35"/>
      <c r="GS1" s="35"/>
      <c r="GT1" s="35"/>
      <c r="GU1" s="35"/>
      <c r="GV1" s="35"/>
      <c r="GW1" s="35"/>
      <c r="GX1" s="35"/>
      <c r="GY1" s="35"/>
      <c r="GZ1" s="35"/>
      <c r="HA1" s="35"/>
      <c r="HB1" s="35"/>
      <c r="HC1" s="35"/>
      <c r="HD1" s="35"/>
      <c r="HE1" s="35"/>
      <c r="HF1" s="35"/>
      <c r="HG1" s="35"/>
      <c r="HH1" s="35"/>
      <c r="HI1" s="35"/>
      <c r="HJ1" s="35"/>
      <c r="HK1" s="35"/>
      <c r="HL1" s="35"/>
      <c r="HM1" s="35"/>
      <c r="HN1" s="35"/>
      <c r="HO1" s="35"/>
      <c r="HP1" s="35"/>
      <c r="HQ1" s="35"/>
      <c r="HR1" s="35"/>
      <c r="HS1" s="35"/>
      <c r="HT1" s="35"/>
      <c r="HU1" s="35"/>
      <c r="HV1" s="35"/>
      <c r="HW1" s="35"/>
      <c r="HX1" s="35"/>
      <c r="HY1" s="35"/>
      <c r="HZ1" s="35"/>
      <c r="IA1" s="35"/>
      <c r="IB1" s="35"/>
      <c r="IC1" s="35"/>
      <c r="ID1" s="35"/>
      <c r="IE1" s="35"/>
      <c r="IF1" s="35"/>
      <c r="IG1" s="35"/>
      <c r="IH1" s="35"/>
      <c r="II1" s="35"/>
      <c r="IJ1" s="35"/>
      <c r="IK1" s="35"/>
      <c r="IL1" s="35"/>
      <c r="IM1" s="35"/>
      <c r="IN1" s="35"/>
      <c r="IO1" s="35"/>
      <c r="IP1" s="35"/>
      <c r="IQ1" s="35"/>
      <c r="IR1" s="35"/>
      <c r="IS1" s="35"/>
      <c r="IT1" s="35"/>
      <c r="IU1" s="35"/>
      <c r="IV1" s="35"/>
      <c r="IW1" s="35"/>
      <c r="IX1" s="35"/>
      <c r="IY1" s="35"/>
      <c r="IZ1" s="35"/>
      <c r="JA1" s="35"/>
      <c r="JB1" s="35"/>
      <c r="JC1" s="35"/>
      <c r="JD1" s="35"/>
      <c r="JE1" s="35"/>
      <c r="JF1" s="35"/>
      <c r="JG1" s="35"/>
      <c r="JH1" s="35"/>
      <c r="JI1" s="35"/>
      <c r="JJ1" s="35"/>
      <c r="JK1" s="35"/>
      <c r="JL1" s="35"/>
      <c r="JM1" s="35"/>
      <c r="JN1" s="35"/>
      <c r="JO1" s="35"/>
      <c r="JP1" s="35"/>
      <c r="JQ1" s="35"/>
      <c r="JR1" s="35"/>
      <c r="JS1" s="35"/>
      <c r="JT1" s="35"/>
      <c r="JU1" s="35"/>
      <c r="JV1" s="35"/>
      <c r="JW1" s="35"/>
      <c r="JX1" s="35"/>
      <c r="JY1" s="35"/>
      <c r="JZ1" s="35"/>
      <c r="KA1" s="35"/>
      <c r="KB1" s="35"/>
      <c r="KC1" s="35"/>
      <c r="KD1" s="35"/>
      <c r="KE1" s="35"/>
      <c r="KF1" s="35"/>
      <c r="KG1" s="35"/>
      <c r="KH1" s="35"/>
      <c r="KI1" s="35"/>
      <c r="KJ1" s="35"/>
      <c r="KK1" s="35"/>
      <c r="KL1" s="35"/>
      <c r="KM1" s="35"/>
      <c r="KN1" s="35"/>
      <c r="KO1" s="35"/>
      <c r="KP1" s="35"/>
      <c r="KQ1" s="35"/>
      <c r="KR1" s="35"/>
      <c r="KS1" s="35"/>
      <c r="KT1" s="35"/>
      <c r="KU1" s="35"/>
      <c r="KV1" s="35"/>
      <c r="KW1" s="35"/>
      <c r="KX1" s="35"/>
      <c r="KY1" s="35"/>
      <c r="KZ1" s="35"/>
      <c r="LA1" s="35"/>
      <c r="LB1" s="35"/>
      <c r="LC1" s="35"/>
      <c r="LD1" s="35"/>
      <c r="LE1" s="35"/>
      <c r="LF1" s="35"/>
      <c r="LG1" s="35"/>
      <c r="LH1" s="35"/>
      <c r="LI1" s="35"/>
      <c r="LJ1" s="35"/>
      <c r="LK1" s="35"/>
      <c r="LL1" s="35"/>
      <c r="LM1" s="35"/>
      <c r="LN1" s="35"/>
      <c r="LO1" s="35"/>
      <c r="LP1" s="35"/>
      <c r="LQ1" s="35"/>
      <c r="LR1" s="35"/>
      <c r="LS1" s="35"/>
      <c r="LT1" s="35"/>
      <c r="LU1" s="35"/>
      <c r="LV1" s="35"/>
      <c r="LW1" s="35"/>
      <c r="LX1" s="35"/>
      <c r="LY1" s="35"/>
      <c r="LZ1" s="35"/>
      <c r="MA1" s="35"/>
      <c r="MB1" s="35"/>
      <c r="MC1" s="35"/>
      <c r="MD1" s="35"/>
      <c r="ME1" s="35"/>
      <c r="MF1" s="35"/>
      <c r="MG1" s="35"/>
      <c r="MH1" s="35"/>
      <c r="MI1" s="35"/>
      <c r="MJ1" s="35"/>
      <c r="MK1" s="35"/>
      <c r="ML1" s="35"/>
      <c r="MM1" s="35"/>
      <c r="MN1" s="35"/>
      <c r="MO1" s="35"/>
      <c r="MP1" s="35"/>
      <c r="MQ1" s="35"/>
      <c r="MR1" s="35"/>
      <c r="MS1" s="35"/>
      <c r="MT1" s="35"/>
      <c r="MU1" s="35"/>
      <c r="MV1" s="35"/>
      <c r="MW1" s="35"/>
      <c r="MX1" s="35"/>
      <c r="MY1" s="35"/>
      <c r="MZ1" s="35"/>
      <c r="NA1" s="35"/>
      <c r="NB1" s="35"/>
      <c r="NC1" s="35"/>
      <c r="ND1" s="35"/>
      <c r="NE1" s="35"/>
      <c r="NF1" s="35"/>
      <c r="NG1" s="35"/>
      <c r="NH1" s="35"/>
      <c r="NI1" s="35"/>
      <c r="NJ1" s="35"/>
      <c r="NK1" s="35"/>
      <c r="NL1" s="35"/>
      <c r="NM1" s="35"/>
      <c r="NN1" s="35"/>
      <c r="NO1" s="35"/>
      <c r="NP1" s="35"/>
      <c r="NQ1" s="35"/>
      <c r="NR1" s="35"/>
      <c r="NS1" s="35"/>
      <c r="NT1" s="35"/>
      <c r="NU1" s="35"/>
      <c r="NV1" s="35"/>
      <c r="NW1" s="35"/>
      <c r="NX1" s="35"/>
      <c r="NY1" s="35"/>
      <c r="NZ1" s="35"/>
      <c r="OA1" s="35"/>
      <c r="OB1" s="35"/>
      <c r="OC1" s="35"/>
      <c r="OD1" s="35"/>
      <c r="OE1" s="35"/>
      <c r="OF1" s="35"/>
      <c r="OG1" s="35"/>
      <c r="OH1" s="35"/>
      <c r="OI1" s="35"/>
      <c r="OJ1" s="35"/>
      <c r="OK1" s="35"/>
      <c r="OL1" s="35"/>
      <c r="OM1" s="35"/>
      <c r="ON1" s="35"/>
      <c r="OO1" s="35"/>
      <c r="OP1" s="35"/>
      <c r="OQ1" s="35"/>
      <c r="OR1" s="35"/>
      <c r="OS1" s="35"/>
      <c r="OT1" s="35"/>
      <c r="OU1" s="35"/>
      <c r="OV1" s="35"/>
      <c r="OW1" s="35"/>
      <c r="OX1" s="35"/>
      <c r="OY1" s="35"/>
      <c r="OZ1" s="35"/>
      <c r="PA1" s="35"/>
      <c r="PB1" s="35"/>
      <c r="PC1" s="35"/>
      <c r="PD1" s="35"/>
      <c r="PE1" s="35"/>
      <c r="PF1" s="35"/>
      <c r="PG1" s="35"/>
      <c r="PH1" s="35"/>
      <c r="PI1" s="35"/>
      <c r="PJ1" s="35"/>
      <c r="PK1" s="35"/>
      <c r="PL1" s="35"/>
      <c r="PM1" s="35"/>
      <c r="PN1" s="35"/>
      <c r="PO1" s="35"/>
      <c r="PP1" s="35"/>
      <c r="PQ1" s="35"/>
      <c r="PR1" s="35"/>
      <c r="PS1" s="35"/>
      <c r="PT1" s="35"/>
      <c r="PU1" s="35"/>
      <c r="PV1" s="35"/>
      <c r="PW1" s="35"/>
      <c r="PX1" s="35"/>
      <c r="PY1" s="35"/>
      <c r="PZ1" s="35"/>
      <c r="QA1" s="35"/>
      <c r="QB1" s="35"/>
      <c r="QC1" s="35"/>
      <c r="QD1" s="35"/>
      <c r="QE1" s="35"/>
      <c r="QF1" s="35"/>
      <c r="QG1" s="35"/>
      <c r="QH1" s="35"/>
      <c r="QI1" s="35"/>
      <c r="QJ1" s="35"/>
      <c r="QK1" s="35"/>
      <c r="QL1" s="35"/>
      <c r="QM1" s="35"/>
      <c r="QN1" s="35"/>
      <c r="QO1" s="35"/>
      <c r="QP1" s="35"/>
      <c r="QQ1" s="35"/>
      <c r="QR1" s="35"/>
      <c r="QS1" s="35"/>
      <c r="QT1" s="35"/>
      <c r="QU1" s="35"/>
      <c r="QV1" s="35"/>
      <c r="QW1" s="35"/>
      <c r="QX1" s="35"/>
      <c r="QY1" s="35"/>
      <c r="QZ1" s="35"/>
      <c r="RA1" s="35"/>
      <c r="RB1" s="35"/>
      <c r="RC1" s="35"/>
      <c r="RD1" s="35"/>
      <c r="RE1" s="35"/>
      <c r="RF1" s="35"/>
      <c r="RG1" s="35"/>
      <c r="RH1" s="35"/>
      <c r="RI1" s="35"/>
      <c r="RJ1" s="35"/>
      <c r="RK1" s="35"/>
      <c r="RL1" s="35"/>
      <c r="RM1" s="35"/>
      <c r="RN1" s="35"/>
      <c r="RO1" s="35"/>
      <c r="RP1" s="35"/>
      <c r="RQ1" s="35"/>
      <c r="RR1" s="35"/>
      <c r="RS1" s="35"/>
      <c r="RT1" s="35"/>
      <c r="RU1" s="35"/>
      <c r="RV1" s="35"/>
      <c r="RW1" s="35"/>
      <c r="RX1" s="35"/>
      <c r="RY1" s="35"/>
      <c r="RZ1" s="35"/>
      <c r="SA1" s="35"/>
      <c r="SB1" s="35"/>
      <c r="SC1" s="35"/>
      <c r="SD1" s="35"/>
      <c r="SE1" s="35"/>
      <c r="SF1" s="35"/>
      <c r="SG1" s="35"/>
      <c r="SH1" s="35"/>
      <c r="SI1" s="35"/>
      <c r="SJ1" s="35"/>
      <c r="SK1" s="35"/>
      <c r="SL1" s="35"/>
      <c r="SM1" s="35"/>
      <c r="SN1" s="35"/>
      <c r="SO1" s="35"/>
      <c r="SP1" s="35"/>
      <c r="SQ1" s="35"/>
      <c r="SR1" s="35"/>
      <c r="SS1" s="35"/>
      <c r="ST1" s="35"/>
      <c r="SU1" s="35"/>
      <c r="SV1" s="35"/>
      <c r="SW1" s="35"/>
      <c r="SX1" s="35"/>
      <c r="SY1" s="35"/>
      <c r="SZ1" s="35"/>
      <c r="TA1" s="35"/>
      <c r="TB1" s="35"/>
      <c r="TC1" s="35"/>
      <c r="TD1" s="35"/>
      <c r="TE1" s="35"/>
      <c r="TF1" s="35"/>
      <c r="TG1" s="35"/>
      <c r="TH1" s="35"/>
      <c r="TI1" s="35"/>
      <c r="TJ1" s="35"/>
      <c r="TK1" s="35"/>
      <c r="TL1" s="35"/>
      <c r="TM1" s="35"/>
      <c r="TN1" s="35"/>
      <c r="TO1" s="35"/>
      <c r="TP1" s="35"/>
      <c r="TQ1" s="35"/>
      <c r="TR1" s="35"/>
      <c r="TS1" s="35"/>
      <c r="TT1" s="35"/>
      <c r="TU1" s="35"/>
      <c r="TV1" s="35"/>
      <c r="TW1" s="35"/>
      <c r="TX1" s="35"/>
      <c r="TY1" s="35"/>
      <c r="TZ1" s="35"/>
      <c r="UA1" s="35"/>
      <c r="UB1" s="35"/>
      <c r="UC1" s="35"/>
      <c r="UD1" s="35"/>
      <c r="UE1" s="35"/>
      <c r="UF1" s="35"/>
      <c r="UG1" s="35"/>
      <c r="UH1" s="35"/>
      <c r="UI1" s="35"/>
      <c r="UJ1" s="35"/>
      <c r="UK1" s="35"/>
      <c r="UL1" s="35"/>
      <c r="UM1" s="35"/>
      <c r="UN1" s="35"/>
      <c r="UO1" s="35"/>
      <c r="UP1" s="35"/>
      <c r="UQ1" s="35"/>
      <c r="UR1" s="35"/>
      <c r="US1" s="35"/>
      <c r="UT1" s="35"/>
      <c r="UU1" s="35"/>
      <c r="UV1" s="35"/>
      <c r="UW1" s="35"/>
      <c r="UX1" s="35"/>
      <c r="UY1" s="35"/>
      <c r="UZ1" s="35"/>
      <c r="VA1" s="35"/>
      <c r="VB1" s="35"/>
      <c r="VC1" s="35"/>
      <c r="VD1" s="35"/>
      <c r="VE1" s="35"/>
      <c r="VF1" s="35"/>
      <c r="VG1" s="35"/>
      <c r="VH1" s="35"/>
      <c r="VI1" s="35"/>
      <c r="VJ1" s="35"/>
      <c r="VK1" s="35"/>
      <c r="VL1" s="35"/>
      <c r="VM1" s="35"/>
      <c r="VN1" s="35"/>
      <c r="VO1" s="35"/>
      <c r="VP1" s="35"/>
      <c r="VQ1" s="35"/>
      <c r="VR1" s="35"/>
      <c r="VS1" s="35"/>
      <c r="VT1" s="35"/>
      <c r="VU1" s="35"/>
      <c r="VV1" s="35"/>
      <c r="VW1" s="35"/>
      <c r="VX1" s="35"/>
      <c r="VY1" s="35"/>
      <c r="VZ1" s="35"/>
      <c r="WA1" s="35"/>
      <c r="WB1" s="35"/>
      <c r="WC1" s="35"/>
      <c r="WD1" s="35"/>
      <c r="WE1" s="35"/>
      <c r="WF1" s="35"/>
      <c r="WG1" s="35"/>
      <c r="WH1" s="35"/>
      <c r="WI1" s="35"/>
      <c r="WJ1" s="35"/>
      <c r="WK1" s="35"/>
      <c r="WL1" s="35"/>
      <c r="WM1" s="35"/>
      <c r="WN1" s="35"/>
      <c r="WO1" s="35"/>
      <c r="WP1" s="35"/>
      <c r="WQ1" s="35"/>
      <c r="WR1" s="35"/>
      <c r="WS1" s="35"/>
      <c r="WT1" s="35"/>
      <c r="WU1" s="35"/>
      <c r="WV1" s="35"/>
      <c r="WW1" s="35"/>
      <c r="WX1" s="35"/>
      <c r="WY1" s="35"/>
      <c r="WZ1" s="35"/>
      <c r="XA1" s="35"/>
      <c r="XB1" s="35"/>
      <c r="XC1" s="35"/>
      <c r="XD1" s="35"/>
      <c r="XE1" s="35"/>
      <c r="XF1" s="35"/>
      <c r="XG1" s="35"/>
      <c r="XH1" s="35"/>
      <c r="XI1" s="35"/>
      <c r="XJ1" s="35"/>
      <c r="XK1" s="35"/>
      <c r="XL1" s="35"/>
      <c r="XM1" s="35"/>
      <c r="XN1" s="35"/>
      <c r="XO1" s="35"/>
      <c r="XP1" s="35"/>
      <c r="XQ1" s="35"/>
      <c r="XR1" s="35"/>
      <c r="XS1" s="35"/>
      <c r="XT1" s="35"/>
      <c r="XU1" s="35"/>
      <c r="XV1" s="35"/>
      <c r="XW1" s="35"/>
      <c r="XX1" s="35"/>
      <c r="XY1" s="35"/>
      <c r="XZ1" s="35"/>
      <c r="YA1" s="35"/>
      <c r="YB1" s="35"/>
      <c r="YC1" s="35"/>
      <c r="YD1" s="35"/>
      <c r="YE1" s="35"/>
      <c r="YF1" s="35"/>
      <c r="YG1" s="35"/>
      <c r="YH1" s="35"/>
      <c r="YI1" s="35"/>
      <c r="YJ1" s="35"/>
      <c r="YK1" s="35"/>
      <c r="YL1" s="35"/>
      <c r="YM1" s="35"/>
      <c r="YN1" s="35"/>
      <c r="YO1" s="35"/>
      <c r="YP1" s="35"/>
      <c r="YQ1" s="35"/>
      <c r="YR1" s="35"/>
      <c r="YS1" s="35"/>
      <c r="YT1" s="35"/>
      <c r="YU1" s="35"/>
      <c r="YV1" s="35"/>
      <c r="YW1" s="35"/>
      <c r="YX1" s="35"/>
      <c r="YY1" s="35"/>
      <c r="YZ1" s="35"/>
      <c r="ZA1" s="35"/>
      <c r="ZB1" s="35"/>
      <c r="ZC1" s="35"/>
      <c r="ZD1" s="35"/>
      <c r="ZE1" s="35"/>
      <c r="ZF1" s="35"/>
      <c r="ZG1" s="35"/>
      <c r="ZH1" s="35"/>
      <c r="ZI1" s="35"/>
      <c r="ZJ1" s="35"/>
      <c r="ZK1" s="35"/>
      <c r="ZL1" s="35"/>
      <c r="ZM1" s="35"/>
      <c r="ZN1" s="35"/>
      <c r="ZO1" s="35"/>
      <c r="ZP1" s="35"/>
      <c r="ZQ1" s="35"/>
      <c r="ZR1" s="35"/>
      <c r="ZS1" s="35"/>
      <c r="ZT1" s="35"/>
      <c r="ZU1" s="35"/>
      <c r="ZV1" s="35"/>
      <c r="ZW1" s="35"/>
      <c r="ZX1" s="35"/>
      <c r="ZY1" s="35"/>
      <c r="ZZ1" s="35"/>
      <c r="AAA1" s="35"/>
      <c r="AAB1" s="35"/>
      <c r="AAC1" s="35"/>
      <c r="AAD1" s="35"/>
      <c r="AAE1" s="35"/>
      <c r="AAF1" s="35"/>
      <c r="AAG1" s="35"/>
      <c r="AAH1" s="35"/>
      <c r="AAI1" s="35"/>
      <c r="AAJ1" s="35"/>
      <c r="AAK1" s="35"/>
      <c r="AAL1" s="35"/>
      <c r="AAM1" s="35"/>
      <c r="AAN1" s="35"/>
      <c r="AAO1" s="35"/>
      <c r="AAP1" s="35"/>
      <c r="AAQ1" s="35"/>
      <c r="AAR1" s="35"/>
      <c r="AAS1" s="35"/>
      <c r="AAT1" s="35"/>
      <c r="AAU1" s="35"/>
      <c r="AAV1" s="35"/>
      <c r="AAW1" s="35"/>
      <c r="AAX1" s="35"/>
      <c r="AAY1" s="35"/>
      <c r="AAZ1" s="35"/>
      <c r="ABA1" s="35"/>
      <c r="ABB1" s="35"/>
      <c r="ABC1" s="35"/>
      <c r="ABD1" s="35"/>
      <c r="ABE1" s="35"/>
      <c r="ABF1" s="35"/>
      <c r="ABG1" s="35"/>
      <c r="ABH1" s="35"/>
      <c r="ABI1" s="35"/>
      <c r="ABJ1" s="35"/>
      <c r="ABK1" s="35"/>
      <c r="ABL1" s="35"/>
      <c r="ABM1" s="35"/>
      <c r="ABN1" s="35"/>
      <c r="ABO1" s="35"/>
      <c r="ABP1" s="35"/>
      <c r="ABQ1" s="35"/>
      <c r="ABR1" s="35"/>
      <c r="ABS1" s="35"/>
      <c r="ABT1" s="35"/>
      <c r="ABU1" s="35"/>
      <c r="ABV1" s="35"/>
      <c r="ABW1" s="35"/>
      <c r="ABX1" s="35"/>
      <c r="ABY1" s="35"/>
      <c r="ABZ1" s="35"/>
      <c r="ACA1" s="35"/>
      <c r="ACB1" s="35"/>
      <c r="ACC1" s="35"/>
      <c r="ACD1" s="35"/>
      <c r="ACE1" s="35"/>
      <c r="ACF1" s="35"/>
      <c r="ACG1" s="35"/>
      <c r="ACH1" s="35"/>
      <c r="ACI1" s="35"/>
      <c r="ACJ1" s="35"/>
      <c r="ACK1" s="35"/>
      <c r="ACL1" s="35"/>
      <c r="ACM1" s="35"/>
      <c r="ACN1" s="35"/>
      <c r="ACO1" s="35"/>
      <c r="ACP1" s="35"/>
      <c r="ACQ1" s="35"/>
      <c r="ACR1" s="35"/>
      <c r="ACS1" s="35"/>
      <c r="ACT1" s="35"/>
      <c r="ACU1" s="35"/>
      <c r="ACV1" s="35"/>
      <c r="ACW1" s="35"/>
      <c r="ACX1" s="35"/>
      <c r="ACY1" s="35"/>
      <c r="ACZ1" s="35"/>
      <c r="ADA1" s="35"/>
      <c r="ADB1" s="35"/>
      <c r="ADC1" s="35"/>
      <c r="ADD1" s="35"/>
      <c r="ADE1" s="35"/>
      <c r="ADF1" s="35"/>
      <c r="ADG1" s="35"/>
      <c r="ADH1" s="35"/>
      <c r="ADI1" s="35"/>
      <c r="ADJ1" s="35"/>
      <c r="ADK1" s="35"/>
      <c r="ADL1" s="35"/>
      <c r="ADM1" s="35"/>
      <c r="ADN1" s="35"/>
      <c r="ADO1" s="35"/>
      <c r="ADP1" s="35"/>
      <c r="ADQ1" s="35"/>
      <c r="ADR1" s="35"/>
      <c r="ADS1" s="35"/>
      <c r="ADT1" s="35"/>
      <c r="ADU1" s="35"/>
      <c r="ADV1" s="35"/>
      <c r="ADW1" s="35"/>
      <c r="ADX1" s="35"/>
      <c r="ADY1" s="35"/>
      <c r="ADZ1" s="35"/>
      <c r="AEA1" s="35"/>
      <c r="AEB1" s="35"/>
      <c r="AEC1" s="35"/>
      <c r="AED1" s="35"/>
      <c r="AEE1" s="35"/>
      <c r="AEF1" s="35"/>
      <c r="AEG1" s="35"/>
      <c r="AEH1" s="35"/>
      <c r="AEI1" s="35"/>
      <c r="AEJ1" s="35"/>
      <c r="AEK1" s="35"/>
      <c r="AEL1" s="35"/>
      <c r="AEM1" s="35"/>
      <c r="AEN1" s="35"/>
      <c r="AEO1" s="35"/>
      <c r="AEP1" s="35"/>
      <c r="AEQ1" s="35"/>
      <c r="AER1" s="35"/>
      <c r="AES1" s="35"/>
      <c r="AET1" s="35"/>
      <c r="AEU1" s="35"/>
      <c r="AEV1" s="35"/>
      <c r="AEW1" s="35"/>
      <c r="AEX1" s="35"/>
      <c r="AEY1" s="35"/>
      <c r="AEZ1" s="35"/>
      <c r="AFA1" s="35"/>
      <c r="AFB1" s="35"/>
      <c r="AFC1" s="35"/>
      <c r="AFD1" s="35"/>
      <c r="AFE1" s="35"/>
      <c r="AFF1" s="35"/>
      <c r="AFG1" s="35"/>
      <c r="AFH1" s="35"/>
      <c r="AFI1" s="35"/>
      <c r="AFJ1" s="35"/>
      <c r="AFK1" s="35"/>
      <c r="AFL1" s="35"/>
      <c r="AFM1" s="35"/>
      <c r="AFN1" s="35"/>
      <c r="AFO1" s="35"/>
      <c r="AFP1" s="35"/>
      <c r="AFQ1" s="35"/>
      <c r="AFR1" s="35"/>
      <c r="AFS1" s="35"/>
      <c r="AFT1" s="35"/>
      <c r="AFU1" s="35"/>
      <c r="AFV1" s="35"/>
      <c r="AFW1" s="35"/>
      <c r="AFX1" s="35"/>
      <c r="AFY1" s="35"/>
      <c r="AFZ1" s="35"/>
      <c r="AGA1" s="35"/>
      <c r="AGB1" s="35"/>
      <c r="AGC1" s="35"/>
      <c r="AGD1" s="35"/>
      <c r="AGE1" s="35"/>
      <c r="AGF1" s="35"/>
      <c r="AGG1" s="35"/>
      <c r="AGH1" s="35"/>
      <c r="AGI1" s="35"/>
      <c r="AGJ1" s="35"/>
      <c r="AGK1" s="35"/>
      <c r="AGL1" s="35"/>
      <c r="AGM1" s="35"/>
      <c r="AGN1" s="35"/>
      <c r="AGO1" s="35"/>
      <c r="AGP1" s="35"/>
      <c r="AGQ1" s="35"/>
      <c r="AGR1" s="35"/>
      <c r="AGS1" s="35"/>
      <c r="AGT1" s="35"/>
      <c r="AGU1" s="35"/>
      <c r="AGV1" s="35"/>
      <c r="AGW1" s="35"/>
      <c r="AGX1" s="35"/>
      <c r="AGY1" s="35"/>
      <c r="AGZ1" s="35"/>
      <c r="AHA1" s="35"/>
      <c r="AHB1" s="35"/>
      <c r="AHC1" s="35"/>
      <c r="AHD1" s="35"/>
      <c r="AHE1" s="35"/>
      <c r="AHF1" s="35"/>
      <c r="AHG1" s="35"/>
      <c r="AHH1" s="35"/>
      <c r="AHI1" s="35"/>
      <c r="AHJ1" s="35"/>
      <c r="AHK1" s="35"/>
      <c r="AHL1" s="35"/>
      <c r="AHM1" s="35"/>
      <c r="AHN1" s="35"/>
      <c r="AHO1" s="35"/>
      <c r="AHP1" s="35"/>
      <c r="AHQ1" s="35"/>
      <c r="AHR1" s="35"/>
      <c r="AHS1" s="35"/>
      <c r="AHT1" s="35"/>
      <c r="AHU1" s="35"/>
      <c r="AHV1" s="35"/>
      <c r="AHW1" s="35"/>
      <c r="AHX1" s="35"/>
      <c r="AHY1" s="35"/>
      <c r="AHZ1" s="35"/>
      <c r="AIA1" s="35"/>
      <c r="AIB1" s="35"/>
      <c r="AIC1" s="35"/>
      <c r="AID1" s="35"/>
      <c r="AIE1" s="35"/>
      <c r="AIF1" s="35"/>
      <c r="AIG1" s="35"/>
      <c r="AIH1" s="35"/>
      <c r="AII1" s="35"/>
      <c r="AIJ1" s="35"/>
      <c r="AIK1" s="35"/>
      <c r="AIL1" s="35"/>
      <c r="AIM1" s="35"/>
      <c r="AIN1" s="35"/>
      <c r="AIO1" s="35"/>
      <c r="AIP1" s="35"/>
      <c r="AIQ1" s="35"/>
      <c r="AIR1" s="35"/>
      <c r="AIS1" s="35"/>
      <c r="AIT1" s="35"/>
      <c r="AIU1" s="35"/>
      <c r="AIV1" s="35"/>
      <c r="AIW1" s="35"/>
      <c r="AIX1" s="35"/>
      <c r="AIY1" s="35"/>
      <c r="AIZ1" s="35"/>
      <c r="AJA1" s="35"/>
      <c r="AJB1" s="35"/>
      <c r="AJC1" s="35"/>
      <c r="AJD1" s="35"/>
      <c r="AJE1" s="35"/>
      <c r="AJF1" s="35"/>
      <c r="AJG1" s="35"/>
      <c r="AJH1" s="35"/>
      <c r="AJI1" s="35"/>
      <c r="AJJ1" s="35"/>
      <c r="AJK1" s="35"/>
      <c r="AJL1" s="35"/>
      <c r="AJM1" s="35"/>
      <c r="AJN1" s="35"/>
      <c r="AJO1" s="35"/>
      <c r="AJP1" s="35"/>
      <c r="AJQ1" s="35"/>
      <c r="AJR1" s="35"/>
      <c r="AJS1" s="35"/>
      <c r="AJT1" s="35"/>
      <c r="AJU1" s="35"/>
      <c r="AJV1" s="35"/>
      <c r="AJW1" s="35"/>
      <c r="AJX1" s="35"/>
      <c r="AJY1" s="35"/>
      <c r="AJZ1" s="35"/>
      <c r="AKA1" s="35"/>
      <c r="AKB1" s="35"/>
      <c r="AKC1" s="35"/>
      <c r="AKD1" s="35"/>
      <c r="AKE1" s="35"/>
      <c r="AKF1" s="35"/>
      <c r="AKG1" s="35"/>
      <c r="AKH1" s="35"/>
      <c r="AKI1" s="35"/>
      <c r="AKJ1" s="35"/>
      <c r="AKK1" s="35"/>
      <c r="AKL1" s="35"/>
      <c r="AKM1" s="35"/>
      <c r="AKN1" s="35"/>
      <c r="AKO1" s="35"/>
      <c r="AKP1" s="35"/>
      <c r="AKQ1" s="35"/>
      <c r="AKR1" s="35"/>
      <c r="AKS1" s="35"/>
      <c r="AKT1" s="35"/>
      <c r="AKU1" s="35"/>
      <c r="AKV1" s="35"/>
      <c r="AKW1" s="35"/>
      <c r="AKX1" s="35"/>
      <c r="AKY1" s="35"/>
      <c r="AKZ1" s="35"/>
      <c r="ALA1" s="35"/>
      <c r="ALB1" s="35"/>
      <c r="ALC1" s="35"/>
      <c r="ALD1" s="35"/>
      <c r="ALE1" s="35"/>
      <c r="ALF1" s="35"/>
      <c r="ALG1" s="35"/>
      <c r="ALH1" s="35"/>
      <c r="ALI1" s="35"/>
      <c r="ALJ1" s="35"/>
      <c r="ALK1" s="35"/>
      <c r="ALL1" s="35"/>
      <c r="ALM1" s="35"/>
      <c r="ALN1" s="35"/>
      <c r="ALO1" s="35"/>
      <c r="ALP1" s="35"/>
      <c r="ALQ1" s="35"/>
      <c r="ALR1" s="35"/>
      <c r="ALS1" s="35"/>
      <c r="ALT1" s="35"/>
      <c r="ALU1" s="35"/>
      <c r="ALV1" s="35"/>
      <c r="ALW1" s="35"/>
      <c r="ALX1" s="35"/>
      <c r="ALY1" s="1"/>
      <c r="ALZ1" s="1"/>
      <c r="AMA1" s="1"/>
      <c r="AMB1" s="1"/>
      <c r="AMC1" s="1"/>
      <c r="AMD1" s="1"/>
      <c r="AME1" s="1"/>
      <c r="AMF1" s="1"/>
      <c r="AMG1" s="1"/>
      <c r="AMH1" s="1"/>
      <c r="AMI1" s="1"/>
    </row>
    <row r="2" customFormat="false" ht="12.8" hidden="false" customHeight="false" outlineLevel="1" collapsed="false">
      <c r="A2" s="31"/>
      <c r="B2" s="33"/>
      <c r="C2" s="33"/>
      <c r="D2" s="33"/>
      <c r="E2" s="34"/>
      <c r="F2" s="34"/>
      <c r="G2" s="83"/>
      <c r="H2" s="83"/>
      <c r="I2" s="83"/>
      <c r="J2" s="72"/>
      <c r="K2" s="72"/>
      <c r="L2" s="31"/>
      <c r="M2" s="33"/>
      <c r="N2" s="31"/>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c r="CF2" s="35"/>
      <c r="CG2" s="35"/>
      <c r="CH2" s="35"/>
      <c r="CI2" s="35"/>
      <c r="CJ2" s="35"/>
      <c r="CK2" s="35"/>
      <c r="CL2" s="35"/>
      <c r="CM2" s="35"/>
      <c r="CN2" s="35"/>
      <c r="CO2" s="35"/>
      <c r="CP2" s="35"/>
      <c r="CQ2" s="35"/>
      <c r="CR2" s="35"/>
      <c r="CS2" s="35"/>
      <c r="CT2" s="35"/>
      <c r="CU2" s="35"/>
      <c r="CV2" s="35"/>
      <c r="CW2" s="35"/>
      <c r="CX2" s="35"/>
      <c r="CY2" s="35"/>
      <c r="CZ2" s="35"/>
      <c r="DA2" s="35"/>
      <c r="DB2" s="35"/>
      <c r="DC2" s="35"/>
      <c r="DD2" s="35"/>
      <c r="DE2" s="35"/>
      <c r="DF2" s="35"/>
      <c r="DG2" s="35"/>
      <c r="DH2" s="35"/>
      <c r="DI2" s="35"/>
      <c r="DJ2" s="35"/>
      <c r="DK2" s="35"/>
      <c r="DL2" s="35"/>
      <c r="DM2" s="35"/>
      <c r="DN2" s="35"/>
      <c r="DO2" s="35"/>
      <c r="DP2" s="35"/>
      <c r="DQ2" s="35"/>
      <c r="DR2" s="35"/>
      <c r="DS2" s="35"/>
      <c r="DT2" s="35"/>
      <c r="DU2" s="35"/>
      <c r="DV2" s="35"/>
      <c r="DW2" s="35"/>
      <c r="DX2" s="35"/>
      <c r="DY2" s="35"/>
      <c r="DZ2" s="35"/>
      <c r="EA2" s="35"/>
      <c r="EB2" s="35"/>
      <c r="EC2" s="35"/>
      <c r="ED2" s="35"/>
      <c r="EE2" s="35"/>
      <c r="EF2" s="35"/>
      <c r="EG2" s="35"/>
      <c r="EH2" s="35"/>
      <c r="EI2" s="35"/>
      <c r="EJ2" s="35"/>
      <c r="EK2" s="35"/>
      <c r="EL2" s="35"/>
      <c r="EM2" s="35"/>
      <c r="EN2" s="35"/>
      <c r="EO2" s="35"/>
      <c r="EP2" s="35"/>
      <c r="EQ2" s="35"/>
      <c r="ER2" s="35"/>
      <c r="ES2" s="35"/>
      <c r="ET2" s="35"/>
      <c r="EU2" s="35"/>
      <c r="EV2" s="35"/>
      <c r="EW2" s="35"/>
      <c r="EX2" s="35"/>
      <c r="EY2" s="35"/>
      <c r="EZ2" s="35"/>
      <c r="FA2" s="35"/>
      <c r="FB2" s="35"/>
      <c r="FC2" s="35"/>
      <c r="FD2" s="35"/>
      <c r="FE2" s="35"/>
      <c r="FF2" s="35"/>
      <c r="FG2" s="35"/>
      <c r="FH2" s="35"/>
      <c r="FI2" s="35"/>
      <c r="FJ2" s="35"/>
      <c r="FK2" s="35"/>
      <c r="FL2" s="35"/>
      <c r="FM2" s="35"/>
      <c r="FN2" s="35"/>
      <c r="FO2" s="35"/>
      <c r="FP2" s="35"/>
      <c r="FQ2" s="35"/>
      <c r="FR2" s="35"/>
      <c r="FS2" s="35"/>
      <c r="FT2" s="35"/>
      <c r="FU2" s="35"/>
      <c r="FV2" s="35"/>
      <c r="FW2" s="35"/>
      <c r="FX2" s="35"/>
      <c r="FY2" s="35"/>
      <c r="FZ2" s="35"/>
      <c r="GA2" s="35"/>
      <c r="GB2" s="35"/>
      <c r="GC2" s="35"/>
      <c r="GD2" s="35"/>
      <c r="GE2" s="35"/>
      <c r="GF2" s="35"/>
      <c r="GG2" s="35"/>
      <c r="GH2" s="35"/>
      <c r="GI2" s="35"/>
      <c r="GJ2" s="35"/>
      <c r="GK2" s="35"/>
      <c r="GL2" s="35"/>
      <c r="GM2" s="35"/>
      <c r="GN2" s="35"/>
      <c r="GO2" s="35"/>
      <c r="GP2" s="35"/>
      <c r="GQ2" s="35"/>
      <c r="GR2" s="35"/>
      <c r="GS2" s="35"/>
      <c r="GT2" s="35"/>
      <c r="GU2" s="35"/>
      <c r="GV2" s="35"/>
      <c r="GW2" s="35"/>
      <c r="GX2" s="35"/>
      <c r="GY2" s="35"/>
      <c r="GZ2" s="35"/>
      <c r="HA2" s="35"/>
      <c r="HB2" s="35"/>
      <c r="HC2" s="35"/>
      <c r="HD2" s="35"/>
      <c r="HE2" s="35"/>
      <c r="HF2" s="35"/>
      <c r="HG2" s="35"/>
      <c r="HH2" s="35"/>
      <c r="HI2" s="35"/>
      <c r="HJ2" s="35"/>
      <c r="HK2" s="35"/>
      <c r="HL2" s="35"/>
      <c r="HM2" s="35"/>
      <c r="HN2" s="35"/>
      <c r="HO2" s="35"/>
      <c r="HP2" s="35"/>
      <c r="HQ2" s="35"/>
      <c r="HR2" s="35"/>
      <c r="HS2" s="35"/>
      <c r="HT2" s="35"/>
      <c r="HU2" s="35"/>
      <c r="HV2" s="35"/>
      <c r="HW2" s="35"/>
      <c r="HX2" s="35"/>
      <c r="HY2" s="35"/>
      <c r="HZ2" s="35"/>
      <c r="IA2" s="35"/>
      <c r="IB2" s="35"/>
      <c r="IC2" s="35"/>
      <c r="ID2" s="35"/>
      <c r="IE2" s="35"/>
      <c r="IF2" s="35"/>
      <c r="IG2" s="35"/>
      <c r="IH2" s="35"/>
      <c r="II2" s="35"/>
      <c r="IJ2" s="35"/>
      <c r="IK2" s="35"/>
      <c r="IL2" s="35"/>
      <c r="IM2" s="35"/>
      <c r="IN2" s="35"/>
      <c r="IO2" s="35"/>
      <c r="IP2" s="35"/>
      <c r="IQ2" s="35"/>
      <c r="IR2" s="35"/>
      <c r="IS2" s="35"/>
      <c r="IT2" s="35"/>
      <c r="IU2" s="35"/>
      <c r="IV2" s="35"/>
      <c r="IW2" s="35"/>
      <c r="IX2" s="35"/>
      <c r="IY2" s="35"/>
      <c r="IZ2" s="35"/>
      <c r="JA2" s="35"/>
      <c r="JB2" s="35"/>
      <c r="JC2" s="35"/>
      <c r="JD2" s="35"/>
      <c r="JE2" s="35"/>
      <c r="JF2" s="35"/>
      <c r="JG2" s="35"/>
      <c r="JH2" s="35"/>
      <c r="JI2" s="35"/>
      <c r="JJ2" s="35"/>
      <c r="JK2" s="35"/>
      <c r="JL2" s="35"/>
      <c r="JM2" s="35"/>
      <c r="JN2" s="35"/>
      <c r="JO2" s="35"/>
      <c r="JP2" s="35"/>
      <c r="JQ2" s="35"/>
      <c r="JR2" s="35"/>
      <c r="JS2" s="35"/>
      <c r="JT2" s="35"/>
      <c r="JU2" s="35"/>
      <c r="JV2" s="35"/>
      <c r="JW2" s="35"/>
      <c r="JX2" s="35"/>
      <c r="JY2" s="35"/>
      <c r="JZ2" s="35"/>
      <c r="KA2" s="35"/>
      <c r="KB2" s="35"/>
      <c r="KC2" s="35"/>
      <c r="KD2" s="35"/>
      <c r="KE2" s="35"/>
      <c r="KF2" s="35"/>
      <c r="KG2" s="35"/>
      <c r="KH2" s="35"/>
      <c r="KI2" s="35"/>
      <c r="KJ2" s="35"/>
      <c r="KK2" s="35"/>
      <c r="KL2" s="35"/>
      <c r="KM2" s="35"/>
      <c r="KN2" s="35"/>
      <c r="KO2" s="35"/>
      <c r="KP2" s="35"/>
      <c r="KQ2" s="35"/>
      <c r="KR2" s="35"/>
      <c r="KS2" s="35"/>
      <c r="KT2" s="35"/>
      <c r="KU2" s="35"/>
      <c r="KV2" s="35"/>
      <c r="KW2" s="35"/>
      <c r="KX2" s="35"/>
      <c r="KY2" s="35"/>
      <c r="KZ2" s="35"/>
      <c r="LA2" s="35"/>
      <c r="LB2" s="35"/>
      <c r="LC2" s="35"/>
      <c r="LD2" s="35"/>
      <c r="LE2" s="35"/>
      <c r="LF2" s="35"/>
      <c r="LG2" s="35"/>
      <c r="LH2" s="35"/>
      <c r="LI2" s="35"/>
      <c r="LJ2" s="35"/>
      <c r="LK2" s="35"/>
      <c r="LL2" s="35"/>
      <c r="LM2" s="35"/>
      <c r="LN2" s="35"/>
      <c r="LO2" s="35"/>
      <c r="LP2" s="35"/>
      <c r="LQ2" s="35"/>
      <c r="LR2" s="35"/>
      <c r="LS2" s="35"/>
      <c r="LT2" s="35"/>
      <c r="LU2" s="35"/>
      <c r="LV2" s="35"/>
      <c r="LW2" s="35"/>
      <c r="LX2" s="35"/>
      <c r="LY2" s="35"/>
      <c r="LZ2" s="35"/>
      <c r="MA2" s="35"/>
      <c r="MB2" s="35"/>
      <c r="MC2" s="35"/>
      <c r="MD2" s="35"/>
      <c r="ME2" s="35"/>
      <c r="MF2" s="35"/>
      <c r="MG2" s="35"/>
      <c r="MH2" s="35"/>
      <c r="MI2" s="35"/>
      <c r="MJ2" s="35"/>
      <c r="MK2" s="35"/>
      <c r="ML2" s="35"/>
      <c r="MM2" s="35"/>
      <c r="MN2" s="35"/>
      <c r="MO2" s="35"/>
      <c r="MP2" s="35"/>
      <c r="MQ2" s="35"/>
      <c r="MR2" s="35"/>
      <c r="MS2" s="35"/>
      <c r="MT2" s="35"/>
      <c r="MU2" s="35"/>
      <c r="MV2" s="35"/>
      <c r="MW2" s="35"/>
      <c r="MX2" s="35"/>
      <c r="MY2" s="35"/>
      <c r="MZ2" s="35"/>
      <c r="NA2" s="35"/>
      <c r="NB2" s="35"/>
      <c r="NC2" s="35"/>
      <c r="ND2" s="35"/>
      <c r="NE2" s="35"/>
      <c r="NF2" s="35"/>
      <c r="NG2" s="35"/>
      <c r="NH2" s="35"/>
      <c r="NI2" s="35"/>
      <c r="NJ2" s="35"/>
      <c r="NK2" s="35"/>
      <c r="NL2" s="35"/>
      <c r="NM2" s="35"/>
      <c r="NN2" s="35"/>
      <c r="NO2" s="35"/>
      <c r="NP2" s="35"/>
      <c r="NQ2" s="35"/>
      <c r="NR2" s="35"/>
      <c r="NS2" s="35"/>
      <c r="NT2" s="35"/>
      <c r="NU2" s="35"/>
      <c r="NV2" s="35"/>
      <c r="NW2" s="35"/>
      <c r="NX2" s="35"/>
      <c r="NY2" s="35"/>
      <c r="NZ2" s="35"/>
      <c r="OA2" s="35"/>
      <c r="OB2" s="35"/>
      <c r="OC2" s="35"/>
      <c r="OD2" s="35"/>
      <c r="OE2" s="35"/>
      <c r="OF2" s="35"/>
      <c r="OG2" s="35"/>
      <c r="OH2" s="35"/>
      <c r="OI2" s="35"/>
      <c r="OJ2" s="35"/>
      <c r="OK2" s="35"/>
      <c r="OL2" s="35"/>
      <c r="OM2" s="35"/>
      <c r="ON2" s="35"/>
      <c r="OO2" s="35"/>
      <c r="OP2" s="35"/>
      <c r="OQ2" s="35"/>
      <c r="OR2" s="35"/>
      <c r="OS2" s="35"/>
      <c r="OT2" s="35"/>
      <c r="OU2" s="35"/>
      <c r="OV2" s="35"/>
      <c r="OW2" s="35"/>
      <c r="OX2" s="35"/>
      <c r="OY2" s="35"/>
      <c r="OZ2" s="35"/>
      <c r="PA2" s="35"/>
      <c r="PB2" s="35"/>
      <c r="PC2" s="35"/>
      <c r="PD2" s="35"/>
      <c r="PE2" s="35"/>
      <c r="PF2" s="35"/>
      <c r="PG2" s="35"/>
      <c r="PH2" s="35"/>
      <c r="PI2" s="35"/>
      <c r="PJ2" s="35"/>
      <c r="PK2" s="35"/>
      <c r="PL2" s="35"/>
      <c r="PM2" s="35"/>
      <c r="PN2" s="35"/>
      <c r="PO2" s="35"/>
      <c r="PP2" s="35"/>
      <c r="PQ2" s="35"/>
      <c r="PR2" s="35"/>
      <c r="PS2" s="35"/>
      <c r="PT2" s="35"/>
      <c r="PU2" s="35"/>
      <c r="PV2" s="35"/>
      <c r="PW2" s="35"/>
      <c r="PX2" s="35"/>
      <c r="PY2" s="35"/>
      <c r="PZ2" s="35"/>
      <c r="QA2" s="35"/>
      <c r="QB2" s="35"/>
      <c r="QC2" s="35"/>
      <c r="QD2" s="35"/>
      <c r="QE2" s="35"/>
      <c r="QF2" s="35"/>
      <c r="QG2" s="35"/>
      <c r="QH2" s="35"/>
      <c r="QI2" s="35"/>
      <c r="QJ2" s="35"/>
      <c r="QK2" s="35"/>
      <c r="QL2" s="35"/>
      <c r="QM2" s="35"/>
      <c r="QN2" s="35"/>
      <c r="QO2" s="35"/>
      <c r="QP2" s="35"/>
      <c r="QQ2" s="35"/>
      <c r="QR2" s="35"/>
      <c r="QS2" s="35"/>
      <c r="QT2" s="35"/>
      <c r="QU2" s="35"/>
      <c r="QV2" s="35"/>
      <c r="QW2" s="35"/>
      <c r="QX2" s="35"/>
      <c r="QY2" s="35"/>
      <c r="QZ2" s="35"/>
      <c r="RA2" s="35"/>
      <c r="RB2" s="35"/>
      <c r="RC2" s="35"/>
      <c r="RD2" s="35"/>
      <c r="RE2" s="35"/>
      <c r="RF2" s="35"/>
      <c r="RG2" s="35"/>
      <c r="RH2" s="35"/>
      <c r="RI2" s="35"/>
      <c r="RJ2" s="35"/>
      <c r="RK2" s="35"/>
      <c r="RL2" s="35"/>
      <c r="RM2" s="35"/>
      <c r="RN2" s="35"/>
      <c r="RO2" s="35"/>
      <c r="RP2" s="35"/>
      <c r="RQ2" s="35"/>
      <c r="RR2" s="35"/>
      <c r="RS2" s="35"/>
      <c r="RT2" s="35"/>
      <c r="RU2" s="35"/>
      <c r="RV2" s="35"/>
      <c r="RW2" s="35"/>
      <c r="RX2" s="35"/>
      <c r="RY2" s="35"/>
      <c r="RZ2" s="35"/>
      <c r="SA2" s="35"/>
      <c r="SB2" s="35"/>
      <c r="SC2" s="35"/>
      <c r="SD2" s="35"/>
      <c r="SE2" s="35"/>
      <c r="SF2" s="35"/>
      <c r="SG2" s="35"/>
      <c r="SH2" s="35"/>
      <c r="SI2" s="35"/>
      <c r="SJ2" s="35"/>
      <c r="SK2" s="35"/>
      <c r="SL2" s="35"/>
      <c r="SM2" s="35"/>
      <c r="SN2" s="35"/>
      <c r="SO2" s="35"/>
      <c r="SP2" s="35"/>
      <c r="SQ2" s="35"/>
      <c r="SR2" s="35"/>
      <c r="SS2" s="35"/>
      <c r="ST2" s="35"/>
      <c r="SU2" s="35"/>
      <c r="SV2" s="35"/>
      <c r="SW2" s="35"/>
      <c r="SX2" s="35"/>
      <c r="SY2" s="35"/>
      <c r="SZ2" s="35"/>
      <c r="TA2" s="35"/>
      <c r="TB2" s="35"/>
      <c r="TC2" s="35"/>
      <c r="TD2" s="35"/>
      <c r="TE2" s="35"/>
      <c r="TF2" s="35"/>
      <c r="TG2" s="35"/>
      <c r="TH2" s="35"/>
      <c r="TI2" s="35"/>
      <c r="TJ2" s="35"/>
      <c r="TK2" s="35"/>
      <c r="TL2" s="35"/>
      <c r="TM2" s="35"/>
      <c r="TN2" s="35"/>
      <c r="TO2" s="35"/>
      <c r="TP2" s="35"/>
      <c r="TQ2" s="35"/>
      <c r="TR2" s="35"/>
      <c r="TS2" s="35"/>
      <c r="TT2" s="35"/>
      <c r="TU2" s="35"/>
      <c r="TV2" s="35"/>
      <c r="TW2" s="35"/>
      <c r="TX2" s="35"/>
      <c r="TY2" s="35"/>
      <c r="TZ2" s="35"/>
      <c r="UA2" s="35"/>
      <c r="UB2" s="35"/>
      <c r="UC2" s="35"/>
      <c r="UD2" s="35"/>
      <c r="UE2" s="35"/>
      <c r="UF2" s="35"/>
      <c r="UG2" s="35"/>
      <c r="UH2" s="35"/>
      <c r="UI2" s="35"/>
      <c r="UJ2" s="35"/>
      <c r="UK2" s="35"/>
      <c r="UL2" s="35"/>
      <c r="UM2" s="35"/>
      <c r="UN2" s="35"/>
      <c r="UO2" s="35"/>
      <c r="UP2" s="35"/>
      <c r="UQ2" s="35"/>
      <c r="UR2" s="35"/>
      <c r="US2" s="35"/>
      <c r="UT2" s="35"/>
      <c r="UU2" s="35"/>
      <c r="UV2" s="35"/>
      <c r="UW2" s="35"/>
      <c r="UX2" s="35"/>
      <c r="UY2" s="35"/>
      <c r="UZ2" s="35"/>
      <c r="VA2" s="35"/>
      <c r="VB2" s="35"/>
      <c r="VC2" s="35"/>
      <c r="VD2" s="35"/>
      <c r="VE2" s="35"/>
      <c r="VF2" s="35"/>
      <c r="VG2" s="35"/>
      <c r="VH2" s="35"/>
      <c r="VI2" s="35"/>
      <c r="VJ2" s="35"/>
      <c r="VK2" s="35"/>
      <c r="VL2" s="35"/>
      <c r="VM2" s="35"/>
      <c r="VN2" s="35"/>
      <c r="VO2" s="35"/>
      <c r="VP2" s="35"/>
      <c r="VQ2" s="35"/>
      <c r="VR2" s="35"/>
      <c r="VS2" s="35"/>
      <c r="VT2" s="35"/>
      <c r="VU2" s="35"/>
      <c r="VV2" s="35"/>
      <c r="VW2" s="35"/>
      <c r="VX2" s="35"/>
      <c r="VY2" s="35"/>
      <c r="VZ2" s="35"/>
      <c r="WA2" s="35"/>
      <c r="WB2" s="35"/>
      <c r="WC2" s="35"/>
      <c r="WD2" s="35"/>
      <c r="WE2" s="35"/>
      <c r="WF2" s="35"/>
      <c r="WG2" s="35"/>
      <c r="WH2" s="35"/>
      <c r="WI2" s="35"/>
      <c r="WJ2" s="35"/>
      <c r="WK2" s="35"/>
      <c r="WL2" s="35"/>
      <c r="WM2" s="35"/>
      <c r="WN2" s="35"/>
      <c r="WO2" s="35"/>
      <c r="WP2" s="35"/>
      <c r="WQ2" s="35"/>
      <c r="WR2" s="35"/>
      <c r="WS2" s="35"/>
      <c r="WT2" s="35"/>
      <c r="WU2" s="35"/>
      <c r="WV2" s="35"/>
      <c r="WW2" s="35"/>
      <c r="WX2" s="35"/>
      <c r="WY2" s="35"/>
      <c r="WZ2" s="35"/>
      <c r="XA2" s="35"/>
      <c r="XB2" s="35"/>
      <c r="XC2" s="35"/>
      <c r="XD2" s="35"/>
      <c r="XE2" s="35"/>
      <c r="XF2" s="35"/>
      <c r="XG2" s="35"/>
      <c r="XH2" s="35"/>
      <c r="XI2" s="35"/>
      <c r="XJ2" s="35"/>
      <c r="XK2" s="35"/>
      <c r="XL2" s="35"/>
      <c r="XM2" s="35"/>
      <c r="XN2" s="35"/>
      <c r="XO2" s="35"/>
      <c r="XP2" s="35"/>
      <c r="XQ2" s="35"/>
      <c r="XR2" s="35"/>
      <c r="XS2" s="35"/>
      <c r="XT2" s="35"/>
      <c r="XU2" s="35"/>
      <c r="XV2" s="35"/>
      <c r="XW2" s="35"/>
      <c r="XX2" s="35"/>
      <c r="XY2" s="35"/>
      <c r="XZ2" s="35"/>
      <c r="YA2" s="35"/>
      <c r="YB2" s="35"/>
      <c r="YC2" s="35"/>
      <c r="YD2" s="35"/>
      <c r="YE2" s="35"/>
      <c r="YF2" s="35"/>
      <c r="YG2" s="35"/>
      <c r="YH2" s="35"/>
      <c r="YI2" s="35"/>
      <c r="YJ2" s="35"/>
      <c r="YK2" s="35"/>
      <c r="YL2" s="35"/>
      <c r="YM2" s="35"/>
      <c r="YN2" s="35"/>
      <c r="YO2" s="35"/>
      <c r="YP2" s="35"/>
      <c r="YQ2" s="35"/>
      <c r="YR2" s="35"/>
      <c r="YS2" s="35"/>
      <c r="YT2" s="35"/>
      <c r="YU2" s="35"/>
      <c r="YV2" s="35"/>
      <c r="YW2" s="35"/>
      <c r="YX2" s="35"/>
      <c r="YY2" s="35"/>
      <c r="YZ2" s="35"/>
      <c r="ZA2" s="35"/>
      <c r="ZB2" s="35"/>
      <c r="ZC2" s="35"/>
      <c r="ZD2" s="35"/>
      <c r="ZE2" s="35"/>
      <c r="ZF2" s="35"/>
      <c r="ZG2" s="35"/>
      <c r="ZH2" s="35"/>
      <c r="ZI2" s="35"/>
      <c r="ZJ2" s="35"/>
      <c r="ZK2" s="35"/>
      <c r="ZL2" s="35"/>
      <c r="ZM2" s="35"/>
      <c r="ZN2" s="35"/>
      <c r="ZO2" s="35"/>
      <c r="ZP2" s="35"/>
      <c r="ZQ2" s="35"/>
      <c r="ZR2" s="35"/>
      <c r="ZS2" s="35"/>
      <c r="ZT2" s="35"/>
      <c r="ZU2" s="35"/>
      <c r="ZV2" s="35"/>
      <c r="ZW2" s="35"/>
      <c r="ZX2" s="35"/>
      <c r="ZY2" s="35"/>
      <c r="ZZ2" s="35"/>
      <c r="AAA2" s="35"/>
      <c r="AAB2" s="35"/>
      <c r="AAC2" s="35"/>
      <c r="AAD2" s="35"/>
      <c r="AAE2" s="35"/>
      <c r="AAF2" s="35"/>
      <c r="AAG2" s="35"/>
      <c r="AAH2" s="35"/>
      <c r="AAI2" s="35"/>
      <c r="AAJ2" s="35"/>
      <c r="AAK2" s="35"/>
      <c r="AAL2" s="35"/>
      <c r="AAM2" s="35"/>
      <c r="AAN2" s="35"/>
      <c r="AAO2" s="35"/>
      <c r="AAP2" s="35"/>
      <c r="AAQ2" s="35"/>
      <c r="AAR2" s="35"/>
      <c r="AAS2" s="35"/>
      <c r="AAT2" s="35"/>
      <c r="AAU2" s="35"/>
      <c r="AAV2" s="35"/>
      <c r="AAW2" s="35"/>
      <c r="AAX2" s="35"/>
      <c r="AAY2" s="35"/>
      <c r="AAZ2" s="35"/>
      <c r="ABA2" s="35"/>
      <c r="ABB2" s="35"/>
      <c r="ABC2" s="35"/>
      <c r="ABD2" s="35"/>
      <c r="ABE2" s="35"/>
      <c r="ABF2" s="35"/>
      <c r="ABG2" s="35"/>
      <c r="ABH2" s="35"/>
      <c r="ABI2" s="35"/>
      <c r="ABJ2" s="35"/>
      <c r="ABK2" s="35"/>
      <c r="ABL2" s="35"/>
      <c r="ABM2" s="35"/>
      <c r="ABN2" s="35"/>
      <c r="ABO2" s="35"/>
      <c r="ABP2" s="35"/>
      <c r="ABQ2" s="35"/>
      <c r="ABR2" s="35"/>
      <c r="ABS2" s="35"/>
      <c r="ABT2" s="35"/>
      <c r="ABU2" s="35"/>
      <c r="ABV2" s="35"/>
      <c r="ABW2" s="35"/>
      <c r="ABX2" s="35"/>
      <c r="ABY2" s="35"/>
      <c r="ABZ2" s="35"/>
      <c r="ACA2" s="35"/>
      <c r="ACB2" s="35"/>
      <c r="ACC2" s="35"/>
      <c r="ACD2" s="35"/>
      <c r="ACE2" s="35"/>
      <c r="ACF2" s="35"/>
      <c r="ACG2" s="35"/>
      <c r="ACH2" s="35"/>
      <c r="ACI2" s="35"/>
      <c r="ACJ2" s="35"/>
      <c r="ACK2" s="35"/>
      <c r="ACL2" s="35"/>
      <c r="ACM2" s="35"/>
      <c r="ACN2" s="35"/>
      <c r="ACO2" s="35"/>
      <c r="ACP2" s="35"/>
      <c r="ACQ2" s="35"/>
      <c r="ACR2" s="35"/>
      <c r="ACS2" s="35"/>
      <c r="ACT2" s="35"/>
      <c r="ACU2" s="35"/>
      <c r="ACV2" s="35"/>
      <c r="ACW2" s="35"/>
      <c r="ACX2" s="35"/>
      <c r="ACY2" s="35"/>
      <c r="ACZ2" s="35"/>
      <c r="ADA2" s="35"/>
      <c r="ADB2" s="35"/>
      <c r="ADC2" s="35"/>
      <c r="ADD2" s="35"/>
      <c r="ADE2" s="35"/>
      <c r="ADF2" s="35"/>
      <c r="ADG2" s="35"/>
      <c r="ADH2" s="35"/>
      <c r="ADI2" s="35"/>
      <c r="ADJ2" s="35"/>
      <c r="ADK2" s="35"/>
      <c r="ADL2" s="35"/>
      <c r="ADM2" s="35"/>
      <c r="ADN2" s="35"/>
      <c r="ADO2" s="35"/>
      <c r="ADP2" s="35"/>
      <c r="ADQ2" s="35"/>
      <c r="ADR2" s="35"/>
      <c r="ADS2" s="35"/>
      <c r="ADT2" s="35"/>
      <c r="ADU2" s="35"/>
      <c r="ADV2" s="35"/>
      <c r="ADW2" s="35"/>
      <c r="ADX2" s="35"/>
      <c r="ADY2" s="35"/>
      <c r="ADZ2" s="35"/>
      <c r="AEA2" s="35"/>
      <c r="AEB2" s="35"/>
      <c r="AEC2" s="35"/>
      <c r="AED2" s="35"/>
      <c r="AEE2" s="35"/>
      <c r="AEF2" s="35"/>
      <c r="AEG2" s="35"/>
      <c r="AEH2" s="35"/>
      <c r="AEI2" s="35"/>
      <c r="AEJ2" s="35"/>
      <c r="AEK2" s="35"/>
      <c r="AEL2" s="35"/>
      <c r="AEM2" s="35"/>
      <c r="AEN2" s="35"/>
      <c r="AEO2" s="35"/>
      <c r="AEP2" s="35"/>
      <c r="AEQ2" s="35"/>
      <c r="AER2" s="35"/>
      <c r="AES2" s="35"/>
      <c r="AET2" s="35"/>
      <c r="AEU2" s="35"/>
      <c r="AEV2" s="35"/>
      <c r="AEW2" s="35"/>
      <c r="AEX2" s="35"/>
      <c r="AEY2" s="35"/>
      <c r="AEZ2" s="35"/>
      <c r="AFA2" s="35"/>
      <c r="AFB2" s="35"/>
      <c r="AFC2" s="35"/>
      <c r="AFD2" s="35"/>
      <c r="AFE2" s="35"/>
      <c r="AFF2" s="35"/>
      <c r="AFG2" s="35"/>
      <c r="AFH2" s="35"/>
      <c r="AFI2" s="35"/>
      <c r="AFJ2" s="35"/>
      <c r="AFK2" s="35"/>
      <c r="AFL2" s="35"/>
      <c r="AFM2" s="35"/>
      <c r="AFN2" s="35"/>
      <c r="AFO2" s="35"/>
      <c r="AFP2" s="35"/>
      <c r="AFQ2" s="35"/>
      <c r="AFR2" s="35"/>
      <c r="AFS2" s="35"/>
      <c r="AFT2" s="35"/>
      <c r="AFU2" s="35"/>
      <c r="AFV2" s="35"/>
      <c r="AFW2" s="35"/>
      <c r="AFX2" s="35"/>
      <c r="AFY2" s="35"/>
      <c r="AFZ2" s="35"/>
      <c r="AGA2" s="35"/>
      <c r="AGB2" s="35"/>
      <c r="AGC2" s="35"/>
      <c r="AGD2" s="35"/>
      <c r="AGE2" s="35"/>
      <c r="AGF2" s="35"/>
      <c r="AGG2" s="35"/>
      <c r="AGH2" s="35"/>
      <c r="AGI2" s="35"/>
      <c r="AGJ2" s="35"/>
      <c r="AGK2" s="35"/>
      <c r="AGL2" s="35"/>
      <c r="AGM2" s="35"/>
      <c r="AGN2" s="35"/>
      <c r="AGO2" s="35"/>
      <c r="AGP2" s="35"/>
      <c r="AGQ2" s="35"/>
      <c r="AGR2" s="35"/>
      <c r="AGS2" s="35"/>
      <c r="AGT2" s="35"/>
      <c r="AGU2" s="35"/>
      <c r="AGV2" s="35"/>
      <c r="AGW2" s="35"/>
      <c r="AGX2" s="35"/>
      <c r="AGY2" s="35"/>
      <c r="AGZ2" s="35"/>
      <c r="AHA2" s="35"/>
      <c r="AHB2" s="35"/>
      <c r="AHC2" s="35"/>
      <c r="AHD2" s="35"/>
      <c r="AHE2" s="35"/>
      <c r="AHF2" s="35"/>
      <c r="AHG2" s="35"/>
      <c r="AHH2" s="35"/>
      <c r="AHI2" s="35"/>
      <c r="AHJ2" s="35"/>
      <c r="AHK2" s="35"/>
      <c r="AHL2" s="35"/>
      <c r="AHM2" s="35"/>
      <c r="AHN2" s="35"/>
      <c r="AHO2" s="35"/>
      <c r="AHP2" s="35"/>
      <c r="AHQ2" s="35"/>
      <c r="AHR2" s="35"/>
      <c r="AHS2" s="35"/>
      <c r="AHT2" s="35"/>
      <c r="AHU2" s="35"/>
      <c r="AHV2" s="35"/>
      <c r="AHW2" s="35"/>
      <c r="AHX2" s="35"/>
      <c r="AHY2" s="35"/>
      <c r="AHZ2" s="35"/>
      <c r="AIA2" s="35"/>
      <c r="AIB2" s="35"/>
      <c r="AIC2" s="35"/>
      <c r="AID2" s="35"/>
      <c r="AIE2" s="35"/>
      <c r="AIF2" s="35"/>
      <c r="AIG2" s="35"/>
      <c r="AIH2" s="35"/>
      <c r="AII2" s="35"/>
      <c r="AIJ2" s="35"/>
      <c r="AIK2" s="35"/>
      <c r="AIL2" s="35"/>
      <c r="AIM2" s="35"/>
      <c r="AIN2" s="35"/>
      <c r="AIO2" s="35"/>
      <c r="AIP2" s="35"/>
      <c r="AIQ2" s="35"/>
      <c r="AIR2" s="35"/>
      <c r="AIS2" s="35"/>
      <c r="AIT2" s="35"/>
      <c r="AIU2" s="35"/>
      <c r="AIV2" s="35"/>
      <c r="AIW2" s="35"/>
      <c r="AIX2" s="35"/>
      <c r="AIY2" s="35"/>
      <c r="AIZ2" s="35"/>
      <c r="AJA2" s="35"/>
      <c r="AJB2" s="35"/>
      <c r="AJC2" s="35"/>
      <c r="AJD2" s="35"/>
      <c r="AJE2" s="35"/>
      <c r="AJF2" s="35"/>
      <c r="AJG2" s="35"/>
      <c r="AJH2" s="35"/>
      <c r="AJI2" s="35"/>
      <c r="AJJ2" s="35"/>
      <c r="AJK2" s="35"/>
      <c r="AJL2" s="35"/>
      <c r="AJM2" s="35"/>
      <c r="AJN2" s="35"/>
      <c r="AJO2" s="35"/>
      <c r="AJP2" s="35"/>
      <c r="AJQ2" s="35"/>
      <c r="AJR2" s="35"/>
      <c r="AJS2" s="35"/>
      <c r="AJT2" s="35"/>
      <c r="AJU2" s="35"/>
      <c r="AJV2" s="35"/>
      <c r="AJW2" s="35"/>
      <c r="AJX2" s="35"/>
      <c r="AJY2" s="35"/>
      <c r="AJZ2" s="35"/>
      <c r="AKA2" s="35"/>
      <c r="AKB2" s="35"/>
      <c r="AKC2" s="35"/>
      <c r="AKD2" s="35"/>
      <c r="AKE2" s="35"/>
      <c r="AKF2" s="35"/>
      <c r="AKG2" s="35"/>
      <c r="AKH2" s="35"/>
      <c r="AKI2" s="35"/>
      <c r="AKJ2" s="35"/>
      <c r="AKK2" s="35"/>
      <c r="AKL2" s="35"/>
      <c r="AKM2" s="35"/>
      <c r="AKN2" s="35"/>
      <c r="AKO2" s="35"/>
      <c r="AKP2" s="35"/>
      <c r="AKQ2" s="35"/>
      <c r="AKR2" s="35"/>
      <c r="AKS2" s="35"/>
      <c r="AKT2" s="35"/>
      <c r="AKU2" s="35"/>
      <c r="AKV2" s="35"/>
      <c r="AKW2" s="35"/>
      <c r="AKX2" s="35"/>
      <c r="AKY2" s="35"/>
      <c r="AKZ2" s="35"/>
      <c r="ALA2" s="35"/>
      <c r="ALB2" s="35"/>
      <c r="ALC2" s="35"/>
      <c r="ALD2" s="35"/>
      <c r="ALE2" s="35"/>
      <c r="ALF2" s="35"/>
      <c r="ALG2" s="35"/>
      <c r="ALH2" s="35"/>
      <c r="ALI2" s="35"/>
      <c r="ALJ2" s="35"/>
      <c r="ALK2" s="35"/>
      <c r="ALL2" s="35"/>
      <c r="ALM2" s="35"/>
      <c r="ALN2" s="35"/>
      <c r="ALO2" s="35"/>
      <c r="ALP2" s="35"/>
      <c r="ALQ2" s="35"/>
      <c r="ALR2" s="35"/>
      <c r="ALS2" s="35"/>
      <c r="ALT2" s="35"/>
      <c r="ALU2" s="35"/>
      <c r="ALV2" s="35"/>
      <c r="ALW2" s="35"/>
      <c r="ALX2" s="35"/>
      <c r="ALY2" s="1"/>
      <c r="ALZ2" s="1"/>
      <c r="AMA2" s="1"/>
      <c r="AMB2" s="1"/>
      <c r="AMC2" s="1"/>
      <c r="AMD2" s="1"/>
      <c r="AME2" s="1"/>
      <c r="AMF2" s="1"/>
      <c r="AMG2" s="1"/>
      <c r="AMH2" s="1"/>
      <c r="AMI2" s="1"/>
    </row>
    <row r="3" customFormat="false" ht="23.85" hidden="false" customHeight="false" outlineLevel="0" collapsed="false">
      <c r="A3" s="43" t="s">
        <v>414</v>
      </c>
      <c r="B3" s="45" t="s">
        <v>439</v>
      </c>
      <c r="C3" s="45" t="s">
        <v>939</v>
      </c>
      <c r="D3" s="45" t="s">
        <v>837</v>
      </c>
      <c r="E3" s="48" t="s">
        <v>440</v>
      </c>
      <c r="F3" s="48" t="s">
        <v>601</v>
      </c>
      <c r="G3" s="48" t="s">
        <v>706</v>
      </c>
      <c r="H3" s="45" t="s">
        <v>940</v>
      </c>
      <c r="I3" s="49" t="s">
        <v>907</v>
      </c>
      <c r="J3" s="123" t="s">
        <v>870</v>
      </c>
      <c r="K3" s="123" t="s">
        <v>561</v>
      </c>
      <c r="L3" s="43" t="s">
        <v>442</v>
      </c>
      <c r="M3" s="45" t="s">
        <v>851</v>
      </c>
      <c r="N3" s="48" t="s">
        <v>454</v>
      </c>
    </row>
    <row r="4" customFormat="false" ht="9.7" hidden="false" customHeight="true" outlineLevel="0" collapsed="false">
      <c r="A4" s="39" t="str">
        <f aca="false">A3</f>
        <v>A</v>
      </c>
      <c r="B4" s="51" t="str">
        <f aca="false">B3</f>
        <v>Status</v>
      </c>
      <c r="C4" s="51" t="str">
        <f aca="false">C3</f>
        <v>Environment Type</v>
      </c>
      <c r="D4" s="51" t="str">
        <f aca="false">D3</f>
        <v>Alias</v>
      </c>
      <c r="E4" s="52" t="str">
        <f aca="false">E3</f>
        <v>Name</v>
      </c>
      <c r="F4" s="52" t="str">
        <f aca="false">F3</f>
        <v>Overview</v>
      </c>
      <c r="G4" s="52" t="str">
        <f aca="false">G3</f>
        <v>Link</v>
      </c>
      <c r="H4" s="51" t="str">
        <f aca="false">H3</f>
        <v>Environment Category</v>
      </c>
      <c r="I4" s="51" t="str">
        <f aca="false">I3</f>
        <v>Contacts</v>
      </c>
      <c r="J4" s="39" t="str">
        <f aca="false">J3</f>
        <v>Output</v>
      </c>
      <c r="K4" s="129" t="str">
        <f aca="false">K3</f>
        <v>Reference</v>
      </c>
      <c r="L4" s="39" t="str">
        <f aca="false">K3</f>
        <v>Reference</v>
      </c>
      <c r="M4" s="51" t="str">
        <f aca="false">M3</f>
        <v>ID</v>
      </c>
      <c r="N4" s="52" t="str">
        <f aca="false">N3</f>
        <v>Z</v>
      </c>
    </row>
    <row r="5" customFormat="false" ht="12.8" hidden="false" customHeight="false" outlineLevel="0" collapsed="false">
      <c r="A5" s="54"/>
      <c r="B5" s="60"/>
      <c r="C5" s="62"/>
      <c r="D5" s="64"/>
      <c r="E5" s="64"/>
      <c r="F5" s="64"/>
      <c r="G5" s="64"/>
      <c r="H5" s="62" t="s">
        <v>941</v>
      </c>
      <c r="I5" s="70"/>
      <c r="J5" s="63"/>
      <c r="K5" s="63" t="s">
        <v>25</v>
      </c>
      <c r="L5" s="54" t="s">
        <v>25</v>
      </c>
      <c r="M5" s="126"/>
      <c r="N5" s="64" t="s">
        <v>364</v>
      </c>
    </row>
    <row r="6" customFormat="false" ht="12.8" hidden="false" customHeight="false" outlineLevel="0" collapsed="false">
      <c r="A6" s="54"/>
      <c r="B6" s="60"/>
      <c r="C6" s="62"/>
      <c r="D6" s="64"/>
      <c r="E6" s="64"/>
      <c r="F6" s="64"/>
      <c r="G6" s="64"/>
      <c r="H6" s="62"/>
      <c r="I6" s="70"/>
      <c r="J6" s="63"/>
      <c r="K6" s="63" t="s">
        <v>25</v>
      </c>
      <c r="L6" s="54" t="s">
        <v>25</v>
      </c>
      <c r="M6" s="126"/>
      <c r="N6" s="64" t="s">
        <v>364</v>
      </c>
    </row>
    <row r="7" customFormat="false" ht="12.8" hidden="false" customHeight="false" outlineLevel="0" collapsed="false">
      <c r="A7" s="54"/>
      <c r="B7" s="60"/>
      <c r="C7" s="62"/>
      <c r="D7" s="64"/>
      <c r="E7" s="64"/>
      <c r="F7" s="64"/>
      <c r="G7" s="64"/>
      <c r="H7" s="62"/>
      <c r="I7" s="70"/>
      <c r="J7" s="63"/>
      <c r="K7" s="63"/>
      <c r="L7" s="54"/>
      <c r="M7" s="126"/>
      <c r="N7" s="64" t="s">
        <v>364</v>
      </c>
    </row>
    <row r="8" customFormat="false" ht="12.8" hidden="false" customHeight="false" outlineLevel="0" collapsed="false">
      <c r="A8" s="54"/>
      <c r="B8" s="60"/>
      <c r="C8" s="62"/>
      <c r="D8" s="64"/>
      <c r="E8" s="64"/>
      <c r="F8" s="64"/>
      <c r="G8" s="64"/>
      <c r="H8" s="62"/>
      <c r="I8" s="70"/>
      <c r="J8" s="63"/>
      <c r="K8" s="63"/>
      <c r="L8" s="54"/>
      <c r="M8" s="126"/>
      <c r="N8" s="64" t="s">
        <v>364</v>
      </c>
    </row>
    <row r="9" customFormat="false" ht="12.8" hidden="false" customHeight="false" outlineLevel="0" collapsed="false">
      <c r="A9" s="54"/>
      <c r="B9" s="60"/>
      <c r="C9" s="62"/>
      <c r="D9" s="64"/>
      <c r="E9" s="64"/>
      <c r="F9" s="64"/>
      <c r="G9" s="64"/>
      <c r="H9" s="62"/>
      <c r="I9" s="70"/>
      <c r="J9" s="63"/>
      <c r="K9" s="63"/>
      <c r="L9" s="54"/>
      <c r="M9" s="126"/>
      <c r="N9" s="64" t="s">
        <v>364</v>
      </c>
    </row>
    <row r="10" customFormat="false" ht="12.8" hidden="false" customHeight="false" outlineLevel="0" collapsed="false">
      <c r="A10" s="54"/>
      <c r="B10" s="60"/>
      <c r="C10" s="62"/>
      <c r="D10" s="64"/>
      <c r="E10" s="64"/>
      <c r="F10" s="64"/>
      <c r="G10" s="64"/>
      <c r="H10" s="62"/>
      <c r="I10" s="70"/>
      <c r="J10" s="63"/>
      <c r="K10" s="63"/>
      <c r="L10" s="54"/>
      <c r="M10" s="126"/>
      <c r="N10" s="64" t="s">
        <v>364</v>
      </c>
    </row>
    <row r="11" customFormat="false" ht="12.8" hidden="false" customHeight="false" outlineLevel="0" collapsed="false">
      <c r="A11" s="54"/>
      <c r="B11" s="60"/>
      <c r="C11" s="62"/>
      <c r="D11" s="64"/>
      <c r="E11" s="64"/>
      <c r="F11" s="64"/>
      <c r="G11" s="64"/>
      <c r="H11" s="62"/>
      <c r="I11" s="70"/>
      <c r="J11" s="63"/>
      <c r="K11" s="63"/>
      <c r="L11" s="54"/>
      <c r="M11" s="126"/>
      <c r="N11" s="64" t="s">
        <v>364</v>
      </c>
    </row>
    <row r="12" customFormat="false" ht="12.8" hidden="false" customHeight="false" outlineLevel="0" collapsed="false">
      <c r="A12" s="54"/>
      <c r="B12" s="60"/>
      <c r="C12" s="62"/>
      <c r="D12" s="64"/>
      <c r="E12" s="64"/>
      <c r="F12" s="64"/>
      <c r="G12" s="64"/>
      <c r="H12" s="62"/>
      <c r="I12" s="70"/>
      <c r="J12" s="63"/>
      <c r="K12" s="63"/>
      <c r="L12" s="54"/>
      <c r="M12" s="126"/>
      <c r="N12" s="64" t="s">
        <v>364</v>
      </c>
    </row>
    <row r="13" customFormat="false" ht="12.8" hidden="false" customHeight="false" outlineLevel="0" collapsed="false">
      <c r="A13" s="54"/>
      <c r="B13" s="60"/>
      <c r="C13" s="62"/>
      <c r="D13" s="64"/>
      <c r="E13" s="64"/>
      <c r="F13" s="64"/>
      <c r="G13" s="64"/>
      <c r="H13" s="62"/>
      <c r="I13" s="70"/>
      <c r="J13" s="63"/>
      <c r="K13" s="63"/>
      <c r="L13" s="54"/>
      <c r="M13" s="126"/>
      <c r="N13" s="64" t="s">
        <v>364</v>
      </c>
    </row>
    <row r="14" customFormat="false" ht="12.8" hidden="false" customHeight="false" outlineLevel="0" collapsed="false">
      <c r="A14" s="54"/>
      <c r="B14" s="60"/>
      <c r="C14" s="62"/>
      <c r="D14" s="64"/>
      <c r="E14" s="64"/>
      <c r="F14" s="64"/>
      <c r="G14" s="64"/>
      <c r="H14" s="62"/>
      <c r="I14" s="70"/>
      <c r="J14" s="63"/>
      <c r="K14" s="63"/>
      <c r="L14" s="54"/>
      <c r="M14" s="126"/>
      <c r="N14" s="64" t="s">
        <v>364</v>
      </c>
    </row>
    <row r="15" customFormat="false" ht="12.8" hidden="false" customHeight="false" outlineLevel="0" collapsed="false">
      <c r="A15" s="54"/>
      <c r="B15" s="60"/>
      <c r="C15" s="62"/>
      <c r="D15" s="64"/>
      <c r="E15" s="64"/>
      <c r="F15" s="64"/>
      <c r="G15" s="64"/>
      <c r="H15" s="62"/>
      <c r="I15" s="70"/>
      <c r="J15" s="63"/>
      <c r="K15" s="63"/>
      <c r="L15" s="54"/>
      <c r="M15" s="126"/>
      <c r="N15" s="64" t="s">
        <v>364</v>
      </c>
    </row>
    <row r="16" customFormat="false" ht="12.8" hidden="false" customHeight="false" outlineLevel="0" collapsed="false">
      <c r="A16" s="54"/>
      <c r="B16" s="60"/>
      <c r="C16" s="62"/>
      <c r="D16" s="64"/>
      <c r="E16" s="64"/>
      <c r="F16" s="64"/>
      <c r="G16" s="64"/>
      <c r="H16" s="62"/>
      <c r="I16" s="70"/>
      <c r="J16" s="63"/>
      <c r="K16" s="63"/>
      <c r="L16" s="54"/>
      <c r="M16" s="126"/>
      <c r="N16" s="64" t="s">
        <v>364</v>
      </c>
    </row>
    <row r="17" customFormat="false" ht="12.8" hidden="false" customHeight="false" outlineLevel="0" collapsed="false">
      <c r="A17" s="54"/>
      <c r="B17" s="60"/>
      <c r="C17" s="62"/>
      <c r="D17" s="64"/>
      <c r="E17" s="64"/>
      <c r="F17" s="64"/>
      <c r="G17" s="64"/>
      <c r="H17" s="62"/>
      <c r="I17" s="70"/>
      <c r="J17" s="63"/>
      <c r="K17" s="63"/>
      <c r="L17" s="54"/>
      <c r="M17" s="126"/>
      <c r="N17" s="64" t="s">
        <v>364</v>
      </c>
    </row>
    <row r="18" customFormat="false" ht="12.8" hidden="false" customHeight="false" outlineLevel="0" collapsed="false">
      <c r="A18" s="54"/>
      <c r="B18" s="60"/>
      <c r="C18" s="62"/>
      <c r="D18" s="64"/>
      <c r="E18" s="64"/>
      <c r="F18" s="64"/>
      <c r="G18" s="64"/>
      <c r="H18" s="62"/>
      <c r="I18" s="70"/>
      <c r="J18" s="63"/>
      <c r="K18" s="63"/>
      <c r="L18" s="54"/>
      <c r="M18" s="126"/>
      <c r="N18" s="64" t="s">
        <v>364</v>
      </c>
    </row>
    <row r="19" customFormat="false" ht="12.8" hidden="false" customHeight="false" outlineLevel="0" collapsed="false">
      <c r="A19" s="54"/>
      <c r="B19" s="60"/>
      <c r="C19" s="62"/>
      <c r="D19" s="64"/>
      <c r="E19" s="64"/>
      <c r="F19" s="64"/>
      <c r="G19" s="64"/>
      <c r="H19" s="62"/>
      <c r="I19" s="70"/>
      <c r="J19" s="63"/>
      <c r="K19" s="63"/>
      <c r="L19" s="54"/>
      <c r="M19" s="126"/>
      <c r="N19" s="64" t="s">
        <v>364</v>
      </c>
    </row>
    <row r="20" customFormat="false" ht="12.8" hidden="false" customHeight="false" outlineLevel="0" collapsed="false">
      <c r="A20" s="54"/>
      <c r="B20" s="60"/>
      <c r="C20" s="62"/>
      <c r="D20" s="64"/>
      <c r="E20" s="64"/>
      <c r="F20" s="64"/>
      <c r="G20" s="64"/>
      <c r="H20" s="62"/>
      <c r="I20" s="70"/>
      <c r="J20" s="63"/>
      <c r="K20" s="63"/>
      <c r="L20" s="54"/>
      <c r="M20" s="126"/>
      <c r="N20" s="64" t="s">
        <v>364</v>
      </c>
    </row>
    <row r="21" customFormat="false" ht="12.8" hidden="false" customHeight="false" outlineLevel="0" collapsed="false">
      <c r="A21" s="54"/>
      <c r="B21" s="60"/>
      <c r="C21" s="62"/>
      <c r="D21" s="64"/>
      <c r="E21" s="64"/>
      <c r="F21" s="64"/>
      <c r="G21" s="64"/>
      <c r="H21" s="62"/>
      <c r="I21" s="70"/>
      <c r="J21" s="63"/>
      <c r="K21" s="63"/>
      <c r="L21" s="54"/>
      <c r="M21" s="126"/>
      <c r="N21" s="64" t="s">
        <v>364</v>
      </c>
    </row>
    <row r="22" customFormat="false" ht="12.8" hidden="false" customHeight="false" outlineLevel="0" collapsed="false">
      <c r="A22" s="54"/>
      <c r="B22" s="60"/>
      <c r="C22" s="62"/>
      <c r="D22" s="64"/>
      <c r="E22" s="64"/>
      <c r="F22" s="64"/>
      <c r="G22" s="64"/>
      <c r="H22" s="62"/>
      <c r="I22" s="70"/>
      <c r="J22" s="63"/>
      <c r="K22" s="63"/>
      <c r="L22" s="54"/>
      <c r="M22" s="126"/>
      <c r="N22" s="64" t="s">
        <v>364</v>
      </c>
    </row>
    <row r="23" customFormat="false" ht="12.8" hidden="false" customHeight="false" outlineLevel="0" collapsed="false">
      <c r="A23" s="54"/>
      <c r="B23" s="60"/>
      <c r="C23" s="62"/>
      <c r="D23" s="64"/>
      <c r="E23" s="64"/>
      <c r="F23" s="64"/>
      <c r="G23" s="64"/>
      <c r="H23" s="62"/>
      <c r="I23" s="70"/>
      <c r="J23" s="63"/>
      <c r="K23" s="63"/>
      <c r="L23" s="54"/>
      <c r="M23" s="126"/>
      <c r="N23" s="64" t="s">
        <v>364</v>
      </c>
    </row>
    <row r="24" customFormat="false" ht="12.8" hidden="false" customHeight="false" outlineLevel="0" collapsed="false">
      <c r="A24" s="54"/>
      <c r="B24" s="60"/>
      <c r="C24" s="62"/>
      <c r="D24" s="64"/>
      <c r="E24" s="64"/>
      <c r="F24" s="64"/>
      <c r="G24" s="64"/>
      <c r="H24" s="62"/>
      <c r="I24" s="70"/>
      <c r="J24" s="63"/>
      <c r="K24" s="63"/>
      <c r="L24" s="54"/>
      <c r="M24" s="126"/>
      <c r="N24" s="64" t="s">
        <v>364</v>
      </c>
    </row>
    <row r="25" customFormat="false" ht="12.8" hidden="false" customHeight="false" outlineLevel="0" collapsed="false">
      <c r="A25" s="54"/>
      <c r="B25" s="60"/>
      <c r="C25" s="62"/>
      <c r="D25" s="64"/>
      <c r="E25" s="64"/>
      <c r="F25" s="64"/>
      <c r="G25" s="64"/>
      <c r="H25" s="62"/>
      <c r="I25" s="70"/>
      <c r="J25" s="63"/>
      <c r="K25" s="63"/>
      <c r="L25" s="54"/>
      <c r="M25" s="126"/>
      <c r="N25" s="64" t="s">
        <v>364</v>
      </c>
    </row>
    <row r="26" customFormat="false" ht="12.8" hidden="false" customHeight="false" outlineLevel="0" collapsed="false">
      <c r="A26" s="54"/>
      <c r="B26" s="60"/>
      <c r="C26" s="62"/>
      <c r="D26" s="64"/>
      <c r="E26" s="64"/>
      <c r="F26" s="64"/>
      <c r="G26" s="64"/>
      <c r="H26" s="62"/>
      <c r="I26" s="70"/>
      <c r="J26" s="63"/>
      <c r="K26" s="63"/>
      <c r="L26" s="54"/>
      <c r="M26" s="126"/>
      <c r="N26" s="64" t="s">
        <v>364</v>
      </c>
    </row>
    <row r="27" customFormat="false" ht="12.8" hidden="false" customHeight="false" outlineLevel="0" collapsed="false">
      <c r="A27" s="54"/>
      <c r="B27" s="60"/>
      <c r="C27" s="62"/>
      <c r="D27" s="64"/>
      <c r="E27" s="64"/>
      <c r="F27" s="64"/>
      <c r="G27" s="64"/>
      <c r="H27" s="62"/>
      <c r="I27" s="70"/>
      <c r="J27" s="63"/>
      <c r="K27" s="63"/>
      <c r="L27" s="54"/>
      <c r="M27" s="126"/>
      <c r="N27" s="64" t="s">
        <v>364</v>
      </c>
    </row>
    <row r="28" customFormat="false" ht="12.8" hidden="false" customHeight="false" outlineLevel="0" collapsed="false">
      <c r="A28" s="54"/>
      <c r="B28" s="60"/>
      <c r="C28" s="62"/>
      <c r="D28" s="64"/>
      <c r="E28" s="64"/>
      <c r="F28" s="64"/>
      <c r="G28" s="64"/>
      <c r="H28" s="62"/>
      <c r="I28" s="70"/>
      <c r="J28" s="63"/>
      <c r="K28" s="63"/>
      <c r="L28" s="54"/>
      <c r="M28" s="126"/>
      <c r="N28" s="64" t="s">
        <v>364</v>
      </c>
    </row>
    <row r="29" customFormat="false" ht="12.8" hidden="false" customHeight="false" outlineLevel="0" collapsed="false">
      <c r="A29" s="54"/>
      <c r="B29" s="60"/>
      <c r="C29" s="62"/>
      <c r="D29" s="64"/>
      <c r="E29" s="64"/>
      <c r="F29" s="64"/>
      <c r="G29" s="64"/>
      <c r="H29" s="62"/>
      <c r="I29" s="70"/>
      <c r="J29" s="63"/>
      <c r="K29" s="63"/>
      <c r="L29" s="54"/>
      <c r="M29" s="126"/>
      <c r="N29" s="64" t="s">
        <v>364</v>
      </c>
    </row>
    <row r="30" customFormat="false" ht="12.8" hidden="false" customHeight="false" outlineLevel="0" collapsed="false">
      <c r="A30" s="54"/>
      <c r="B30" s="60"/>
      <c r="C30" s="62"/>
      <c r="D30" s="64"/>
      <c r="E30" s="64"/>
      <c r="F30" s="64"/>
      <c r="G30" s="64"/>
      <c r="H30" s="62"/>
      <c r="I30" s="70"/>
      <c r="J30" s="63"/>
      <c r="K30" s="63"/>
      <c r="L30" s="54"/>
      <c r="M30" s="126"/>
      <c r="N30" s="64" t="s">
        <v>364</v>
      </c>
    </row>
    <row r="31" customFormat="false" ht="12.8" hidden="false" customHeight="false" outlineLevel="0" collapsed="false">
      <c r="A31" s="54"/>
      <c r="B31" s="60"/>
      <c r="C31" s="62"/>
      <c r="D31" s="64"/>
      <c r="E31" s="64"/>
      <c r="F31" s="64"/>
      <c r="G31" s="64"/>
      <c r="H31" s="62"/>
      <c r="I31" s="70"/>
      <c r="J31" s="63"/>
      <c r="K31" s="63"/>
      <c r="L31" s="54"/>
      <c r="M31" s="126"/>
      <c r="N31" s="64" t="s">
        <v>364</v>
      </c>
    </row>
    <row r="32" customFormat="false" ht="12.8" hidden="false" customHeight="false" outlineLevel="0" collapsed="false">
      <c r="A32" s="54"/>
      <c r="B32" s="60"/>
      <c r="C32" s="62"/>
      <c r="D32" s="64"/>
      <c r="E32" s="64"/>
      <c r="F32" s="64"/>
      <c r="G32" s="64"/>
      <c r="H32" s="62"/>
      <c r="I32" s="70"/>
      <c r="J32" s="63"/>
      <c r="K32" s="63"/>
      <c r="L32" s="54"/>
      <c r="M32" s="126"/>
      <c r="N32" s="64" t="s">
        <v>364</v>
      </c>
    </row>
    <row r="33" customFormat="false" ht="12.8" hidden="false" customHeight="false" outlineLevel="0" collapsed="false">
      <c r="A33" s="54"/>
      <c r="B33" s="60"/>
      <c r="C33" s="62"/>
      <c r="D33" s="64"/>
      <c r="E33" s="64"/>
      <c r="F33" s="64"/>
      <c r="G33" s="64"/>
      <c r="H33" s="62"/>
      <c r="I33" s="70"/>
      <c r="J33" s="63"/>
      <c r="K33" s="63"/>
      <c r="L33" s="54"/>
      <c r="M33" s="126"/>
      <c r="N33" s="64" t="s">
        <v>364</v>
      </c>
    </row>
    <row r="34" customFormat="false" ht="12.8" hidden="false" customHeight="false" outlineLevel="0" collapsed="false">
      <c r="A34" s="54"/>
      <c r="B34" s="60"/>
      <c r="C34" s="62"/>
      <c r="D34" s="64"/>
      <c r="E34" s="64"/>
      <c r="F34" s="64"/>
      <c r="G34" s="64"/>
      <c r="H34" s="62"/>
      <c r="I34" s="70"/>
      <c r="J34" s="63"/>
      <c r="K34" s="63"/>
      <c r="L34" s="54"/>
      <c r="M34" s="126"/>
      <c r="N34" s="64" t="s">
        <v>364</v>
      </c>
    </row>
    <row r="35" customFormat="false" ht="12.8" hidden="false" customHeight="false" outlineLevel="0" collapsed="false">
      <c r="A35" s="54"/>
      <c r="B35" s="60"/>
      <c r="C35" s="62"/>
      <c r="D35" s="64"/>
      <c r="E35" s="64"/>
      <c r="F35" s="64"/>
      <c r="G35" s="64"/>
      <c r="H35" s="62"/>
      <c r="I35" s="70"/>
      <c r="J35" s="63"/>
      <c r="K35" s="63"/>
      <c r="L35" s="54"/>
      <c r="M35" s="126"/>
      <c r="N35" s="64" t="s">
        <v>364</v>
      </c>
    </row>
    <row r="36" customFormat="false" ht="12.8" hidden="false" customHeight="false" outlineLevel="0" collapsed="false">
      <c r="A36" s="54"/>
      <c r="B36" s="60"/>
      <c r="C36" s="62"/>
      <c r="D36" s="64"/>
      <c r="E36" s="64"/>
      <c r="F36" s="64"/>
      <c r="G36" s="64"/>
      <c r="H36" s="62"/>
      <c r="I36" s="70"/>
      <c r="J36" s="63"/>
      <c r="K36" s="63"/>
      <c r="L36" s="54"/>
      <c r="M36" s="126"/>
      <c r="N36" s="64" t="s">
        <v>364</v>
      </c>
    </row>
    <row r="37" customFormat="false" ht="12.8" hidden="false" customHeight="false" outlineLevel="0" collapsed="false">
      <c r="A37" s="54"/>
      <c r="B37" s="60"/>
      <c r="C37" s="62"/>
      <c r="D37" s="64"/>
      <c r="E37" s="64"/>
      <c r="F37" s="64"/>
      <c r="G37" s="64"/>
      <c r="H37" s="62"/>
      <c r="I37" s="70"/>
      <c r="J37" s="63"/>
      <c r="K37" s="63"/>
      <c r="L37" s="54"/>
      <c r="M37" s="126"/>
      <c r="N37" s="64" t="s">
        <v>364</v>
      </c>
    </row>
    <row r="38" customFormat="false" ht="12.8" hidden="false" customHeight="false" outlineLevel="0" collapsed="false">
      <c r="A38" s="54"/>
      <c r="B38" s="60"/>
      <c r="C38" s="62"/>
      <c r="D38" s="64"/>
      <c r="E38" s="64"/>
      <c r="F38" s="64"/>
      <c r="G38" s="64"/>
      <c r="H38" s="62"/>
      <c r="I38" s="70"/>
      <c r="J38" s="63"/>
      <c r="K38" s="63"/>
      <c r="L38" s="54"/>
      <c r="M38" s="126"/>
      <c r="N38" s="64" t="s">
        <v>364</v>
      </c>
    </row>
    <row r="39" customFormat="false" ht="12.8" hidden="false" customHeight="false" outlineLevel="0" collapsed="false">
      <c r="A39" s="54"/>
      <c r="B39" s="60"/>
      <c r="C39" s="62"/>
      <c r="D39" s="64"/>
      <c r="E39" s="64"/>
      <c r="F39" s="64"/>
      <c r="G39" s="64"/>
      <c r="H39" s="62"/>
      <c r="I39" s="70"/>
      <c r="J39" s="63"/>
      <c r="K39" s="63"/>
      <c r="L39" s="54"/>
      <c r="M39" s="126"/>
      <c r="N39" s="64" t="s">
        <v>364</v>
      </c>
    </row>
    <row r="40" customFormat="false" ht="12.8" hidden="false" customHeight="false" outlineLevel="0" collapsed="false">
      <c r="B40" s="3"/>
    </row>
  </sheetData>
  <autoFilter ref="A4:N39"/>
  <dataValidations count="2">
    <dataValidation allowBlank="true" errorStyle="stop" operator="equal" showDropDown="false" showErrorMessage="true" showInputMessage="false" sqref="C5:C39" type="list">
      <formula1>Static!$AA$5:$AA$6</formula1>
      <formula2>0</formula2>
    </dataValidation>
    <dataValidation allowBlank="true" errorStyle="stop" operator="equal" showDropDown="false" showErrorMessage="true" showInputMessage="false" sqref="H5:H39" type="list">
      <formula1>Static!$AB$5:$AB$16</formula1>
      <formula2>0</formula2>
    </dataValidation>
  </dataValidation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80"/>
    <pageSetUpPr fitToPage="false"/>
  </sheetPr>
  <dimension ref="A1:AMD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3" topLeftCell="F4" activePane="bottomRight" state="frozen"/>
      <selection pane="topLeft" activeCell="A1" activeCellId="0" sqref="A1"/>
      <selection pane="topRight" activeCell="F1" activeCellId="0" sqref="F1"/>
      <selection pane="bottomLeft" activeCell="A4" activeCellId="0" sqref="A4"/>
      <selection pane="bottomRight" activeCell="F5" activeCellId="0" sqref="F5"/>
    </sheetView>
  </sheetViews>
  <sheetFormatPr defaultColWidth="16.1484375" defaultRowHeight="12.8" zeroHeight="false" outlineLevelRow="1" outlineLevelCol="0"/>
  <cols>
    <col collapsed="false" customWidth="true" hidden="false" outlineLevel="0" max="1" min="1" style="3" width="1.8"/>
    <col collapsed="false" customWidth="true" hidden="false" outlineLevel="0" max="2" min="2" style="29" width="8.99"/>
    <col collapsed="false" customWidth="true" hidden="false" outlineLevel="0" max="4" min="4" style="1" width="41.13"/>
    <col collapsed="false" customWidth="true" hidden="false" outlineLevel="0" max="5" min="5" style="1" width="19.36"/>
    <col collapsed="false" customWidth="true" hidden="false" outlineLevel="0" max="6" min="6" style="3" width="13.4"/>
    <col collapsed="false" customWidth="true" hidden="false" outlineLevel="0" max="7" min="7" style="3" width="50.88"/>
    <col collapsed="false" customWidth="true" hidden="false" outlineLevel="0" max="8" min="8" style="29" width="14.69"/>
    <col collapsed="false" customWidth="true" hidden="false" outlineLevel="0" max="9" min="9" style="1" width="2.54"/>
    <col collapsed="false" customWidth="true" hidden="false" outlineLevel="0" max="1024" min="1019" style="1" width="11.52"/>
  </cols>
  <sheetData>
    <row r="1" customFormat="false" ht="81.3" hidden="false" customHeight="true" outlineLevel="1" collapsed="false">
      <c r="A1" s="31" t="s">
        <v>749</v>
      </c>
      <c r="B1" s="33" t="s">
        <v>860</v>
      </c>
      <c r="C1" s="34" t="s">
        <v>918</v>
      </c>
      <c r="D1" s="34" t="s">
        <v>819</v>
      </c>
      <c r="E1" s="83" t="s">
        <v>942</v>
      </c>
      <c r="F1" s="72" t="s">
        <v>757</v>
      </c>
      <c r="G1" s="31" t="s">
        <v>835</v>
      </c>
      <c r="H1" s="33" t="s">
        <v>904</v>
      </c>
      <c r="I1" s="31" t="s">
        <v>412</v>
      </c>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c r="CT1" s="35"/>
      <c r="CU1" s="35"/>
      <c r="CV1" s="35"/>
      <c r="CW1" s="35"/>
      <c r="CX1" s="35"/>
      <c r="CY1" s="35"/>
      <c r="CZ1" s="35"/>
      <c r="DA1" s="35"/>
      <c r="DB1" s="35"/>
      <c r="DC1" s="35"/>
      <c r="DD1" s="35"/>
      <c r="DE1" s="35"/>
      <c r="DF1" s="35"/>
      <c r="DG1" s="35"/>
      <c r="DH1" s="35"/>
      <c r="DI1" s="35"/>
      <c r="DJ1" s="35"/>
      <c r="DK1" s="35"/>
      <c r="DL1" s="35"/>
      <c r="DM1" s="35"/>
      <c r="DN1" s="35"/>
      <c r="DO1" s="35"/>
      <c r="DP1" s="35"/>
      <c r="DQ1" s="35"/>
      <c r="DR1" s="35"/>
      <c r="DS1" s="35"/>
      <c r="DT1" s="35"/>
      <c r="DU1" s="35"/>
      <c r="DV1" s="35"/>
      <c r="DW1" s="35"/>
      <c r="DX1" s="35"/>
      <c r="DY1" s="35"/>
      <c r="DZ1" s="35"/>
      <c r="EA1" s="35"/>
      <c r="EB1" s="35"/>
      <c r="EC1" s="35"/>
      <c r="ED1" s="35"/>
      <c r="EE1" s="35"/>
      <c r="EF1" s="35"/>
      <c r="EG1" s="35"/>
      <c r="EH1" s="35"/>
      <c r="EI1" s="35"/>
      <c r="EJ1" s="35"/>
      <c r="EK1" s="35"/>
      <c r="EL1" s="35"/>
      <c r="EM1" s="35"/>
      <c r="EN1" s="35"/>
      <c r="EO1" s="35"/>
      <c r="EP1" s="35"/>
      <c r="EQ1" s="35"/>
      <c r="ER1" s="35"/>
      <c r="ES1" s="35"/>
      <c r="ET1" s="35"/>
      <c r="EU1" s="35"/>
      <c r="EV1" s="35"/>
      <c r="EW1" s="35"/>
      <c r="EX1" s="35"/>
      <c r="EY1" s="35"/>
      <c r="EZ1" s="35"/>
      <c r="FA1" s="35"/>
      <c r="FB1" s="35"/>
      <c r="FC1" s="35"/>
      <c r="FD1" s="35"/>
      <c r="FE1" s="35"/>
      <c r="FF1" s="35"/>
      <c r="FG1" s="35"/>
      <c r="FH1" s="35"/>
      <c r="FI1" s="35"/>
      <c r="FJ1" s="35"/>
      <c r="FK1" s="35"/>
      <c r="FL1" s="35"/>
      <c r="FM1" s="35"/>
      <c r="FN1" s="35"/>
      <c r="FO1" s="35"/>
      <c r="FP1" s="35"/>
      <c r="FQ1" s="35"/>
      <c r="FR1" s="35"/>
      <c r="FS1" s="35"/>
      <c r="FT1" s="35"/>
      <c r="FU1" s="35"/>
      <c r="FV1" s="35"/>
      <c r="FW1" s="35"/>
      <c r="FX1" s="35"/>
      <c r="FY1" s="35"/>
      <c r="FZ1" s="35"/>
      <c r="GA1" s="35"/>
      <c r="GB1" s="35"/>
      <c r="GC1" s="35"/>
      <c r="GD1" s="35"/>
      <c r="GE1" s="35"/>
      <c r="GF1" s="35"/>
      <c r="GG1" s="35"/>
      <c r="GH1" s="35"/>
      <c r="GI1" s="35"/>
      <c r="GJ1" s="35"/>
      <c r="GK1" s="35"/>
      <c r="GL1" s="35"/>
      <c r="GM1" s="35"/>
      <c r="GN1" s="35"/>
      <c r="GO1" s="35"/>
      <c r="GP1" s="35"/>
      <c r="GQ1" s="35"/>
      <c r="GR1" s="35"/>
      <c r="GS1" s="35"/>
      <c r="GT1" s="35"/>
      <c r="GU1" s="35"/>
      <c r="GV1" s="35"/>
      <c r="GW1" s="35"/>
      <c r="GX1" s="35"/>
      <c r="GY1" s="35"/>
      <c r="GZ1" s="35"/>
      <c r="HA1" s="35"/>
      <c r="HB1" s="35"/>
      <c r="HC1" s="35"/>
      <c r="HD1" s="35"/>
      <c r="HE1" s="35"/>
      <c r="HF1" s="35"/>
      <c r="HG1" s="35"/>
      <c r="HH1" s="35"/>
      <c r="HI1" s="35"/>
      <c r="HJ1" s="35"/>
      <c r="HK1" s="35"/>
      <c r="HL1" s="35"/>
      <c r="HM1" s="35"/>
      <c r="HN1" s="35"/>
      <c r="HO1" s="35"/>
      <c r="HP1" s="35"/>
      <c r="HQ1" s="35"/>
      <c r="HR1" s="35"/>
      <c r="HS1" s="35"/>
      <c r="HT1" s="35"/>
      <c r="HU1" s="35"/>
      <c r="HV1" s="35"/>
      <c r="HW1" s="35"/>
      <c r="HX1" s="35"/>
      <c r="HY1" s="35"/>
      <c r="HZ1" s="35"/>
      <c r="IA1" s="35"/>
      <c r="IB1" s="35"/>
      <c r="IC1" s="35"/>
      <c r="ID1" s="35"/>
      <c r="IE1" s="35"/>
      <c r="IF1" s="35"/>
      <c r="IG1" s="35"/>
      <c r="IH1" s="35"/>
      <c r="II1" s="35"/>
      <c r="IJ1" s="35"/>
      <c r="IK1" s="35"/>
      <c r="IL1" s="35"/>
      <c r="IM1" s="35"/>
      <c r="IN1" s="35"/>
      <c r="IO1" s="35"/>
      <c r="IP1" s="35"/>
      <c r="IQ1" s="35"/>
      <c r="IR1" s="35"/>
      <c r="IS1" s="35"/>
      <c r="IT1" s="35"/>
      <c r="IU1" s="35"/>
      <c r="IV1" s="35"/>
      <c r="IW1" s="35"/>
      <c r="IX1" s="35"/>
      <c r="IY1" s="35"/>
      <c r="IZ1" s="35"/>
      <c r="JA1" s="35"/>
      <c r="JB1" s="35"/>
      <c r="JC1" s="35"/>
      <c r="JD1" s="35"/>
      <c r="JE1" s="35"/>
      <c r="JF1" s="35"/>
      <c r="JG1" s="35"/>
      <c r="JH1" s="35"/>
      <c r="JI1" s="35"/>
      <c r="JJ1" s="35"/>
      <c r="JK1" s="35"/>
      <c r="JL1" s="35"/>
      <c r="JM1" s="35"/>
      <c r="JN1" s="35"/>
      <c r="JO1" s="35"/>
      <c r="JP1" s="35"/>
      <c r="JQ1" s="35"/>
      <c r="JR1" s="35"/>
      <c r="JS1" s="35"/>
      <c r="JT1" s="35"/>
      <c r="JU1" s="35"/>
      <c r="JV1" s="35"/>
      <c r="JW1" s="35"/>
      <c r="JX1" s="35"/>
      <c r="JY1" s="35"/>
      <c r="JZ1" s="35"/>
      <c r="KA1" s="35"/>
      <c r="KB1" s="35"/>
      <c r="KC1" s="35"/>
      <c r="KD1" s="35"/>
      <c r="KE1" s="35"/>
      <c r="KF1" s="35"/>
      <c r="KG1" s="35"/>
      <c r="KH1" s="35"/>
      <c r="KI1" s="35"/>
      <c r="KJ1" s="35"/>
      <c r="KK1" s="35"/>
      <c r="KL1" s="35"/>
      <c r="KM1" s="35"/>
      <c r="KN1" s="35"/>
      <c r="KO1" s="35"/>
      <c r="KP1" s="35"/>
      <c r="KQ1" s="35"/>
      <c r="KR1" s="35"/>
      <c r="KS1" s="35"/>
      <c r="KT1" s="35"/>
      <c r="KU1" s="35"/>
      <c r="KV1" s="35"/>
      <c r="KW1" s="35"/>
      <c r="KX1" s="35"/>
      <c r="KY1" s="35"/>
      <c r="KZ1" s="35"/>
      <c r="LA1" s="35"/>
      <c r="LB1" s="35"/>
      <c r="LC1" s="35"/>
      <c r="LD1" s="35"/>
      <c r="LE1" s="35"/>
      <c r="LF1" s="35"/>
      <c r="LG1" s="35"/>
      <c r="LH1" s="35"/>
      <c r="LI1" s="35"/>
      <c r="LJ1" s="35"/>
      <c r="LK1" s="35"/>
      <c r="LL1" s="35"/>
      <c r="LM1" s="35"/>
      <c r="LN1" s="35"/>
      <c r="LO1" s="35"/>
      <c r="LP1" s="35"/>
      <c r="LQ1" s="35"/>
      <c r="LR1" s="35"/>
      <c r="LS1" s="35"/>
      <c r="LT1" s="35"/>
      <c r="LU1" s="35"/>
      <c r="LV1" s="35"/>
      <c r="LW1" s="35"/>
      <c r="LX1" s="35"/>
      <c r="LY1" s="35"/>
      <c r="LZ1" s="35"/>
      <c r="MA1" s="35"/>
      <c r="MB1" s="35"/>
      <c r="MC1" s="35"/>
      <c r="MD1" s="35"/>
      <c r="ME1" s="35"/>
      <c r="MF1" s="35"/>
      <c r="MG1" s="35"/>
      <c r="MH1" s="35"/>
      <c r="MI1" s="35"/>
      <c r="MJ1" s="35"/>
      <c r="MK1" s="35"/>
      <c r="ML1" s="35"/>
      <c r="MM1" s="35"/>
      <c r="MN1" s="35"/>
      <c r="MO1" s="35"/>
      <c r="MP1" s="35"/>
      <c r="MQ1" s="35"/>
      <c r="MR1" s="35"/>
      <c r="MS1" s="35"/>
      <c r="MT1" s="35"/>
      <c r="MU1" s="35"/>
      <c r="MV1" s="35"/>
      <c r="MW1" s="35"/>
      <c r="MX1" s="35"/>
      <c r="MY1" s="35"/>
      <c r="MZ1" s="35"/>
      <c r="NA1" s="35"/>
      <c r="NB1" s="35"/>
      <c r="NC1" s="35"/>
      <c r="ND1" s="35"/>
      <c r="NE1" s="35"/>
      <c r="NF1" s="35"/>
      <c r="NG1" s="35"/>
      <c r="NH1" s="35"/>
      <c r="NI1" s="35"/>
      <c r="NJ1" s="35"/>
      <c r="NK1" s="35"/>
      <c r="NL1" s="35"/>
      <c r="NM1" s="35"/>
      <c r="NN1" s="35"/>
      <c r="NO1" s="35"/>
      <c r="NP1" s="35"/>
      <c r="NQ1" s="35"/>
      <c r="NR1" s="35"/>
      <c r="NS1" s="35"/>
      <c r="NT1" s="35"/>
      <c r="NU1" s="35"/>
      <c r="NV1" s="35"/>
      <c r="NW1" s="35"/>
      <c r="NX1" s="35"/>
      <c r="NY1" s="35"/>
      <c r="NZ1" s="35"/>
      <c r="OA1" s="35"/>
      <c r="OB1" s="35"/>
      <c r="OC1" s="35"/>
      <c r="OD1" s="35"/>
      <c r="OE1" s="35"/>
      <c r="OF1" s="35"/>
      <c r="OG1" s="35"/>
      <c r="OH1" s="35"/>
      <c r="OI1" s="35"/>
      <c r="OJ1" s="35"/>
      <c r="OK1" s="35"/>
      <c r="OL1" s="35"/>
      <c r="OM1" s="35"/>
      <c r="ON1" s="35"/>
      <c r="OO1" s="35"/>
      <c r="OP1" s="35"/>
      <c r="OQ1" s="35"/>
      <c r="OR1" s="35"/>
      <c r="OS1" s="35"/>
      <c r="OT1" s="35"/>
      <c r="OU1" s="35"/>
      <c r="OV1" s="35"/>
      <c r="OW1" s="35"/>
      <c r="OX1" s="35"/>
      <c r="OY1" s="35"/>
      <c r="OZ1" s="35"/>
      <c r="PA1" s="35"/>
      <c r="PB1" s="35"/>
      <c r="PC1" s="35"/>
      <c r="PD1" s="35"/>
      <c r="PE1" s="35"/>
      <c r="PF1" s="35"/>
      <c r="PG1" s="35"/>
      <c r="PH1" s="35"/>
      <c r="PI1" s="35"/>
      <c r="PJ1" s="35"/>
      <c r="PK1" s="35"/>
      <c r="PL1" s="35"/>
      <c r="PM1" s="35"/>
      <c r="PN1" s="35"/>
      <c r="PO1" s="35"/>
      <c r="PP1" s="35"/>
      <c r="PQ1" s="35"/>
      <c r="PR1" s="35"/>
      <c r="PS1" s="35"/>
      <c r="PT1" s="35"/>
      <c r="PU1" s="35"/>
      <c r="PV1" s="35"/>
      <c r="PW1" s="35"/>
      <c r="PX1" s="35"/>
      <c r="PY1" s="35"/>
      <c r="PZ1" s="35"/>
      <c r="QA1" s="35"/>
      <c r="QB1" s="35"/>
      <c r="QC1" s="35"/>
      <c r="QD1" s="35"/>
      <c r="QE1" s="35"/>
      <c r="QF1" s="35"/>
      <c r="QG1" s="35"/>
      <c r="QH1" s="35"/>
      <c r="QI1" s="35"/>
      <c r="QJ1" s="35"/>
      <c r="QK1" s="35"/>
      <c r="QL1" s="35"/>
      <c r="QM1" s="35"/>
      <c r="QN1" s="35"/>
      <c r="QO1" s="35"/>
      <c r="QP1" s="35"/>
      <c r="QQ1" s="35"/>
      <c r="QR1" s="35"/>
      <c r="QS1" s="35"/>
      <c r="QT1" s="35"/>
      <c r="QU1" s="35"/>
      <c r="QV1" s="35"/>
      <c r="QW1" s="35"/>
      <c r="QX1" s="35"/>
      <c r="QY1" s="35"/>
      <c r="QZ1" s="35"/>
      <c r="RA1" s="35"/>
      <c r="RB1" s="35"/>
      <c r="RC1" s="35"/>
      <c r="RD1" s="35"/>
      <c r="RE1" s="35"/>
      <c r="RF1" s="35"/>
      <c r="RG1" s="35"/>
      <c r="RH1" s="35"/>
      <c r="RI1" s="35"/>
      <c r="RJ1" s="35"/>
      <c r="RK1" s="35"/>
      <c r="RL1" s="35"/>
      <c r="RM1" s="35"/>
      <c r="RN1" s="35"/>
      <c r="RO1" s="35"/>
      <c r="RP1" s="35"/>
      <c r="RQ1" s="35"/>
      <c r="RR1" s="35"/>
      <c r="RS1" s="35"/>
      <c r="RT1" s="35"/>
      <c r="RU1" s="35"/>
      <c r="RV1" s="35"/>
      <c r="RW1" s="35"/>
      <c r="RX1" s="35"/>
      <c r="RY1" s="35"/>
      <c r="RZ1" s="35"/>
      <c r="SA1" s="35"/>
      <c r="SB1" s="35"/>
      <c r="SC1" s="35"/>
      <c r="SD1" s="35"/>
      <c r="SE1" s="35"/>
      <c r="SF1" s="35"/>
      <c r="SG1" s="35"/>
      <c r="SH1" s="35"/>
      <c r="SI1" s="35"/>
      <c r="SJ1" s="35"/>
      <c r="SK1" s="35"/>
      <c r="SL1" s="35"/>
      <c r="SM1" s="35"/>
      <c r="SN1" s="35"/>
      <c r="SO1" s="35"/>
      <c r="SP1" s="35"/>
      <c r="SQ1" s="35"/>
      <c r="SR1" s="35"/>
      <c r="SS1" s="35"/>
      <c r="ST1" s="35"/>
      <c r="SU1" s="35"/>
      <c r="SV1" s="35"/>
      <c r="SW1" s="35"/>
      <c r="SX1" s="35"/>
      <c r="SY1" s="35"/>
      <c r="SZ1" s="35"/>
      <c r="TA1" s="35"/>
      <c r="TB1" s="35"/>
      <c r="TC1" s="35"/>
      <c r="TD1" s="35"/>
      <c r="TE1" s="35"/>
      <c r="TF1" s="35"/>
      <c r="TG1" s="35"/>
      <c r="TH1" s="35"/>
      <c r="TI1" s="35"/>
      <c r="TJ1" s="35"/>
      <c r="TK1" s="35"/>
      <c r="TL1" s="35"/>
      <c r="TM1" s="35"/>
      <c r="TN1" s="35"/>
      <c r="TO1" s="35"/>
      <c r="TP1" s="35"/>
      <c r="TQ1" s="35"/>
      <c r="TR1" s="35"/>
      <c r="TS1" s="35"/>
      <c r="TT1" s="35"/>
      <c r="TU1" s="35"/>
      <c r="TV1" s="35"/>
      <c r="TW1" s="35"/>
      <c r="TX1" s="35"/>
      <c r="TY1" s="35"/>
      <c r="TZ1" s="35"/>
      <c r="UA1" s="35"/>
      <c r="UB1" s="35"/>
      <c r="UC1" s="35"/>
      <c r="UD1" s="35"/>
      <c r="UE1" s="35"/>
      <c r="UF1" s="35"/>
      <c r="UG1" s="35"/>
      <c r="UH1" s="35"/>
      <c r="UI1" s="35"/>
      <c r="UJ1" s="35"/>
      <c r="UK1" s="35"/>
      <c r="UL1" s="35"/>
      <c r="UM1" s="35"/>
      <c r="UN1" s="35"/>
      <c r="UO1" s="35"/>
      <c r="UP1" s="35"/>
      <c r="UQ1" s="35"/>
      <c r="UR1" s="35"/>
      <c r="US1" s="35"/>
      <c r="UT1" s="35"/>
      <c r="UU1" s="35"/>
      <c r="UV1" s="35"/>
      <c r="UW1" s="35"/>
      <c r="UX1" s="35"/>
      <c r="UY1" s="35"/>
      <c r="UZ1" s="35"/>
      <c r="VA1" s="35"/>
      <c r="VB1" s="35"/>
      <c r="VC1" s="35"/>
      <c r="VD1" s="35"/>
      <c r="VE1" s="35"/>
      <c r="VF1" s="35"/>
      <c r="VG1" s="35"/>
      <c r="VH1" s="35"/>
      <c r="VI1" s="35"/>
      <c r="VJ1" s="35"/>
      <c r="VK1" s="35"/>
      <c r="VL1" s="35"/>
      <c r="VM1" s="35"/>
      <c r="VN1" s="35"/>
      <c r="VO1" s="35"/>
      <c r="VP1" s="35"/>
      <c r="VQ1" s="35"/>
      <c r="VR1" s="35"/>
      <c r="VS1" s="35"/>
      <c r="VT1" s="35"/>
      <c r="VU1" s="35"/>
      <c r="VV1" s="35"/>
      <c r="VW1" s="35"/>
      <c r="VX1" s="35"/>
      <c r="VY1" s="35"/>
      <c r="VZ1" s="35"/>
      <c r="WA1" s="35"/>
      <c r="WB1" s="35"/>
      <c r="WC1" s="35"/>
      <c r="WD1" s="35"/>
      <c r="WE1" s="35"/>
      <c r="WF1" s="35"/>
      <c r="WG1" s="35"/>
      <c r="WH1" s="35"/>
      <c r="WI1" s="35"/>
      <c r="WJ1" s="35"/>
      <c r="WK1" s="35"/>
      <c r="WL1" s="35"/>
      <c r="WM1" s="35"/>
      <c r="WN1" s="35"/>
      <c r="WO1" s="35"/>
      <c r="WP1" s="35"/>
      <c r="WQ1" s="35"/>
      <c r="WR1" s="35"/>
      <c r="WS1" s="35"/>
      <c r="WT1" s="35"/>
      <c r="WU1" s="35"/>
      <c r="WV1" s="35"/>
      <c r="WW1" s="35"/>
      <c r="WX1" s="35"/>
      <c r="WY1" s="35"/>
      <c r="WZ1" s="35"/>
      <c r="XA1" s="35"/>
      <c r="XB1" s="35"/>
      <c r="XC1" s="35"/>
      <c r="XD1" s="35"/>
      <c r="XE1" s="35"/>
      <c r="XF1" s="35"/>
      <c r="XG1" s="35"/>
      <c r="XH1" s="35"/>
      <c r="XI1" s="35"/>
      <c r="XJ1" s="35"/>
      <c r="XK1" s="35"/>
      <c r="XL1" s="35"/>
      <c r="XM1" s="35"/>
      <c r="XN1" s="35"/>
      <c r="XO1" s="35"/>
      <c r="XP1" s="35"/>
      <c r="XQ1" s="35"/>
      <c r="XR1" s="35"/>
      <c r="XS1" s="35"/>
      <c r="XT1" s="35"/>
      <c r="XU1" s="35"/>
      <c r="XV1" s="35"/>
      <c r="XW1" s="35"/>
      <c r="XX1" s="35"/>
      <c r="XY1" s="35"/>
      <c r="XZ1" s="35"/>
      <c r="YA1" s="35"/>
      <c r="YB1" s="35"/>
      <c r="YC1" s="35"/>
      <c r="YD1" s="35"/>
      <c r="YE1" s="35"/>
      <c r="YF1" s="35"/>
      <c r="YG1" s="35"/>
      <c r="YH1" s="35"/>
      <c r="YI1" s="35"/>
      <c r="YJ1" s="35"/>
      <c r="YK1" s="35"/>
      <c r="YL1" s="35"/>
      <c r="YM1" s="35"/>
      <c r="YN1" s="35"/>
      <c r="YO1" s="35"/>
      <c r="YP1" s="35"/>
      <c r="YQ1" s="35"/>
      <c r="YR1" s="35"/>
      <c r="YS1" s="35"/>
      <c r="YT1" s="35"/>
      <c r="YU1" s="35"/>
      <c r="YV1" s="35"/>
      <c r="YW1" s="35"/>
      <c r="YX1" s="35"/>
      <c r="YY1" s="35"/>
      <c r="YZ1" s="35"/>
      <c r="ZA1" s="35"/>
      <c r="ZB1" s="35"/>
      <c r="ZC1" s="35"/>
      <c r="ZD1" s="35"/>
      <c r="ZE1" s="35"/>
      <c r="ZF1" s="35"/>
      <c r="ZG1" s="35"/>
      <c r="ZH1" s="35"/>
      <c r="ZI1" s="35"/>
      <c r="ZJ1" s="35"/>
      <c r="ZK1" s="35"/>
      <c r="ZL1" s="35"/>
      <c r="ZM1" s="35"/>
      <c r="ZN1" s="35"/>
      <c r="ZO1" s="35"/>
      <c r="ZP1" s="35"/>
      <c r="ZQ1" s="35"/>
      <c r="ZR1" s="35"/>
      <c r="ZS1" s="35"/>
      <c r="ZT1" s="35"/>
      <c r="ZU1" s="35"/>
      <c r="ZV1" s="35"/>
      <c r="ZW1" s="35"/>
      <c r="ZX1" s="35"/>
      <c r="ZY1" s="35"/>
      <c r="ZZ1" s="35"/>
      <c r="AAA1" s="35"/>
      <c r="AAB1" s="35"/>
      <c r="AAC1" s="35"/>
      <c r="AAD1" s="35"/>
      <c r="AAE1" s="35"/>
      <c r="AAF1" s="35"/>
      <c r="AAG1" s="35"/>
      <c r="AAH1" s="35"/>
      <c r="AAI1" s="35"/>
      <c r="AAJ1" s="35"/>
      <c r="AAK1" s="35"/>
      <c r="AAL1" s="35"/>
      <c r="AAM1" s="35"/>
      <c r="AAN1" s="35"/>
      <c r="AAO1" s="35"/>
      <c r="AAP1" s="35"/>
      <c r="AAQ1" s="35"/>
      <c r="AAR1" s="35"/>
      <c r="AAS1" s="35"/>
      <c r="AAT1" s="35"/>
      <c r="AAU1" s="35"/>
      <c r="AAV1" s="35"/>
      <c r="AAW1" s="35"/>
      <c r="AAX1" s="35"/>
      <c r="AAY1" s="35"/>
      <c r="AAZ1" s="35"/>
      <c r="ABA1" s="35"/>
      <c r="ABB1" s="35"/>
      <c r="ABC1" s="35"/>
      <c r="ABD1" s="35"/>
      <c r="ABE1" s="35"/>
      <c r="ABF1" s="35"/>
      <c r="ABG1" s="35"/>
      <c r="ABH1" s="35"/>
      <c r="ABI1" s="35"/>
      <c r="ABJ1" s="35"/>
      <c r="ABK1" s="35"/>
      <c r="ABL1" s="35"/>
      <c r="ABM1" s="35"/>
      <c r="ABN1" s="35"/>
      <c r="ABO1" s="35"/>
      <c r="ABP1" s="35"/>
      <c r="ABQ1" s="35"/>
      <c r="ABR1" s="35"/>
      <c r="ABS1" s="35"/>
      <c r="ABT1" s="35"/>
      <c r="ABU1" s="35"/>
      <c r="ABV1" s="35"/>
      <c r="ABW1" s="35"/>
      <c r="ABX1" s="35"/>
      <c r="ABY1" s="35"/>
      <c r="ABZ1" s="35"/>
      <c r="ACA1" s="35"/>
      <c r="ACB1" s="35"/>
      <c r="ACC1" s="35"/>
      <c r="ACD1" s="35"/>
      <c r="ACE1" s="35"/>
      <c r="ACF1" s="35"/>
      <c r="ACG1" s="35"/>
      <c r="ACH1" s="35"/>
      <c r="ACI1" s="35"/>
      <c r="ACJ1" s="35"/>
      <c r="ACK1" s="35"/>
      <c r="ACL1" s="35"/>
      <c r="ACM1" s="35"/>
      <c r="ACN1" s="35"/>
      <c r="ACO1" s="35"/>
      <c r="ACP1" s="35"/>
      <c r="ACQ1" s="35"/>
      <c r="ACR1" s="35"/>
      <c r="ACS1" s="35"/>
      <c r="ACT1" s="35"/>
      <c r="ACU1" s="35"/>
      <c r="ACV1" s="35"/>
      <c r="ACW1" s="35"/>
      <c r="ACX1" s="35"/>
      <c r="ACY1" s="35"/>
      <c r="ACZ1" s="35"/>
      <c r="ADA1" s="35"/>
      <c r="ADB1" s="35"/>
      <c r="ADC1" s="35"/>
      <c r="ADD1" s="35"/>
      <c r="ADE1" s="35"/>
      <c r="ADF1" s="35"/>
      <c r="ADG1" s="35"/>
      <c r="ADH1" s="35"/>
      <c r="ADI1" s="35"/>
      <c r="ADJ1" s="35"/>
      <c r="ADK1" s="35"/>
      <c r="ADL1" s="35"/>
      <c r="ADM1" s="35"/>
      <c r="ADN1" s="35"/>
      <c r="ADO1" s="35"/>
      <c r="ADP1" s="35"/>
      <c r="ADQ1" s="35"/>
      <c r="ADR1" s="35"/>
      <c r="ADS1" s="35"/>
      <c r="ADT1" s="35"/>
      <c r="ADU1" s="35"/>
      <c r="ADV1" s="35"/>
      <c r="ADW1" s="35"/>
      <c r="ADX1" s="35"/>
      <c r="ADY1" s="35"/>
      <c r="ADZ1" s="35"/>
      <c r="AEA1" s="35"/>
      <c r="AEB1" s="35"/>
      <c r="AEC1" s="35"/>
      <c r="AED1" s="35"/>
      <c r="AEE1" s="35"/>
      <c r="AEF1" s="35"/>
      <c r="AEG1" s="35"/>
      <c r="AEH1" s="35"/>
      <c r="AEI1" s="35"/>
      <c r="AEJ1" s="35"/>
      <c r="AEK1" s="35"/>
      <c r="AEL1" s="35"/>
      <c r="AEM1" s="35"/>
      <c r="AEN1" s="35"/>
      <c r="AEO1" s="35"/>
      <c r="AEP1" s="35"/>
      <c r="AEQ1" s="35"/>
      <c r="AER1" s="35"/>
      <c r="AES1" s="35"/>
      <c r="AET1" s="35"/>
      <c r="AEU1" s="35"/>
      <c r="AEV1" s="35"/>
      <c r="AEW1" s="35"/>
      <c r="AEX1" s="35"/>
      <c r="AEY1" s="35"/>
      <c r="AEZ1" s="35"/>
      <c r="AFA1" s="35"/>
      <c r="AFB1" s="35"/>
      <c r="AFC1" s="35"/>
      <c r="AFD1" s="35"/>
      <c r="AFE1" s="35"/>
      <c r="AFF1" s="35"/>
      <c r="AFG1" s="35"/>
      <c r="AFH1" s="35"/>
      <c r="AFI1" s="35"/>
      <c r="AFJ1" s="35"/>
      <c r="AFK1" s="35"/>
      <c r="AFL1" s="35"/>
      <c r="AFM1" s="35"/>
      <c r="AFN1" s="35"/>
      <c r="AFO1" s="35"/>
      <c r="AFP1" s="35"/>
      <c r="AFQ1" s="35"/>
      <c r="AFR1" s="35"/>
      <c r="AFS1" s="35"/>
      <c r="AFT1" s="35"/>
      <c r="AFU1" s="35"/>
      <c r="AFV1" s="35"/>
      <c r="AFW1" s="35"/>
      <c r="AFX1" s="35"/>
      <c r="AFY1" s="35"/>
      <c r="AFZ1" s="35"/>
      <c r="AGA1" s="35"/>
      <c r="AGB1" s="35"/>
      <c r="AGC1" s="35"/>
      <c r="AGD1" s="35"/>
      <c r="AGE1" s="35"/>
      <c r="AGF1" s="35"/>
      <c r="AGG1" s="35"/>
      <c r="AGH1" s="35"/>
      <c r="AGI1" s="35"/>
      <c r="AGJ1" s="35"/>
      <c r="AGK1" s="35"/>
      <c r="AGL1" s="35"/>
      <c r="AGM1" s="35"/>
      <c r="AGN1" s="35"/>
      <c r="AGO1" s="35"/>
      <c r="AGP1" s="35"/>
      <c r="AGQ1" s="35"/>
      <c r="AGR1" s="35"/>
      <c r="AGS1" s="35"/>
      <c r="AGT1" s="35"/>
      <c r="AGU1" s="35"/>
      <c r="AGV1" s="35"/>
      <c r="AGW1" s="35"/>
      <c r="AGX1" s="35"/>
      <c r="AGY1" s="35"/>
      <c r="AGZ1" s="35"/>
      <c r="AHA1" s="35"/>
      <c r="AHB1" s="35"/>
      <c r="AHC1" s="35"/>
      <c r="AHD1" s="35"/>
      <c r="AHE1" s="35"/>
      <c r="AHF1" s="35"/>
      <c r="AHG1" s="35"/>
      <c r="AHH1" s="35"/>
      <c r="AHI1" s="35"/>
      <c r="AHJ1" s="35"/>
      <c r="AHK1" s="35"/>
      <c r="AHL1" s="35"/>
      <c r="AHM1" s="35"/>
      <c r="AHN1" s="35"/>
      <c r="AHO1" s="35"/>
      <c r="AHP1" s="35"/>
      <c r="AHQ1" s="35"/>
      <c r="AHR1" s="35"/>
      <c r="AHS1" s="35"/>
      <c r="AHT1" s="35"/>
      <c r="AHU1" s="35"/>
      <c r="AHV1" s="35"/>
      <c r="AHW1" s="35"/>
      <c r="AHX1" s="35"/>
      <c r="AHY1" s="35"/>
      <c r="AHZ1" s="35"/>
      <c r="AIA1" s="35"/>
      <c r="AIB1" s="35"/>
      <c r="AIC1" s="35"/>
      <c r="AID1" s="35"/>
      <c r="AIE1" s="35"/>
      <c r="AIF1" s="35"/>
      <c r="AIG1" s="35"/>
      <c r="AIH1" s="35"/>
      <c r="AII1" s="35"/>
      <c r="AIJ1" s="35"/>
      <c r="AIK1" s="35"/>
      <c r="AIL1" s="35"/>
      <c r="AIM1" s="35"/>
      <c r="AIN1" s="35"/>
      <c r="AIO1" s="35"/>
      <c r="AIP1" s="35"/>
      <c r="AIQ1" s="35"/>
      <c r="AIR1" s="35"/>
      <c r="AIS1" s="35"/>
      <c r="AIT1" s="35"/>
      <c r="AIU1" s="35"/>
      <c r="AIV1" s="35"/>
      <c r="AIW1" s="35"/>
      <c r="AIX1" s="35"/>
      <c r="AIY1" s="35"/>
      <c r="AIZ1" s="35"/>
      <c r="AJA1" s="35"/>
      <c r="AJB1" s="35"/>
      <c r="AJC1" s="35"/>
      <c r="AJD1" s="35"/>
      <c r="AJE1" s="35"/>
      <c r="AJF1" s="35"/>
      <c r="AJG1" s="35"/>
      <c r="AJH1" s="35"/>
      <c r="AJI1" s="35"/>
      <c r="AJJ1" s="35"/>
      <c r="AJK1" s="35"/>
      <c r="AJL1" s="35"/>
      <c r="AJM1" s="35"/>
      <c r="AJN1" s="35"/>
      <c r="AJO1" s="35"/>
      <c r="AJP1" s="35"/>
      <c r="AJQ1" s="35"/>
      <c r="AJR1" s="35"/>
      <c r="AJS1" s="35"/>
      <c r="AJT1" s="35"/>
      <c r="AJU1" s="35"/>
      <c r="AJV1" s="35"/>
      <c r="AJW1" s="35"/>
      <c r="AJX1" s="35"/>
      <c r="AJY1" s="35"/>
      <c r="AJZ1" s="35"/>
      <c r="AKA1" s="35"/>
      <c r="AKB1" s="35"/>
      <c r="AKC1" s="35"/>
      <c r="AKD1" s="35"/>
      <c r="AKE1" s="35"/>
      <c r="AKF1" s="35"/>
      <c r="AKG1" s="35"/>
      <c r="AKH1" s="35"/>
      <c r="AKI1" s="35"/>
      <c r="AKJ1" s="35"/>
      <c r="AKK1" s="35"/>
      <c r="AKL1" s="35"/>
      <c r="AKM1" s="35"/>
      <c r="AKN1" s="35"/>
      <c r="AKO1" s="35"/>
      <c r="AKP1" s="35"/>
      <c r="AKQ1" s="35"/>
      <c r="AKR1" s="35"/>
      <c r="AKS1" s="35"/>
      <c r="AKT1" s="35"/>
      <c r="AKU1" s="35"/>
      <c r="AKV1" s="35"/>
      <c r="AKW1" s="35"/>
      <c r="AKX1" s="35"/>
      <c r="AKY1" s="35"/>
      <c r="AKZ1" s="35"/>
      <c r="ALA1" s="35"/>
      <c r="ALB1" s="35"/>
      <c r="ALC1" s="35"/>
      <c r="ALD1" s="35"/>
      <c r="ALE1" s="35"/>
      <c r="ALF1" s="35"/>
      <c r="ALG1" s="35"/>
      <c r="ALH1" s="35"/>
      <c r="ALI1" s="35"/>
      <c r="ALJ1" s="35"/>
      <c r="ALK1" s="35"/>
      <c r="ALL1" s="35"/>
      <c r="ALM1" s="35"/>
      <c r="ALN1" s="35"/>
      <c r="ALO1" s="35"/>
      <c r="ALP1" s="35"/>
      <c r="ALQ1" s="35"/>
      <c r="ALR1" s="35"/>
      <c r="ALS1" s="35"/>
      <c r="ALT1" s="1"/>
      <c r="ALU1" s="1"/>
      <c r="ALV1" s="1"/>
      <c r="ALW1" s="1"/>
      <c r="ALX1" s="1"/>
      <c r="ALY1" s="1"/>
      <c r="ALZ1" s="1"/>
      <c r="AMA1" s="1"/>
      <c r="AMB1" s="1"/>
      <c r="AMC1" s="1"/>
      <c r="AMD1" s="1"/>
    </row>
    <row r="2" customFormat="false" ht="12.8" hidden="false" customHeight="false" outlineLevel="1" collapsed="false">
      <c r="A2" s="31"/>
      <c r="B2" s="33"/>
      <c r="C2" s="34"/>
      <c r="D2" s="34"/>
      <c r="E2" s="83"/>
      <c r="F2" s="72"/>
      <c r="G2" s="31"/>
      <c r="H2" s="33"/>
      <c r="I2" s="31"/>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c r="CF2" s="35"/>
      <c r="CG2" s="35"/>
      <c r="CH2" s="35"/>
      <c r="CI2" s="35"/>
      <c r="CJ2" s="35"/>
      <c r="CK2" s="35"/>
      <c r="CL2" s="35"/>
      <c r="CM2" s="35"/>
      <c r="CN2" s="35"/>
      <c r="CO2" s="35"/>
      <c r="CP2" s="35"/>
      <c r="CQ2" s="35"/>
      <c r="CR2" s="35"/>
      <c r="CS2" s="35"/>
      <c r="CT2" s="35"/>
      <c r="CU2" s="35"/>
      <c r="CV2" s="35"/>
      <c r="CW2" s="35"/>
      <c r="CX2" s="35"/>
      <c r="CY2" s="35"/>
      <c r="CZ2" s="35"/>
      <c r="DA2" s="35"/>
      <c r="DB2" s="35"/>
      <c r="DC2" s="35"/>
      <c r="DD2" s="35"/>
      <c r="DE2" s="35"/>
      <c r="DF2" s="35"/>
      <c r="DG2" s="35"/>
      <c r="DH2" s="35"/>
      <c r="DI2" s="35"/>
      <c r="DJ2" s="35"/>
      <c r="DK2" s="35"/>
      <c r="DL2" s="35"/>
      <c r="DM2" s="35"/>
      <c r="DN2" s="35"/>
      <c r="DO2" s="35"/>
      <c r="DP2" s="35"/>
      <c r="DQ2" s="35"/>
      <c r="DR2" s="35"/>
      <c r="DS2" s="35"/>
      <c r="DT2" s="35"/>
      <c r="DU2" s="35"/>
      <c r="DV2" s="35"/>
      <c r="DW2" s="35"/>
      <c r="DX2" s="35"/>
      <c r="DY2" s="35"/>
      <c r="DZ2" s="35"/>
      <c r="EA2" s="35"/>
      <c r="EB2" s="35"/>
      <c r="EC2" s="35"/>
      <c r="ED2" s="35"/>
      <c r="EE2" s="35"/>
      <c r="EF2" s="35"/>
      <c r="EG2" s="35"/>
      <c r="EH2" s="35"/>
      <c r="EI2" s="35"/>
      <c r="EJ2" s="35"/>
      <c r="EK2" s="35"/>
      <c r="EL2" s="35"/>
      <c r="EM2" s="35"/>
      <c r="EN2" s="35"/>
      <c r="EO2" s="35"/>
      <c r="EP2" s="35"/>
      <c r="EQ2" s="35"/>
      <c r="ER2" s="35"/>
      <c r="ES2" s="35"/>
      <c r="ET2" s="35"/>
      <c r="EU2" s="35"/>
      <c r="EV2" s="35"/>
      <c r="EW2" s="35"/>
      <c r="EX2" s="35"/>
      <c r="EY2" s="35"/>
      <c r="EZ2" s="35"/>
      <c r="FA2" s="35"/>
      <c r="FB2" s="35"/>
      <c r="FC2" s="35"/>
      <c r="FD2" s="35"/>
      <c r="FE2" s="35"/>
      <c r="FF2" s="35"/>
      <c r="FG2" s="35"/>
      <c r="FH2" s="35"/>
      <c r="FI2" s="35"/>
      <c r="FJ2" s="35"/>
      <c r="FK2" s="35"/>
      <c r="FL2" s="35"/>
      <c r="FM2" s="35"/>
      <c r="FN2" s="35"/>
      <c r="FO2" s="35"/>
      <c r="FP2" s="35"/>
      <c r="FQ2" s="35"/>
      <c r="FR2" s="35"/>
      <c r="FS2" s="35"/>
      <c r="FT2" s="35"/>
      <c r="FU2" s="35"/>
      <c r="FV2" s="35"/>
      <c r="FW2" s="35"/>
      <c r="FX2" s="35"/>
      <c r="FY2" s="35"/>
      <c r="FZ2" s="35"/>
      <c r="GA2" s="35"/>
      <c r="GB2" s="35"/>
      <c r="GC2" s="35"/>
      <c r="GD2" s="35"/>
      <c r="GE2" s="35"/>
      <c r="GF2" s="35"/>
      <c r="GG2" s="35"/>
      <c r="GH2" s="35"/>
      <c r="GI2" s="35"/>
      <c r="GJ2" s="35"/>
      <c r="GK2" s="35"/>
      <c r="GL2" s="35"/>
      <c r="GM2" s="35"/>
      <c r="GN2" s="35"/>
      <c r="GO2" s="35"/>
      <c r="GP2" s="35"/>
      <c r="GQ2" s="35"/>
      <c r="GR2" s="35"/>
      <c r="GS2" s="35"/>
      <c r="GT2" s="35"/>
      <c r="GU2" s="35"/>
      <c r="GV2" s="35"/>
      <c r="GW2" s="35"/>
      <c r="GX2" s="35"/>
      <c r="GY2" s="35"/>
      <c r="GZ2" s="35"/>
      <c r="HA2" s="35"/>
      <c r="HB2" s="35"/>
      <c r="HC2" s="35"/>
      <c r="HD2" s="35"/>
      <c r="HE2" s="35"/>
      <c r="HF2" s="35"/>
      <c r="HG2" s="35"/>
      <c r="HH2" s="35"/>
      <c r="HI2" s="35"/>
      <c r="HJ2" s="35"/>
      <c r="HK2" s="35"/>
      <c r="HL2" s="35"/>
      <c r="HM2" s="35"/>
      <c r="HN2" s="35"/>
      <c r="HO2" s="35"/>
      <c r="HP2" s="35"/>
      <c r="HQ2" s="35"/>
      <c r="HR2" s="35"/>
      <c r="HS2" s="35"/>
      <c r="HT2" s="35"/>
      <c r="HU2" s="35"/>
      <c r="HV2" s="35"/>
      <c r="HW2" s="35"/>
      <c r="HX2" s="35"/>
      <c r="HY2" s="35"/>
      <c r="HZ2" s="35"/>
      <c r="IA2" s="35"/>
      <c r="IB2" s="35"/>
      <c r="IC2" s="35"/>
      <c r="ID2" s="35"/>
      <c r="IE2" s="35"/>
      <c r="IF2" s="35"/>
      <c r="IG2" s="35"/>
      <c r="IH2" s="35"/>
      <c r="II2" s="35"/>
      <c r="IJ2" s="35"/>
      <c r="IK2" s="35"/>
      <c r="IL2" s="35"/>
      <c r="IM2" s="35"/>
      <c r="IN2" s="35"/>
      <c r="IO2" s="35"/>
      <c r="IP2" s="35"/>
      <c r="IQ2" s="35"/>
      <c r="IR2" s="35"/>
      <c r="IS2" s="35"/>
      <c r="IT2" s="35"/>
      <c r="IU2" s="35"/>
      <c r="IV2" s="35"/>
      <c r="IW2" s="35"/>
      <c r="IX2" s="35"/>
      <c r="IY2" s="35"/>
      <c r="IZ2" s="35"/>
      <c r="JA2" s="35"/>
      <c r="JB2" s="35"/>
      <c r="JC2" s="35"/>
      <c r="JD2" s="35"/>
      <c r="JE2" s="35"/>
      <c r="JF2" s="35"/>
      <c r="JG2" s="35"/>
      <c r="JH2" s="35"/>
      <c r="JI2" s="35"/>
      <c r="JJ2" s="35"/>
      <c r="JK2" s="35"/>
      <c r="JL2" s="35"/>
      <c r="JM2" s="35"/>
      <c r="JN2" s="35"/>
      <c r="JO2" s="35"/>
      <c r="JP2" s="35"/>
      <c r="JQ2" s="35"/>
      <c r="JR2" s="35"/>
      <c r="JS2" s="35"/>
      <c r="JT2" s="35"/>
      <c r="JU2" s="35"/>
      <c r="JV2" s="35"/>
      <c r="JW2" s="35"/>
      <c r="JX2" s="35"/>
      <c r="JY2" s="35"/>
      <c r="JZ2" s="35"/>
      <c r="KA2" s="35"/>
      <c r="KB2" s="35"/>
      <c r="KC2" s="35"/>
      <c r="KD2" s="35"/>
      <c r="KE2" s="35"/>
      <c r="KF2" s="35"/>
      <c r="KG2" s="35"/>
      <c r="KH2" s="35"/>
      <c r="KI2" s="35"/>
      <c r="KJ2" s="35"/>
      <c r="KK2" s="35"/>
      <c r="KL2" s="35"/>
      <c r="KM2" s="35"/>
      <c r="KN2" s="35"/>
      <c r="KO2" s="35"/>
      <c r="KP2" s="35"/>
      <c r="KQ2" s="35"/>
      <c r="KR2" s="35"/>
      <c r="KS2" s="35"/>
      <c r="KT2" s="35"/>
      <c r="KU2" s="35"/>
      <c r="KV2" s="35"/>
      <c r="KW2" s="35"/>
      <c r="KX2" s="35"/>
      <c r="KY2" s="35"/>
      <c r="KZ2" s="35"/>
      <c r="LA2" s="35"/>
      <c r="LB2" s="35"/>
      <c r="LC2" s="35"/>
      <c r="LD2" s="35"/>
      <c r="LE2" s="35"/>
      <c r="LF2" s="35"/>
      <c r="LG2" s="35"/>
      <c r="LH2" s="35"/>
      <c r="LI2" s="35"/>
      <c r="LJ2" s="35"/>
      <c r="LK2" s="35"/>
      <c r="LL2" s="35"/>
      <c r="LM2" s="35"/>
      <c r="LN2" s="35"/>
      <c r="LO2" s="35"/>
      <c r="LP2" s="35"/>
      <c r="LQ2" s="35"/>
      <c r="LR2" s="35"/>
      <c r="LS2" s="35"/>
      <c r="LT2" s="35"/>
      <c r="LU2" s="35"/>
      <c r="LV2" s="35"/>
      <c r="LW2" s="35"/>
      <c r="LX2" s="35"/>
      <c r="LY2" s="35"/>
      <c r="LZ2" s="35"/>
      <c r="MA2" s="35"/>
      <c r="MB2" s="35"/>
      <c r="MC2" s="35"/>
      <c r="MD2" s="35"/>
      <c r="ME2" s="35"/>
      <c r="MF2" s="35"/>
      <c r="MG2" s="35"/>
      <c r="MH2" s="35"/>
      <c r="MI2" s="35"/>
      <c r="MJ2" s="35"/>
      <c r="MK2" s="35"/>
      <c r="ML2" s="35"/>
      <c r="MM2" s="35"/>
      <c r="MN2" s="35"/>
      <c r="MO2" s="35"/>
      <c r="MP2" s="35"/>
      <c r="MQ2" s="35"/>
      <c r="MR2" s="35"/>
      <c r="MS2" s="35"/>
      <c r="MT2" s="35"/>
      <c r="MU2" s="35"/>
      <c r="MV2" s="35"/>
      <c r="MW2" s="35"/>
      <c r="MX2" s="35"/>
      <c r="MY2" s="35"/>
      <c r="MZ2" s="35"/>
      <c r="NA2" s="35"/>
      <c r="NB2" s="35"/>
      <c r="NC2" s="35"/>
      <c r="ND2" s="35"/>
      <c r="NE2" s="35"/>
      <c r="NF2" s="35"/>
      <c r="NG2" s="35"/>
      <c r="NH2" s="35"/>
      <c r="NI2" s="35"/>
      <c r="NJ2" s="35"/>
      <c r="NK2" s="35"/>
      <c r="NL2" s="35"/>
      <c r="NM2" s="35"/>
      <c r="NN2" s="35"/>
      <c r="NO2" s="35"/>
      <c r="NP2" s="35"/>
      <c r="NQ2" s="35"/>
      <c r="NR2" s="35"/>
      <c r="NS2" s="35"/>
      <c r="NT2" s="35"/>
      <c r="NU2" s="35"/>
      <c r="NV2" s="35"/>
      <c r="NW2" s="35"/>
      <c r="NX2" s="35"/>
      <c r="NY2" s="35"/>
      <c r="NZ2" s="35"/>
      <c r="OA2" s="35"/>
      <c r="OB2" s="35"/>
      <c r="OC2" s="35"/>
      <c r="OD2" s="35"/>
      <c r="OE2" s="35"/>
      <c r="OF2" s="35"/>
      <c r="OG2" s="35"/>
      <c r="OH2" s="35"/>
      <c r="OI2" s="35"/>
      <c r="OJ2" s="35"/>
      <c r="OK2" s="35"/>
      <c r="OL2" s="35"/>
      <c r="OM2" s="35"/>
      <c r="ON2" s="35"/>
      <c r="OO2" s="35"/>
      <c r="OP2" s="35"/>
      <c r="OQ2" s="35"/>
      <c r="OR2" s="35"/>
      <c r="OS2" s="35"/>
      <c r="OT2" s="35"/>
      <c r="OU2" s="35"/>
      <c r="OV2" s="35"/>
      <c r="OW2" s="35"/>
      <c r="OX2" s="35"/>
      <c r="OY2" s="35"/>
      <c r="OZ2" s="35"/>
      <c r="PA2" s="35"/>
      <c r="PB2" s="35"/>
      <c r="PC2" s="35"/>
      <c r="PD2" s="35"/>
      <c r="PE2" s="35"/>
      <c r="PF2" s="35"/>
      <c r="PG2" s="35"/>
      <c r="PH2" s="35"/>
      <c r="PI2" s="35"/>
      <c r="PJ2" s="35"/>
      <c r="PK2" s="35"/>
      <c r="PL2" s="35"/>
      <c r="PM2" s="35"/>
      <c r="PN2" s="35"/>
      <c r="PO2" s="35"/>
      <c r="PP2" s="35"/>
      <c r="PQ2" s="35"/>
      <c r="PR2" s="35"/>
      <c r="PS2" s="35"/>
      <c r="PT2" s="35"/>
      <c r="PU2" s="35"/>
      <c r="PV2" s="35"/>
      <c r="PW2" s="35"/>
      <c r="PX2" s="35"/>
      <c r="PY2" s="35"/>
      <c r="PZ2" s="35"/>
      <c r="QA2" s="35"/>
      <c r="QB2" s="35"/>
      <c r="QC2" s="35"/>
      <c r="QD2" s="35"/>
      <c r="QE2" s="35"/>
      <c r="QF2" s="35"/>
      <c r="QG2" s="35"/>
      <c r="QH2" s="35"/>
      <c r="QI2" s="35"/>
      <c r="QJ2" s="35"/>
      <c r="QK2" s="35"/>
      <c r="QL2" s="35"/>
      <c r="QM2" s="35"/>
      <c r="QN2" s="35"/>
      <c r="QO2" s="35"/>
      <c r="QP2" s="35"/>
      <c r="QQ2" s="35"/>
      <c r="QR2" s="35"/>
      <c r="QS2" s="35"/>
      <c r="QT2" s="35"/>
      <c r="QU2" s="35"/>
      <c r="QV2" s="35"/>
      <c r="QW2" s="35"/>
      <c r="QX2" s="35"/>
      <c r="QY2" s="35"/>
      <c r="QZ2" s="35"/>
      <c r="RA2" s="35"/>
      <c r="RB2" s="35"/>
      <c r="RC2" s="35"/>
      <c r="RD2" s="35"/>
      <c r="RE2" s="35"/>
      <c r="RF2" s="35"/>
      <c r="RG2" s="35"/>
      <c r="RH2" s="35"/>
      <c r="RI2" s="35"/>
      <c r="RJ2" s="35"/>
      <c r="RK2" s="35"/>
      <c r="RL2" s="35"/>
      <c r="RM2" s="35"/>
      <c r="RN2" s="35"/>
      <c r="RO2" s="35"/>
      <c r="RP2" s="35"/>
      <c r="RQ2" s="35"/>
      <c r="RR2" s="35"/>
      <c r="RS2" s="35"/>
      <c r="RT2" s="35"/>
      <c r="RU2" s="35"/>
      <c r="RV2" s="35"/>
      <c r="RW2" s="35"/>
      <c r="RX2" s="35"/>
      <c r="RY2" s="35"/>
      <c r="RZ2" s="35"/>
      <c r="SA2" s="35"/>
      <c r="SB2" s="35"/>
      <c r="SC2" s="35"/>
      <c r="SD2" s="35"/>
      <c r="SE2" s="35"/>
      <c r="SF2" s="35"/>
      <c r="SG2" s="35"/>
      <c r="SH2" s="35"/>
      <c r="SI2" s="35"/>
      <c r="SJ2" s="35"/>
      <c r="SK2" s="35"/>
      <c r="SL2" s="35"/>
      <c r="SM2" s="35"/>
      <c r="SN2" s="35"/>
      <c r="SO2" s="35"/>
      <c r="SP2" s="35"/>
      <c r="SQ2" s="35"/>
      <c r="SR2" s="35"/>
      <c r="SS2" s="35"/>
      <c r="ST2" s="35"/>
      <c r="SU2" s="35"/>
      <c r="SV2" s="35"/>
      <c r="SW2" s="35"/>
      <c r="SX2" s="35"/>
      <c r="SY2" s="35"/>
      <c r="SZ2" s="35"/>
      <c r="TA2" s="35"/>
      <c r="TB2" s="35"/>
      <c r="TC2" s="35"/>
      <c r="TD2" s="35"/>
      <c r="TE2" s="35"/>
      <c r="TF2" s="35"/>
      <c r="TG2" s="35"/>
      <c r="TH2" s="35"/>
      <c r="TI2" s="35"/>
      <c r="TJ2" s="35"/>
      <c r="TK2" s="35"/>
      <c r="TL2" s="35"/>
      <c r="TM2" s="35"/>
      <c r="TN2" s="35"/>
      <c r="TO2" s="35"/>
      <c r="TP2" s="35"/>
      <c r="TQ2" s="35"/>
      <c r="TR2" s="35"/>
      <c r="TS2" s="35"/>
      <c r="TT2" s="35"/>
      <c r="TU2" s="35"/>
      <c r="TV2" s="35"/>
      <c r="TW2" s="35"/>
      <c r="TX2" s="35"/>
      <c r="TY2" s="35"/>
      <c r="TZ2" s="35"/>
      <c r="UA2" s="35"/>
      <c r="UB2" s="35"/>
      <c r="UC2" s="35"/>
      <c r="UD2" s="35"/>
      <c r="UE2" s="35"/>
      <c r="UF2" s="35"/>
      <c r="UG2" s="35"/>
      <c r="UH2" s="35"/>
      <c r="UI2" s="35"/>
      <c r="UJ2" s="35"/>
      <c r="UK2" s="35"/>
      <c r="UL2" s="35"/>
      <c r="UM2" s="35"/>
      <c r="UN2" s="35"/>
      <c r="UO2" s="35"/>
      <c r="UP2" s="35"/>
      <c r="UQ2" s="35"/>
      <c r="UR2" s="35"/>
      <c r="US2" s="35"/>
      <c r="UT2" s="35"/>
      <c r="UU2" s="35"/>
      <c r="UV2" s="35"/>
      <c r="UW2" s="35"/>
      <c r="UX2" s="35"/>
      <c r="UY2" s="35"/>
      <c r="UZ2" s="35"/>
      <c r="VA2" s="35"/>
      <c r="VB2" s="35"/>
      <c r="VC2" s="35"/>
      <c r="VD2" s="35"/>
      <c r="VE2" s="35"/>
      <c r="VF2" s="35"/>
      <c r="VG2" s="35"/>
      <c r="VH2" s="35"/>
      <c r="VI2" s="35"/>
      <c r="VJ2" s="35"/>
      <c r="VK2" s="35"/>
      <c r="VL2" s="35"/>
      <c r="VM2" s="35"/>
      <c r="VN2" s="35"/>
      <c r="VO2" s="35"/>
      <c r="VP2" s="35"/>
      <c r="VQ2" s="35"/>
      <c r="VR2" s="35"/>
      <c r="VS2" s="35"/>
      <c r="VT2" s="35"/>
      <c r="VU2" s="35"/>
      <c r="VV2" s="35"/>
      <c r="VW2" s="35"/>
      <c r="VX2" s="35"/>
      <c r="VY2" s="35"/>
      <c r="VZ2" s="35"/>
      <c r="WA2" s="35"/>
      <c r="WB2" s="35"/>
      <c r="WC2" s="35"/>
      <c r="WD2" s="35"/>
      <c r="WE2" s="35"/>
      <c r="WF2" s="35"/>
      <c r="WG2" s="35"/>
      <c r="WH2" s="35"/>
      <c r="WI2" s="35"/>
      <c r="WJ2" s="35"/>
      <c r="WK2" s="35"/>
      <c r="WL2" s="35"/>
      <c r="WM2" s="35"/>
      <c r="WN2" s="35"/>
      <c r="WO2" s="35"/>
      <c r="WP2" s="35"/>
      <c r="WQ2" s="35"/>
      <c r="WR2" s="35"/>
      <c r="WS2" s="35"/>
      <c r="WT2" s="35"/>
      <c r="WU2" s="35"/>
      <c r="WV2" s="35"/>
      <c r="WW2" s="35"/>
      <c r="WX2" s="35"/>
      <c r="WY2" s="35"/>
      <c r="WZ2" s="35"/>
      <c r="XA2" s="35"/>
      <c r="XB2" s="35"/>
      <c r="XC2" s="35"/>
      <c r="XD2" s="35"/>
      <c r="XE2" s="35"/>
      <c r="XF2" s="35"/>
      <c r="XG2" s="35"/>
      <c r="XH2" s="35"/>
      <c r="XI2" s="35"/>
      <c r="XJ2" s="35"/>
      <c r="XK2" s="35"/>
      <c r="XL2" s="35"/>
      <c r="XM2" s="35"/>
      <c r="XN2" s="35"/>
      <c r="XO2" s="35"/>
      <c r="XP2" s="35"/>
      <c r="XQ2" s="35"/>
      <c r="XR2" s="35"/>
      <c r="XS2" s="35"/>
      <c r="XT2" s="35"/>
      <c r="XU2" s="35"/>
      <c r="XV2" s="35"/>
      <c r="XW2" s="35"/>
      <c r="XX2" s="35"/>
      <c r="XY2" s="35"/>
      <c r="XZ2" s="35"/>
      <c r="YA2" s="35"/>
      <c r="YB2" s="35"/>
      <c r="YC2" s="35"/>
      <c r="YD2" s="35"/>
      <c r="YE2" s="35"/>
      <c r="YF2" s="35"/>
      <c r="YG2" s="35"/>
      <c r="YH2" s="35"/>
      <c r="YI2" s="35"/>
      <c r="YJ2" s="35"/>
      <c r="YK2" s="35"/>
      <c r="YL2" s="35"/>
      <c r="YM2" s="35"/>
      <c r="YN2" s="35"/>
      <c r="YO2" s="35"/>
      <c r="YP2" s="35"/>
      <c r="YQ2" s="35"/>
      <c r="YR2" s="35"/>
      <c r="YS2" s="35"/>
      <c r="YT2" s="35"/>
      <c r="YU2" s="35"/>
      <c r="YV2" s="35"/>
      <c r="YW2" s="35"/>
      <c r="YX2" s="35"/>
      <c r="YY2" s="35"/>
      <c r="YZ2" s="35"/>
      <c r="ZA2" s="35"/>
      <c r="ZB2" s="35"/>
      <c r="ZC2" s="35"/>
      <c r="ZD2" s="35"/>
      <c r="ZE2" s="35"/>
      <c r="ZF2" s="35"/>
      <c r="ZG2" s="35"/>
      <c r="ZH2" s="35"/>
      <c r="ZI2" s="35"/>
      <c r="ZJ2" s="35"/>
      <c r="ZK2" s="35"/>
      <c r="ZL2" s="35"/>
      <c r="ZM2" s="35"/>
      <c r="ZN2" s="35"/>
      <c r="ZO2" s="35"/>
      <c r="ZP2" s="35"/>
      <c r="ZQ2" s="35"/>
      <c r="ZR2" s="35"/>
      <c r="ZS2" s="35"/>
      <c r="ZT2" s="35"/>
      <c r="ZU2" s="35"/>
      <c r="ZV2" s="35"/>
      <c r="ZW2" s="35"/>
      <c r="ZX2" s="35"/>
      <c r="ZY2" s="35"/>
      <c r="ZZ2" s="35"/>
      <c r="AAA2" s="35"/>
      <c r="AAB2" s="35"/>
      <c r="AAC2" s="35"/>
      <c r="AAD2" s="35"/>
      <c r="AAE2" s="35"/>
      <c r="AAF2" s="35"/>
      <c r="AAG2" s="35"/>
      <c r="AAH2" s="35"/>
      <c r="AAI2" s="35"/>
      <c r="AAJ2" s="35"/>
      <c r="AAK2" s="35"/>
      <c r="AAL2" s="35"/>
      <c r="AAM2" s="35"/>
      <c r="AAN2" s="35"/>
      <c r="AAO2" s="35"/>
      <c r="AAP2" s="35"/>
      <c r="AAQ2" s="35"/>
      <c r="AAR2" s="35"/>
      <c r="AAS2" s="35"/>
      <c r="AAT2" s="35"/>
      <c r="AAU2" s="35"/>
      <c r="AAV2" s="35"/>
      <c r="AAW2" s="35"/>
      <c r="AAX2" s="35"/>
      <c r="AAY2" s="35"/>
      <c r="AAZ2" s="35"/>
      <c r="ABA2" s="35"/>
      <c r="ABB2" s="35"/>
      <c r="ABC2" s="35"/>
      <c r="ABD2" s="35"/>
      <c r="ABE2" s="35"/>
      <c r="ABF2" s="35"/>
      <c r="ABG2" s="35"/>
      <c r="ABH2" s="35"/>
      <c r="ABI2" s="35"/>
      <c r="ABJ2" s="35"/>
      <c r="ABK2" s="35"/>
      <c r="ABL2" s="35"/>
      <c r="ABM2" s="35"/>
      <c r="ABN2" s="35"/>
      <c r="ABO2" s="35"/>
      <c r="ABP2" s="35"/>
      <c r="ABQ2" s="35"/>
      <c r="ABR2" s="35"/>
      <c r="ABS2" s="35"/>
      <c r="ABT2" s="35"/>
      <c r="ABU2" s="35"/>
      <c r="ABV2" s="35"/>
      <c r="ABW2" s="35"/>
      <c r="ABX2" s="35"/>
      <c r="ABY2" s="35"/>
      <c r="ABZ2" s="35"/>
      <c r="ACA2" s="35"/>
      <c r="ACB2" s="35"/>
      <c r="ACC2" s="35"/>
      <c r="ACD2" s="35"/>
      <c r="ACE2" s="35"/>
      <c r="ACF2" s="35"/>
      <c r="ACG2" s="35"/>
      <c r="ACH2" s="35"/>
      <c r="ACI2" s="35"/>
      <c r="ACJ2" s="35"/>
      <c r="ACK2" s="35"/>
      <c r="ACL2" s="35"/>
      <c r="ACM2" s="35"/>
      <c r="ACN2" s="35"/>
      <c r="ACO2" s="35"/>
      <c r="ACP2" s="35"/>
      <c r="ACQ2" s="35"/>
      <c r="ACR2" s="35"/>
      <c r="ACS2" s="35"/>
      <c r="ACT2" s="35"/>
      <c r="ACU2" s="35"/>
      <c r="ACV2" s="35"/>
      <c r="ACW2" s="35"/>
      <c r="ACX2" s="35"/>
      <c r="ACY2" s="35"/>
      <c r="ACZ2" s="35"/>
      <c r="ADA2" s="35"/>
      <c r="ADB2" s="35"/>
      <c r="ADC2" s="35"/>
      <c r="ADD2" s="35"/>
      <c r="ADE2" s="35"/>
      <c r="ADF2" s="35"/>
      <c r="ADG2" s="35"/>
      <c r="ADH2" s="35"/>
      <c r="ADI2" s="35"/>
      <c r="ADJ2" s="35"/>
      <c r="ADK2" s="35"/>
      <c r="ADL2" s="35"/>
      <c r="ADM2" s="35"/>
      <c r="ADN2" s="35"/>
      <c r="ADO2" s="35"/>
      <c r="ADP2" s="35"/>
      <c r="ADQ2" s="35"/>
      <c r="ADR2" s="35"/>
      <c r="ADS2" s="35"/>
      <c r="ADT2" s="35"/>
      <c r="ADU2" s="35"/>
      <c r="ADV2" s="35"/>
      <c r="ADW2" s="35"/>
      <c r="ADX2" s="35"/>
      <c r="ADY2" s="35"/>
      <c r="ADZ2" s="35"/>
      <c r="AEA2" s="35"/>
      <c r="AEB2" s="35"/>
      <c r="AEC2" s="35"/>
      <c r="AED2" s="35"/>
      <c r="AEE2" s="35"/>
      <c r="AEF2" s="35"/>
      <c r="AEG2" s="35"/>
      <c r="AEH2" s="35"/>
      <c r="AEI2" s="35"/>
      <c r="AEJ2" s="35"/>
      <c r="AEK2" s="35"/>
      <c r="AEL2" s="35"/>
      <c r="AEM2" s="35"/>
      <c r="AEN2" s="35"/>
      <c r="AEO2" s="35"/>
      <c r="AEP2" s="35"/>
      <c r="AEQ2" s="35"/>
      <c r="AER2" s="35"/>
      <c r="AES2" s="35"/>
      <c r="AET2" s="35"/>
      <c r="AEU2" s="35"/>
      <c r="AEV2" s="35"/>
      <c r="AEW2" s="35"/>
      <c r="AEX2" s="35"/>
      <c r="AEY2" s="35"/>
      <c r="AEZ2" s="35"/>
      <c r="AFA2" s="35"/>
      <c r="AFB2" s="35"/>
      <c r="AFC2" s="35"/>
      <c r="AFD2" s="35"/>
      <c r="AFE2" s="35"/>
      <c r="AFF2" s="35"/>
      <c r="AFG2" s="35"/>
      <c r="AFH2" s="35"/>
      <c r="AFI2" s="35"/>
      <c r="AFJ2" s="35"/>
      <c r="AFK2" s="35"/>
      <c r="AFL2" s="35"/>
      <c r="AFM2" s="35"/>
      <c r="AFN2" s="35"/>
      <c r="AFO2" s="35"/>
      <c r="AFP2" s="35"/>
      <c r="AFQ2" s="35"/>
      <c r="AFR2" s="35"/>
      <c r="AFS2" s="35"/>
      <c r="AFT2" s="35"/>
      <c r="AFU2" s="35"/>
      <c r="AFV2" s="35"/>
      <c r="AFW2" s="35"/>
      <c r="AFX2" s="35"/>
      <c r="AFY2" s="35"/>
      <c r="AFZ2" s="35"/>
      <c r="AGA2" s="35"/>
      <c r="AGB2" s="35"/>
      <c r="AGC2" s="35"/>
      <c r="AGD2" s="35"/>
      <c r="AGE2" s="35"/>
      <c r="AGF2" s="35"/>
      <c r="AGG2" s="35"/>
      <c r="AGH2" s="35"/>
      <c r="AGI2" s="35"/>
      <c r="AGJ2" s="35"/>
      <c r="AGK2" s="35"/>
      <c r="AGL2" s="35"/>
      <c r="AGM2" s="35"/>
      <c r="AGN2" s="35"/>
      <c r="AGO2" s="35"/>
      <c r="AGP2" s="35"/>
      <c r="AGQ2" s="35"/>
      <c r="AGR2" s="35"/>
      <c r="AGS2" s="35"/>
      <c r="AGT2" s="35"/>
      <c r="AGU2" s="35"/>
      <c r="AGV2" s="35"/>
      <c r="AGW2" s="35"/>
      <c r="AGX2" s="35"/>
      <c r="AGY2" s="35"/>
      <c r="AGZ2" s="35"/>
      <c r="AHA2" s="35"/>
      <c r="AHB2" s="35"/>
      <c r="AHC2" s="35"/>
      <c r="AHD2" s="35"/>
      <c r="AHE2" s="35"/>
      <c r="AHF2" s="35"/>
      <c r="AHG2" s="35"/>
      <c r="AHH2" s="35"/>
      <c r="AHI2" s="35"/>
      <c r="AHJ2" s="35"/>
      <c r="AHK2" s="35"/>
      <c r="AHL2" s="35"/>
      <c r="AHM2" s="35"/>
      <c r="AHN2" s="35"/>
      <c r="AHO2" s="35"/>
      <c r="AHP2" s="35"/>
      <c r="AHQ2" s="35"/>
      <c r="AHR2" s="35"/>
      <c r="AHS2" s="35"/>
      <c r="AHT2" s="35"/>
      <c r="AHU2" s="35"/>
      <c r="AHV2" s="35"/>
      <c r="AHW2" s="35"/>
      <c r="AHX2" s="35"/>
      <c r="AHY2" s="35"/>
      <c r="AHZ2" s="35"/>
      <c r="AIA2" s="35"/>
      <c r="AIB2" s="35"/>
      <c r="AIC2" s="35"/>
      <c r="AID2" s="35"/>
      <c r="AIE2" s="35"/>
      <c r="AIF2" s="35"/>
      <c r="AIG2" s="35"/>
      <c r="AIH2" s="35"/>
      <c r="AII2" s="35"/>
      <c r="AIJ2" s="35"/>
      <c r="AIK2" s="35"/>
      <c r="AIL2" s="35"/>
      <c r="AIM2" s="35"/>
      <c r="AIN2" s="35"/>
      <c r="AIO2" s="35"/>
      <c r="AIP2" s="35"/>
      <c r="AIQ2" s="35"/>
      <c r="AIR2" s="35"/>
      <c r="AIS2" s="35"/>
      <c r="AIT2" s="35"/>
      <c r="AIU2" s="35"/>
      <c r="AIV2" s="35"/>
      <c r="AIW2" s="35"/>
      <c r="AIX2" s="35"/>
      <c r="AIY2" s="35"/>
      <c r="AIZ2" s="35"/>
      <c r="AJA2" s="35"/>
      <c r="AJB2" s="35"/>
      <c r="AJC2" s="35"/>
      <c r="AJD2" s="35"/>
      <c r="AJE2" s="35"/>
      <c r="AJF2" s="35"/>
      <c r="AJG2" s="35"/>
      <c r="AJH2" s="35"/>
      <c r="AJI2" s="35"/>
      <c r="AJJ2" s="35"/>
      <c r="AJK2" s="35"/>
      <c r="AJL2" s="35"/>
      <c r="AJM2" s="35"/>
      <c r="AJN2" s="35"/>
      <c r="AJO2" s="35"/>
      <c r="AJP2" s="35"/>
      <c r="AJQ2" s="35"/>
      <c r="AJR2" s="35"/>
      <c r="AJS2" s="35"/>
      <c r="AJT2" s="35"/>
      <c r="AJU2" s="35"/>
      <c r="AJV2" s="35"/>
      <c r="AJW2" s="35"/>
      <c r="AJX2" s="35"/>
      <c r="AJY2" s="35"/>
      <c r="AJZ2" s="35"/>
      <c r="AKA2" s="35"/>
      <c r="AKB2" s="35"/>
      <c r="AKC2" s="35"/>
      <c r="AKD2" s="35"/>
      <c r="AKE2" s="35"/>
      <c r="AKF2" s="35"/>
      <c r="AKG2" s="35"/>
      <c r="AKH2" s="35"/>
      <c r="AKI2" s="35"/>
      <c r="AKJ2" s="35"/>
      <c r="AKK2" s="35"/>
      <c r="AKL2" s="35"/>
      <c r="AKM2" s="35"/>
      <c r="AKN2" s="35"/>
      <c r="AKO2" s="35"/>
      <c r="AKP2" s="35"/>
      <c r="AKQ2" s="35"/>
      <c r="AKR2" s="35"/>
      <c r="AKS2" s="35"/>
      <c r="AKT2" s="35"/>
      <c r="AKU2" s="35"/>
      <c r="AKV2" s="35"/>
      <c r="AKW2" s="35"/>
      <c r="AKX2" s="35"/>
      <c r="AKY2" s="35"/>
      <c r="AKZ2" s="35"/>
      <c r="ALA2" s="35"/>
      <c r="ALB2" s="35"/>
      <c r="ALC2" s="35"/>
      <c r="ALD2" s="35"/>
      <c r="ALE2" s="35"/>
      <c r="ALF2" s="35"/>
      <c r="ALG2" s="35"/>
      <c r="ALH2" s="35"/>
      <c r="ALI2" s="35"/>
      <c r="ALJ2" s="35"/>
      <c r="ALK2" s="35"/>
      <c r="ALL2" s="35"/>
      <c r="ALM2" s="35"/>
      <c r="ALN2" s="35"/>
      <c r="ALO2" s="35"/>
      <c r="ALP2" s="35"/>
      <c r="ALQ2" s="35"/>
      <c r="ALR2" s="35"/>
      <c r="ALS2" s="35"/>
      <c r="ALT2" s="1"/>
      <c r="ALU2" s="1"/>
      <c r="ALV2" s="1"/>
      <c r="ALW2" s="1"/>
      <c r="ALX2" s="1"/>
      <c r="ALY2" s="1"/>
      <c r="ALZ2" s="1"/>
      <c r="AMA2" s="1"/>
      <c r="AMB2" s="1"/>
      <c r="AMC2" s="1"/>
      <c r="AMD2" s="1"/>
    </row>
    <row r="3" customFormat="false" ht="12.8" hidden="false" customHeight="false" outlineLevel="0" collapsed="false">
      <c r="A3" s="43" t="s">
        <v>414</v>
      </c>
      <c r="B3" s="45" t="s">
        <v>439</v>
      </c>
      <c r="C3" s="48" t="s">
        <v>440</v>
      </c>
      <c r="D3" s="48" t="s">
        <v>601</v>
      </c>
      <c r="E3" s="48" t="s">
        <v>706</v>
      </c>
      <c r="F3" s="123" t="s">
        <v>561</v>
      </c>
      <c r="G3" s="43" t="s">
        <v>442</v>
      </c>
      <c r="H3" s="45" t="s">
        <v>851</v>
      </c>
      <c r="I3" s="48" t="s">
        <v>454</v>
      </c>
    </row>
    <row r="4" customFormat="false" ht="9.7" hidden="false" customHeight="true" outlineLevel="0" collapsed="false">
      <c r="A4" s="39" t="str">
        <f aca="false">A3</f>
        <v>A</v>
      </c>
      <c r="B4" s="51" t="str">
        <f aca="false">B3</f>
        <v>Status</v>
      </c>
      <c r="C4" s="52" t="str">
        <f aca="false">C3</f>
        <v>Name</v>
      </c>
      <c r="D4" s="52" t="str">
        <f aca="false">D3</f>
        <v>Overview</v>
      </c>
      <c r="E4" s="52" t="str">
        <f aca="false">E3</f>
        <v>Link</v>
      </c>
      <c r="F4" s="52" t="str">
        <f aca="false">F3</f>
        <v>Reference</v>
      </c>
      <c r="G4" s="39" t="str">
        <f aca="false">F3</f>
        <v>Reference</v>
      </c>
      <c r="H4" s="51" t="str">
        <f aca="false">H3</f>
        <v>ID</v>
      </c>
      <c r="I4" s="52" t="str">
        <f aca="false">I3</f>
        <v>Z</v>
      </c>
    </row>
    <row r="5" customFormat="false" ht="12.8" hidden="false" customHeight="false" outlineLevel="0" collapsed="false">
      <c r="A5" s="54"/>
      <c r="B5" s="60"/>
      <c r="C5" s="64"/>
      <c r="D5" s="64"/>
      <c r="E5" s="64"/>
      <c r="F5" s="63" t="s">
        <v>25</v>
      </c>
      <c r="G5" s="54" t="s">
        <v>25</v>
      </c>
      <c r="H5" s="126"/>
      <c r="I5" s="64" t="s">
        <v>364</v>
      </c>
    </row>
    <row r="6" customFormat="false" ht="12.8" hidden="false" customHeight="false" outlineLevel="0" collapsed="false">
      <c r="A6" s="54"/>
      <c r="B6" s="60"/>
      <c r="C6" s="64"/>
      <c r="D6" s="64"/>
      <c r="E6" s="64"/>
      <c r="F6" s="63" t="s">
        <v>25</v>
      </c>
      <c r="G6" s="54" t="s">
        <v>25</v>
      </c>
      <c r="H6" s="126"/>
      <c r="I6" s="64" t="s">
        <v>364</v>
      </c>
    </row>
    <row r="7" customFormat="false" ht="12.8" hidden="false" customHeight="false" outlineLevel="0" collapsed="false">
      <c r="A7" s="54"/>
      <c r="B7" s="60"/>
      <c r="C7" s="64"/>
      <c r="D7" s="64"/>
      <c r="E7" s="64"/>
      <c r="F7" s="63"/>
      <c r="G7" s="54"/>
      <c r="H7" s="126"/>
      <c r="I7" s="64" t="s">
        <v>364</v>
      </c>
    </row>
    <row r="8" customFormat="false" ht="12.8" hidden="false" customHeight="false" outlineLevel="0" collapsed="false">
      <c r="A8" s="54"/>
      <c r="B8" s="60"/>
      <c r="C8" s="64"/>
      <c r="D8" s="64"/>
      <c r="E8" s="64"/>
      <c r="F8" s="63"/>
      <c r="G8" s="54"/>
      <c r="H8" s="126"/>
      <c r="I8" s="64" t="s">
        <v>364</v>
      </c>
    </row>
    <row r="9" customFormat="false" ht="12.8" hidden="false" customHeight="false" outlineLevel="0" collapsed="false">
      <c r="A9" s="54"/>
      <c r="B9" s="60"/>
      <c r="C9" s="64"/>
      <c r="D9" s="64"/>
      <c r="E9" s="64"/>
      <c r="F9" s="63"/>
      <c r="G9" s="54"/>
      <c r="H9" s="126"/>
      <c r="I9" s="64" t="s">
        <v>364</v>
      </c>
    </row>
    <row r="10" customFormat="false" ht="12.8" hidden="false" customHeight="false" outlineLevel="0" collapsed="false">
      <c r="A10" s="54"/>
      <c r="B10" s="60"/>
      <c r="C10" s="64"/>
      <c r="D10" s="64"/>
      <c r="E10" s="64"/>
      <c r="F10" s="63"/>
      <c r="G10" s="54"/>
      <c r="H10" s="126"/>
      <c r="I10" s="64" t="s">
        <v>364</v>
      </c>
    </row>
    <row r="11" customFormat="false" ht="12.8" hidden="false" customHeight="false" outlineLevel="0" collapsed="false">
      <c r="A11" s="54"/>
      <c r="B11" s="60"/>
      <c r="C11" s="64"/>
      <c r="D11" s="64"/>
      <c r="E11" s="64"/>
      <c r="F11" s="63"/>
      <c r="G11" s="54"/>
      <c r="H11" s="126"/>
      <c r="I11" s="64" t="s">
        <v>364</v>
      </c>
    </row>
    <row r="12" customFormat="false" ht="12.8" hidden="false" customHeight="false" outlineLevel="0" collapsed="false">
      <c r="A12" s="54"/>
      <c r="B12" s="60"/>
      <c r="C12" s="64"/>
      <c r="D12" s="64"/>
      <c r="E12" s="64"/>
      <c r="F12" s="63"/>
      <c r="G12" s="54"/>
      <c r="H12" s="126"/>
      <c r="I12" s="64" t="s">
        <v>364</v>
      </c>
    </row>
    <row r="13" customFormat="false" ht="12.8" hidden="false" customHeight="false" outlineLevel="0" collapsed="false">
      <c r="A13" s="54"/>
      <c r="B13" s="60"/>
      <c r="C13" s="64"/>
      <c r="D13" s="64"/>
      <c r="E13" s="64"/>
      <c r="F13" s="63"/>
      <c r="G13" s="54"/>
      <c r="H13" s="126"/>
      <c r="I13" s="64" t="s">
        <v>364</v>
      </c>
    </row>
    <row r="14" customFormat="false" ht="12.8" hidden="false" customHeight="false" outlineLevel="0" collapsed="false">
      <c r="A14" s="54"/>
      <c r="B14" s="60"/>
      <c r="C14" s="64"/>
      <c r="D14" s="64"/>
      <c r="E14" s="64"/>
      <c r="F14" s="63"/>
      <c r="G14" s="54"/>
      <c r="H14" s="126"/>
      <c r="I14" s="64" t="s">
        <v>364</v>
      </c>
    </row>
    <row r="15" customFormat="false" ht="12.8" hidden="false" customHeight="false" outlineLevel="0" collapsed="false">
      <c r="A15" s="54"/>
      <c r="B15" s="60"/>
      <c r="C15" s="64"/>
      <c r="D15" s="64"/>
      <c r="E15" s="64"/>
      <c r="F15" s="63"/>
      <c r="G15" s="54"/>
      <c r="H15" s="126"/>
      <c r="I15" s="64" t="s">
        <v>364</v>
      </c>
    </row>
    <row r="16" customFormat="false" ht="12.8" hidden="false" customHeight="false" outlineLevel="0" collapsed="false">
      <c r="A16" s="54"/>
      <c r="B16" s="60"/>
      <c r="C16" s="64"/>
      <c r="D16" s="64"/>
      <c r="E16" s="64"/>
      <c r="F16" s="63"/>
      <c r="G16" s="54"/>
      <c r="H16" s="126"/>
      <c r="I16" s="64" t="s">
        <v>364</v>
      </c>
    </row>
    <row r="17" customFormat="false" ht="12.8" hidden="false" customHeight="false" outlineLevel="0" collapsed="false">
      <c r="A17" s="54"/>
      <c r="B17" s="60"/>
      <c r="C17" s="64"/>
      <c r="D17" s="64"/>
      <c r="E17" s="64"/>
      <c r="F17" s="63"/>
      <c r="G17" s="54"/>
      <c r="H17" s="126"/>
      <c r="I17" s="64" t="s">
        <v>364</v>
      </c>
    </row>
    <row r="18" customFormat="false" ht="12.8" hidden="false" customHeight="false" outlineLevel="0" collapsed="false">
      <c r="A18" s="54"/>
      <c r="B18" s="60"/>
      <c r="C18" s="64"/>
      <c r="D18" s="64"/>
      <c r="E18" s="64"/>
      <c r="F18" s="63"/>
      <c r="G18" s="54"/>
      <c r="H18" s="126"/>
      <c r="I18" s="64" t="s">
        <v>364</v>
      </c>
    </row>
    <row r="19" customFormat="false" ht="12.8" hidden="false" customHeight="false" outlineLevel="0" collapsed="false">
      <c r="A19" s="54"/>
      <c r="B19" s="60"/>
      <c r="C19" s="64"/>
      <c r="D19" s="64"/>
      <c r="E19" s="64"/>
      <c r="F19" s="63"/>
      <c r="G19" s="54"/>
      <c r="H19" s="126"/>
      <c r="I19" s="64" t="s">
        <v>364</v>
      </c>
    </row>
    <row r="20" customFormat="false" ht="12.8" hidden="false" customHeight="false" outlineLevel="0" collapsed="false">
      <c r="A20" s="54"/>
      <c r="B20" s="60"/>
      <c r="C20" s="64"/>
      <c r="D20" s="64"/>
      <c r="E20" s="64"/>
      <c r="F20" s="63"/>
      <c r="G20" s="54"/>
      <c r="H20" s="126"/>
      <c r="I20" s="64" t="s">
        <v>364</v>
      </c>
    </row>
    <row r="21" customFormat="false" ht="12.8" hidden="false" customHeight="false" outlineLevel="0" collapsed="false">
      <c r="A21" s="54"/>
      <c r="B21" s="60"/>
      <c r="C21" s="64"/>
      <c r="D21" s="64"/>
      <c r="E21" s="64"/>
      <c r="F21" s="63"/>
      <c r="G21" s="54"/>
      <c r="H21" s="126"/>
      <c r="I21" s="64" t="s">
        <v>364</v>
      </c>
    </row>
    <row r="22" customFormat="false" ht="12.8" hidden="false" customHeight="false" outlineLevel="0" collapsed="false">
      <c r="A22" s="54"/>
      <c r="B22" s="60"/>
      <c r="C22" s="64"/>
      <c r="D22" s="64"/>
      <c r="E22" s="64"/>
      <c r="F22" s="63"/>
      <c r="G22" s="54"/>
      <c r="H22" s="126"/>
      <c r="I22" s="64" t="s">
        <v>364</v>
      </c>
    </row>
    <row r="23" customFormat="false" ht="12.8" hidden="false" customHeight="false" outlineLevel="0" collapsed="false">
      <c r="A23" s="54"/>
      <c r="B23" s="60"/>
      <c r="C23" s="64"/>
      <c r="D23" s="64"/>
      <c r="E23" s="64"/>
      <c r="F23" s="63"/>
      <c r="G23" s="54"/>
      <c r="H23" s="126"/>
      <c r="I23" s="64" t="s">
        <v>364</v>
      </c>
    </row>
    <row r="24" customFormat="false" ht="12.8" hidden="false" customHeight="false" outlineLevel="0" collapsed="false">
      <c r="A24" s="54"/>
      <c r="B24" s="60"/>
      <c r="C24" s="64"/>
      <c r="D24" s="64"/>
      <c r="E24" s="64"/>
      <c r="F24" s="63"/>
      <c r="G24" s="54"/>
      <c r="H24" s="126"/>
      <c r="I24" s="64" t="s">
        <v>364</v>
      </c>
    </row>
    <row r="25" customFormat="false" ht="12.8" hidden="false" customHeight="false" outlineLevel="0" collapsed="false">
      <c r="A25" s="54"/>
      <c r="B25" s="60"/>
      <c r="C25" s="64"/>
      <c r="D25" s="64"/>
      <c r="E25" s="64"/>
      <c r="F25" s="63"/>
      <c r="G25" s="54"/>
      <c r="H25" s="126"/>
      <c r="I25" s="64" t="s">
        <v>364</v>
      </c>
    </row>
    <row r="26" customFormat="false" ht="12.8" hidden="false" customHeight="false" outlineLevel="0" collapsed="false">
      <c r="A26" s="54"/>
      <c r="B26" s="60"/>
      <c r="C26" s="64"/>
      <c r="D26" s="64"/>
      <c r="E26" s="64"/>
      <c r="F26" s="63"/>
      <c r="G26" s="54"/>
      <c r="H26" s="126"/>
      <c r="I26" s="64" t="s">
        <v>364</v>
      </c>
    </row>
    <row r="27" customFormat="false" ht="12.8" hidden="false" customHeight="false" outlineLevel="0" collapsed="false">
      <c r="A27" s="54"/>
      <c r="B27" s="60"/>
      <c r="C27" s="64"/>
      <c r="D27" s="64"/>
      <c r="E27" s="64"/>
      <c r="F27" s="63"/>
      <c r="G27" s="54"/>
      <c r="H27" s="126"/>
      <c r="I27" s="64" t="s">
        <v>364</v>
      </c>
    </row>
    <row r="28" customFormat="false" ht="12.8" hidden="false" customHeight="false" outlineLevel="0" collapsed="false">
      <c r="A28" s="54"/>
      <c r="B28" s="60"/>
      <c r="C28" s="64"/>
      <c r="D28" s="64"/>
      <c r="E28" s="64"/>
      <c r="F28" s="63"/>
      <c r="G28" s="54"/>
      <c r="H28" s="126"/>
      <c r="I28" s="64" t="s">
        <v>364</v>
      </c>
    </row>
    <row r="29" customFormat="false" ht="12.8" hidden="false" customHeight="false" outlineLevel="0" collapsed="false">
      <c r="A29" s="54"/>
      <c r="B29" s="60"/>
      <c r="C29" s="64"/>
      <c r="D29" s="64"/>
      <c r="E29" s="64"/>
      <c r="F29" s="63"/>
      <c r="G29" s="54"/>
      <c r="H29" s="126"/>
      <c r="I29" s="64" t="s">
        <v>364</v>
      </c>
    </row>
    <row r="30" customFormat="false" ht="12.8" hidden="false" customHeight="false" outlineLevel="0" collapsed="false">
      <c r="A30" s="54"/>
      <c r="B30" s="60"/>
      <c r="C30" s="64"/>
      <c r="D30" s="64"/>
      <c r="E30" s="64"/>
      <c r="F30" s="63"/>
      <c r="G30" s="54"/>
      <c r="H30" s="126"/>
      <c r="I30" s="64" t="s">
        <v>364</v>
      </c>
    </row>
    <row r="31" customFormat="false" ht="12.8" hidden="false" customHeight="false" outlineLevel="0" collapsed="false">
      <c r="A31" s="54"/>
      <c r="B31" s="60"/>
      <c r="C31" s="64"/>
      <c r="D31" s="64"/>
      <c r="E31" s="64"/>
      <c r="F31" s="63"/>
      <c r="G31" s="54"/>
      <c r="H31" s="126"/>
      <c r="I31" s="64" t="s">
        <v>364</v>
      </c>
    </row>
    <row r="32" customFormat="false" ht="12.8" hidden="false" customHeight="false" outlineLevel="0" collapsed="false">
      <c r="A32" s="54"/>
      <c r="B32" s="60"/>
      <c r="C32" s="64"/>
      <c r="D32" s="64"/>
      <c r="E32" s="64"/>
      <c r="F32" s="63"/>
      <c r="G32" s="54"/>
      <c r="H32" s="126"/>
      <c r="I32" s="64" t="s">
        <v>364</v>
      </c>
    </row>
    <row r="33" customFormat="false" ht="12.8" hidden="false" customHeight="false" outlineLevel="0" collapsed="false">
      <c r="A33" s="54"/>
      <c r="B33" s="60"/>
      <c r="C33" s="64"/>
      <c r="D33" s="64"/>
      <c r="E33" s="64"/>
      <c r="F33" s="63"/>
      <c r="G33" s="54"/>
      <c r="H33" s="126"/>
      <c r="I33" s="64" t="s">
        <v>364</v>
      </c>
    </row>
    <row r="34" customFormat="false" ht="12.8" hidden="false" customHeight="false" outlineLevel="0" collapsed="false">
      <c r="A34" s="54"/>
      <c r="B34" s="60"/>
      <c r="C34" s="64"/>
      <c r="D34" s="64"/>
      <c r="E34" s="64"/>
      <c r="F34" s="63"/>
      <c r="G34" s="54"/>
      <c r="H34" s="126"/>
      <c r="I34" s="64" t="s">
        <v>364</v>
      </c>
    </row>
    <row r="35" customFormat="false" ht="12.8" hidden="false" customHeight="false" outlineLevel="0" collapsed="false">
      <c r="A35" s="54"/>
      <c r="B35" s="60"/>
      <c r="C35" s="64"/>
      <c r="D35" s="64"/>
      <c r="E35" s="64"/>
      <c r="F35" s="63"/>
      <c r="G35" s="54"/>
      <c r="H35" s="126"/>
      <c r="I35" s="64" t="s">
        <v>364</v>
      </c>
    </row>
    <row r="36" customFormat="false" ht="12.8" hidden="false" customHeight="false" outlineLevel="0" collapsed="false">
      <c r="A36" s="54"/>
      <c r="B36" s="60"/>
      <c r="C36" s="64"/>
      <c r="D36" s="64"/>
      <c r="E36" s="64"/>
      <c r="F36" s="63"/>
      <c r="G36" s="54"/>
      <c r="H36" s="126"/>
      <c r="I36" s="64" t="s">
        <v>364</v>
      </c>
    </row>
    <row r="37" customFormat="false" ht="12.8" hidden="false" customHeight="false" outlineLevel="0" collapsed="false">
      <c r="A37" s="54"/>
      <c r="B37" s="60"/>
      <c r="C37" s="64"/>
      <c r="D37" s="64"/>
      <c r="E37" s="64"/>
      <c r="F37" s="63"/>
      <c r="G37" s="54"/>
      <c r="H37" s="126"/>
      <c r="I37" s="64" t="s">
        <v>364</v>
      </c>
    </row>
    <row r="38" customFormat="false" ht="12.8" hidden="false" customHeight="false" outlineLevel="0" collapsed="false">
      <c r="A38" s="54"/>
      <c r="B38" s="60"/>
      <c r="C38" s="64"/>
      <c r="D38" s="64"/>
      <c r="E38" s="64"/>
      <c r="F38" s="63"/>
      <c r="G38" s="54"/>
      <c r="H38" s="126"/>
      <c r="I38" s="64" t="s">
        <v>364</v>
      </c>
    </row>
    <row r="39" customFormat="false" ht="12.8" hidden="false" customHeight="false" outlineLevel="0" collapsed="false">
      <c r="A39" s="54"/>
      <c r="B39" s="60"/>
      <c r="C39" s="64"/>
      <c r="D39" s="64"/>
      <c r="E39" s="64"/>
      <c r="F39" s="63"/>
      <c r="G39" s="54"/>
      <c r="H39" s="126"/>
      <c r="I39" s="64" t="s">
        <v>364</v>
      </c>
    </row>
    <row r="40" customFormat="false" ht="12.8" hidden="false" customHeight="false" outlineLevel="0" collapsed="false">
      <c r="B40" s="3"/>
    </row>
  </sheetData>
  <autoFilter ref="A4:I39"/>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000"/>
    <pageSetUpPr fitToPage="false"/>
  </sheetPr>
  <dimension ref="A1:AMB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E13" activeCellId="0" sqref="E13"/>
    </sheetView>
  </sheetViews>
  <sheetFormatPr defaultColWidth="16.1484375" defaultRowHeight="12.8" zeroHeight="false" outlineLevelRow="1" outlineLevelCol="0"/>
  <cols>
    <col collapsed="false" customWidth="true" hidden="false" outlineLevel="0" max="1" min="1" style="3" width="1.8"/>
    <col collapsed="false" customWidth="true" hidden="false" outlineLevel="0" max="2" min="2" style="131" width="7.42"/>
    <col collapsed="false" customWidth="true" hidden="false" outlineLevel="0" max="3" min="3" style="29" width="9.47"/>
    <col collapsed="false" customWidth="true" hidden="false" outlineLevel="0" max="4" min="4" style="3" width="25.16"/>
    <col collapsed="false" customWidth="true" hidden="false" outlineLevel="0" max="5" min="5" style="3" width="118.96"/>
    <col collapsed="false" customWidth="true" hidden="false" outlineLevel="0" max="6" min="6" style="29" width="14.69"/>
    <col collapsed="false" customWidth="true" hidden="false" outlineLevel="0" max="7" min="7" style="1" width="2.54"/>
    <col collapsed="false" customWidth="true" hidden="false" outlineLevel="0" max="1024" min="1017" style="1" width="11.52"/>
  </cols>
  <sheetData>
    <row r="1" customFormat="false" ht="81.3" hidden="false" customHeight="true" outlineLevel="1" collapsed="false">
      <c r="A1" s="31" t="s">
        <v>749</v>
      </c>
      <c r="B1" s="132" t="s">
        <v>943</v>
      </c>
      <c r="C1" s="33" t="s">
        <v>944</v>
      </c>
      <c r="D1" s="72" t="s">
        <v>945</v>
      </c>
      <c r="E1" s="72" t="s">
        <v>946</v>
      </c>
      <c r="F1" s="33"/>
      <c r="G1" s="31" t="s">
        <v>412</v>
      </c>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c r="CT1" s="35"/>
      <c r="CU1" s="35"/>
      <c r="CV1" s="35"/>
      <c r="CW1" s="35"/>
      <c r="CX1" s="35"/>
      <c r="CY1" s="35"/>
      <c r="CZ1" s="35"/>
      <c r="DA1" s="35"/>
      <c r="DB1" s="35"/>
      <c r="DC1" s="35"/>
      <c r="DD1" s="35"/>
      <c r="DE1" s="35"/>
      <c r="DF1" s="35"/>
      <c r="DG1" s="35"/>
      <c r="DH1" s="35"/>
      <c r="DI1" s="35"/>
      <c r="DJ1" s="35"/>
      <c r="DK1" s="35"/>
      <c r="DL1" s="35"/>
      <c r="DM1" s="35"/>
      <c r="DN1" s="35"/>
      <c r="DO1" s="35"/>
      <c r="DP1" s="35"/>
      <c r="DQ1" s="35"/>
      <c r="DR1" s="35"/>
      <c r="DS1" s="35"/>
      <c r="DT1" s="35"/>
      <c r="DU1" s="35"/>
      <c r="DV1" s="35"/>
      <c r="DW1" s="35"/>
      <c r="DX1" s="35"/>
      <c r="DY1" s="35"/>
      <c r="DZ1" s="35"/>
      <c r="EA1" s="35"/>
      <c r="EB1" s="35"/>
      <c r="EC1" s="35"/>
      <c r="ED1" s="35"/>
      <c r="EE1" s="35"/>
      <c r="EF1" s="35"/>
      <c r="EG1" s="35"/>
      <c r="EH1" s="35"/>
      <c r="EI1" s="35"/>
      <c r="EJ1" s="35"/>
      <c r="EK1" s="35"/>
      <c r="EL1" s="35"/>
      <c r="EM1" s="35"/>
      <c r="EN1" s="35"/>
      <c r="EO1" s="35"/>
      <c r="EP1" s="35"/>
      <c r="EQ1" s="35"/>
      <c r="ER1" s="35"/>
      <c r="ES1" s="35"/>
      <c r="ET1" s="35"/>
      <c r="EU1" s="35"/>
      <c r="EV1" s="35"/>
      <c r="EW1" s="35"/>
      <c r="EX1" s="35"/>
      <c r="EY1" s="35"/>
      <c r="EZ1" s="35"/>
      <c r="FA1" s="35"/>
      <c r="FB1" s="35"/>
      <c r="FC1" s="35"/>
      <c r="FD1" s="35"/>
      <c r="FE1" s="35"/>
      <c r="FF1" s="35"/>
      <c r="FG1" s="35"/>
      <c r="FH1" s="35"/>
      <c r="FI1" s="35"/>
      <c r="FJ1" s="35"/>
      <c r="FK1" s="35"/>
      <c r="FL1" s="35"/>
      <c r="FM1" s="35"/>
      <c r="FN1" s="35"/>
      <c r="FO1" s="35"/>
      <c r="FP1" s="35"/>
      <c r="FQ1" s="35"/>
      <c r="FR1" s="35"/>
      <c r="FS1" s="35"/>
      <c r="FT1" s="35"/>
      <c r="FU1" s="35"/>
      <c r="FV1" s="35"/>
      <c r="FW1" s="35"/>
      <c r="FX1" s="35"/>
      <c r="FY1" s="35"/>
      <c r="FZ1" s="35"/>
      <c r="GA1" s="35"/>
      <c r="GB1" s="35"/>
      <c r="GC1" s="35"/>
      <c r="GD1" s="35"/>
      <c r="GE1" s="35"/>
      <c r="GF1" s="35"/>
      <c r="GG1" s="35"/>
      <c r="GH1" s="35"/>
      <c r="GI1" s="35"/>
      <c r="GJ1" s="35"/>
      <c r="GK1" s="35"/>
      <c r="GL1" s="35"/>
      <c r="GM1" s="35"/>
      <c r="GN1" s="35"/>
      <c r="GO1" s="35"/>
      <c r="GP1" s="35"/>
      <c r="GQ1" s="35"/>
      <c r="GR1" s="35"/>
      <c r="GS1" s="35"/>
      <c r="GT1" s="35"/>
      <c r="GU1" s="35"/>
      <c r="GV1" s="35"/>
      <c r="GW1" s="35"/>
      <c r="GX1" s="35"/>
      <c r="GY1" s="35"/>
      <c r="GZ1" s="35"/>
      <c r="HA1" s="35"/>
      <c r="HB1" s="35"/>
      <c r="HC1" s="35"/>
      <c r="HD1" s="35"/>
      <c r="HE1" s="35"/>
      <c r="HF1" s="35"/>
      <c r="HG1" s="35"/>
      <c r="HH1" s="35"/>
      <c r="HI1" s="35"/>
      <c r="HJ1" s="35"/>
      <c r="HK1" s="35"/>
      <c r="HL1" s="35"/>
      <c r="HM1" s="35"/>
      <c r="HN1" s="35"/>
      <c r="HO1" s="35"/>
      <c r="HP1" s="35"/>
      <c r="HQ1" s="35"/>
      <c r="HR1" s="35"/>
      <c r="HS1" s="35"/>
      <c r="HT1" s="35"/>
      <c r="HU1" s="35"/>
      <c r="HV1" s="35"/>
      <c r="HW1" s="35"/>
      <c r="HX1" s="35"/>
      <c r="HY1" s="35"/>
      <c r="HZ1" s="35"/>
      <c r="IA1" s="35"/>
      <c r="IB1" s="35"/>
      <c r="IC1" s="35"/>
      <c r="ID1" s="35"/>
      <c r="IE1" s="35"/>
      <c r="IF1" s="35"/>
      <c r="IG1" s="35"/>
      <c r="IH1" s="35"/>
      <c r="II1" s="35"/>
      <c r="IJ1" s="35"/>
      <c r="IK1" s="35"/>
      <c r="IL1" s="35"/>
      <c r="IM1" s="35"/>
      <c r="IN1" s="35"/>
      <c r="IO1" s="35"/>
      <c r="IP1" s="35"/>
      <c r="IQ1" s="35"/>
      <c r="IR1" s="35"/>
      <c r="IS1" s="35"/>
      <c r="IT1" s="35"/>
      <c r="IU1" s="35"/>
      <c r="IV1" s="35"/>
      <c r="IW1" s="35"/>
      <c r="IX1" s="35"/>
      <c r="IY1" s="35"/>
      <c r="IZ1" s="35"/>
      <c r="JA1" s="35"/>
      <c r="JB1" s="35"/>
      <c r="JC1" s="35"/>
      <c r="JD1" s="35"/>
      <c r="JE1" s="35"/>
      <c r="JF1" s="35"/>
      <c r="JG1" s="35"/>
      <c r="JH1" s="35"/>
      <c r="JI1" s="35"/>
      <c r="JJ1" s="35"/>
      <c r="JK1" s="35"/>
      <c r="JL1" s="35"/>
      <c r="JM1" s="35"/>
      <c r="JN1" s="35"/>
      <c r="JO1" s="35"/>
      <c r="JP1" s="35"/>
      <c r="JQ1" s="35"/>
      <c r="JR1" s="35"/>
      <c r="JS1" s="35"/>
      <c r="JT1" s="35"/>
      <c r="JU1" s="35"/>
      <c r="JV1" s="35"/>
      <c r="JW1" s="35"/>
      <c r="JX1" s="35"/>
      <c r="JY1" s="35"/>
      <c r="JZ1" s="35"/>
      <c r="KA1" s="35"/>
      <c r="KB1" s="35"/>
      <c r="KC1" s="35"/>
      <c r="KD1" s="35"/>
      <c r="KE1" s="35"/>
      <c r="KF1" s="35"/>
      <c r="KG1" s="35"/>
      <c r="KH1" s="35"/>
      <c r="KI1" s="35"/>
      <c r="KJ1" s="35"/>
      <c r="KK1" s="35"/>
      <c r="KL1" s="35"/>
      <c r="KM1" s="35"/>
      <c r="KN1" s="35"/>
      <c r="KO1" s="35"/>
      <c r="KP1" s="35"/>
      <c r="KQ1" s="35"/>
      <c r="KR1" s="35"/>
      <c r="KS1" s="35"/>
      <c r="KT1" s="35"/>
      <c r="KU1" s="35"/>
      <c r="KV1" s="35"/>
      <c r="KW1" s="35"/>
      <c r="KX1" s="35"/>
      <c r="KY1" s="35"/>
      <c r="KZ1" s="35"/>
      <c r="LA1" s="35"/>
      <c r="LB1" s="35"/>
      <c r="LC1" s="35"/>
      <c r="LD1" s="35"/>
      <c r="LE1" s="35"/>
      <c r="LF1" s="35"/>
      <c r="LG1" s="35"/>
      <c r="LH1" s="35"/>
      <c r="LI1" s="35"/>
      <c r="LJ1" s="35"/>
      <c r="LK1" s="35"/>
      <c r="LL1" s="35"/>
      <c r="LM1" s="35"/>
      <c r="LN1" s="35"/>
      <c r="LO1" s="35"/>
      <c r="LP1" s="35"/>
      <c r="LQ1" s="35"/>
      <c r="LR1" s="35"/>
      <c r="LS1" s="35"/>
      <c r="LT1" s="35"/>
      <c r="LU1" s="35"/>
      <c r="LV1" s="35"/>
      <c r="LW1" s="35"/>
      <c r="LX1" s="35"/>
      <c r="LY1" s="35"/>
      <c r="LZ1" s="35"/>
      <c r="MA1" s="35"/>
      <c r="MB1" s="35"/>
      <c r="MC1" s="35"/>
      <c r="MD1" s="35"/>
      <c r="ME1" s="35"/>
      <c r="MF1" s="35"/>
      <c r="MG1" s="35"/>
      <c r="MH1" s="35"/>
      <c r="MI1" s="35"/>
      <c r="MJ1" s="35"/>
      <c r="MK1" s="35"/>
      <c r="ML1" s="35"/>
      <c r="MM1" s="35"/>
      <c r="MN1" s="35"/>
      <c r="MO1" s="35"/>
      <c r="MP1" s="35"/>
      <c r="MQ1" s="35"/>
      <c r="MR1" s="35"/>
      <c r="MS1" s="35"/>
      <c r="MT1" s="35"/>
      <c r="MU1" s="35"/>
      <c r="MV1" s="35"/>
      <c r="MW1" s="35"/>
      <c r="MX1" s="35"/>
      <c r="MY1" s="35"/>
      <c r="MZ1" s="35"/>
      <c r="NA1" s="35"/>
      <c r="NB1" s="35"/>
      <c r="NC1" s="35"/>
      <c r="ND1" s="35"/>
      <c r="NE1" s="35"/>
      <c r="NF1" s="35"/>
      <c r="NG1" s="35"/>
      <c r="NH1" s="35"/>
      <c r="NI1" s="35"/>
      <c r="NJ1" s="35"/>
      <c r="NK1" s="35"/>
      <c r="NL1" s="35"/>
      <c r="NM1" s="35"/>
      <c r="NN1" s="35"/>
      <c r="NO1" s="35"/>
      <c r="NP1" s="35"/>
      <c r="NQ1" s="35"/>
      <c r="NR1" s="35"/>
      <c r="NS1" s="35"/>
      <c r="NT1" s="35"/>
      <c r="NU1" s="35"/>
      <c r="NV1" s="35"/>
      <c r="NW1" s="35"/>
      <c r="NX1" s="35"/>
      <c r="NY1" s="35"/>
      <c r="NZ1" s="35"/>
      <c r="OA1" s="35"/>
      <c r="OB1" s="35"/>
      <c r="OC1" s="35"/>
      <c r="OD1" s="35"/>
      <c r="OE1" s="35"/>
      <c r="OF1" s="35"/>
      <c r="OG1" s="35"/>
      <c r="OH1" s="35"/>
      <c r="OI1" s="35"/>
      <c r="OJ1" s="35"/>
      <c r="OK1" s="35"/>
      <c r="OL1" s="35"/>
      <c r="OM1" s="35"/>
      <c r="ON1" s="35"/>
      <c r="OO1" s="35"/>
      <c r="OP1" s="35"/>
      <c r="OQ1" s="35"/>
      <c r="OR1" s="35"/>
      <c r="OS1" s="35"/>
      <c r="OT1" s="35"/>
      <c r="OU1" s="35"/>
      <c r="OV1" s="35"/>
      <c r="OW1" s="35"/>
      <c r="OX1" s="35"/>
      <c r="OY1" s="35"/>
      <c r="OZ1" s="35"/>
      <c r="PA1" s="35"/>
      <c r="PB1" s="35"/>
      <c r="PC1" s="35"/>
      <c r="PD1" s="35"/>
      <c r="PE1" s="35"/>
      <c r="PF1" s="35"/>
      <c r="PG1" s="35"/>
      <c r="PH1" s="35"/>
      <c r="PI1" s="35"/>
      <c r="PJ1" s="35"/>
      <c r="PK1" s="35"/>
      <c r="PL1" s="35"/>
      <c r="PM1" s="35"/>
      <c r="PN1" s="35"/>
      <c r="PO1" s="35"/>
      <c r="PP1" s="35"/>
      <c r="PQ1" s="35"/>
      <c r="PR1" s="35"/>
      <c r="PS1" s="35"/>
      <c r="PT1" s="35"/>
      <c r="PU1" s="35"/>
      <c r="PV1" s="35"/>
      <c r="PW1" s="35"/>
      <c r="PX1" s="35"/>
      <c r="PY1" s="35"/>
      <c r="PZ1" s="35"/>
      <c r="QA1" s="35"/>
      <c r="QB1" s="35"/>
      <c r="QC1" s="35"/>
      <c r="QD1" s="35"/>
      <c r="QE1" s="35"/>
      <c r="QF1" s="35"/>
      <c r="QG1" s="35"/>
      <c r="QH1" s="35"/>
      <c r="QI1" s="35"/>
      <c r="QJ1" s="35"/>
      <c r="QK1" s="35"/>
      <c r="QL1" s="35"/>
      <c r="QM1" s="35"/>
      <c r="QN1" s="35"/>
      <c r="QO1" s="35"/>
      <c r="QP1" s="35"/>
      <c r="QQ1" s="35"/>
      <c r="QR1" s="35"/>
      <c r="QS1" s="35"/>
      <c r="QT1" s="35"/>
      <c r="QU1" s="35"/>
      <c r="QV1" s="35"/>
      <c r="QW1" s="35"/>
      <c r="QX1" s="35"/>
      <c r="QY1" s="35"/>
      <c r="QZ1" s="35"/>
      <c r="RA1" s="35"/>
      <c r="RB1" s="35"/>
      <c r="RC1" s="35"/>
      <c r="RD1" s="35"/>
      <c r="RE1" s="35"/>
      <c r="RF1" s="35"/>
      <c r="RG1" s="35"/>
      <c r="RH1" s="35"/>
      <c r="RI1" s="35"/>
      <c r="RJ1" s="35"/>
      <c r="RK1" s="35"/>
      <c r="RL1" s="35"/>
      <c r="RM1" s="35"/>
      <c r="RN1" s="35"/>
      <c r="RO1" s="35"/>
      <c r="RP1" s="35"/>
      <c r="RQ1" s="35"/>
      <c r="RR1" s="35"/>
      <c r="RS1" s="35"/>
      <c r="RT1" s="35"/>
      <c r="RU1" s="35"/>
      <c r="RV1" s="35"/>
      <c r="RW1" s="35"/>
      <c r="RX1" s="35"/>
      <c r="RY1" s="35"/>
      <c r="RZ1" s="35"/>
      <c r="SA1" s="35"/>
      <c r="SB1" s="35"/>
      <c r="SC1" s="35"/>
      <c r="SD1" s="35"/>
      <c r="SE1" s="35"/>
      <c r="SF1" s="35"/>
      <c r="SG1" s="35"/>
      <c r="SH1" s="35"/>
      <c r="SI1" s="35"/>
      <c r="SJ1" s="35"/>
      <c r="SK1" s="35"/>
      <c r="SL1" s="35"/>
      <c r="SM1" s="35"/>
      <c r="SN1" s="35"/>
      <c r="SO1" s="35"/>
      <c r="SP1" s="35"/>
      <c r="SQ1" s="35"/>
      <c r="SR1" s="35"/>
      <c r="SS1" s="35"/>
      <c r="ST1" s="35"/>
      <c r="SU1" s="35"/>
      <c r="SV1" s="35"/>
      <c r="SW1" s="35"/>
      <c r="SX1" s="35"/>
      <c r="SY1" s="35"/>
      <c r="SZ1" s="35"/>
      <c r="TA1" s="35"/>
      <c r="TB1" s="35"/>
      <c r="TC1" s="35"/>
      <c r="TD1" s="35"/>
      <c r="TE1" s="35"/>
      <c r="TF1" s="35"/>
      <c r="TG1" s="35"/>
      <c r="TH1" s="35"/>
      <c r="TI1" s="35"/>
      <c r="TJ1" s="35"/>
      <c r="TK1" s="35"/>
      <c r="TL1" s="35"/>
      <c r="TM1" s="35"/>
      <c r="TN1" s="35"/>
      <c r="TO1" s="35"/>
      <c r="TP1" s="35"/>
      <c r="TQ1" s="35"/>
      <c r="TR1" s="35"/>
      <c r="TS1" s="35"/>
      <c r="TT1" s="35"/>
      <c r="TU1" s="35"/>
      <c r="TV1" s="35"/>
      <c r="TW1" s="35"/>
      <c r="TX1" s="35"/>
      <c r="TY1" s="35"/>
      <c r="TZ1" s="35"/>
      <c r="UA1" s="35"/>
      <c r="UB1" s="35"/>
      <c r="UC1" s="35"/>
      <c r="UD1" s="35"/>
      <c r="UE1" s="35"/>
      <c r="UF1" s="35"/>
      <c r="UG1" s="35"/>
      <c r="UH1" s="35"/>
      <c r="UI1" s="35"/>
      <c r="UJ1" s="35"/>
      <c r="UK1" s="35"/>
      <c r="UL1" s="35"/>
      <c r="UM1" s="35"/>
      <c r="UN1" s="35"/>
      <c r="UO1" s="35"/>
      <c r="UP1" s="35"/>
      <c r="UQ1" s="35"/>
      <c r="UR1" s="35"/>
      <c r="US1" s="35"/>
      <c r="UT1" s="35"/>
      <c r="UU1" s="35"/>
      <c r="UV1" s="35"/>
      <c r="UW1" s="35"/>
      <c r="UX1" s="35"/>
      <c r="UY1" s="35"/>
      <c r="UZ1" s="35"/>
      <c r="VA1" s="35"/>
      <c r="VB1" s="35"/>
      <c r="VC1" s="35"/>
      <c r="VD1" s="35"/>
      <c r="VE1" s="35"/>
      <c r="VF1" s="35"/>
      <c r="VG1" s="35"/>
      <c r="VH1" s="35"/>
      <c r="VI1" s="35"/>
      <c r="VJ1" s="35"/>
      <c r="VK1" s="35"/>
      <c r="VL1" s="35"/>
      <c r="VM1" s="35"/>
      <c r="VN1" s="35"/>
      <c r="VO1" s="35"/>
      <c r="VP1" s="35"/>
      <c r="VQ1" s="35"/>
      <c r="VR1" s="35"/>
      <c r="VS1" s="35"/>
      <c r="VT1" s="35"/>
      <c r="VU1" s="35"/>
      <c r="VV1" s="35"/>
      <c r="VW1" s="35"/>
      <c r="VX1" s="35"/>
      <c r="VY1" s="35"/>
      <c r="VZ1" s="35"/>
      <c r="WA1" s="35"/>
      <c r="WB1" s="35"/>
      <c r="WC1" s="35"/>
      <c r="WD1" s="35"/>
      <c r="WE1" s="35"/>
      <c r="WF1" s="35"/>
      <c r="WG1" s="35"/>
      <c r="WH1" s="35"/>
      <c r="WI1" s="35"/>
      <c r="WJ1" s="35"/>
      <c r="WK1" s="35"/>
      <c r="WL1" s="35"/>
      <c r="WM1" s="35"/>
      <c r="WN1" s="35"/>
      <c r="WO1" s="35"/>
      <c r="WP1" s="35"/>
      <c r="WQ1" s="35"/>
      <c r="WR1" s="35"/>
      <c r="WS1" s="35"/>
      <c r="WT1" s="35"/>
      <c r="WU1" s="35"/>
      <c r="WV1" s="35"/>
      <c r="WW1" s="35"/>
      <c r="WX1" s="35"/>
      <c r="WY1" s="35"/>
      <c r="WZ1" s="35"/>
      <c r="XA1" s="35"/>
      <c r="XB1" s="35"/>
      <c r="XC1" s="35"/>
      <c r="XD1" s="35"/>
      <c r="XE1" s="35"/>
      <c r="XF1" s="35"/>
      <c r="XG1" s="35"/>
      <c r="XH1" s="35"/>
      <c r="XI1" s="35"/>
      <c r="XJ1" s="35"/>
      <c r="XK1" s="35"/>
      <c r="XL1" s="35"/>
      <c r="XM1" s="35"/>
      <c r="XN1" s="35"/>
      <c r="XO1" s="35"/>
      <c r="XP1" s="35"/>
      <c r="XQ1" s="35"/>
      <c r="XR1" s="35"/>
      <c r="XS1" s="35"/>
      <c r="XT1" s="35"/>
      <c r="XU1" s="35"/>
      <c r="XV1" s="35"/>
      <c r="XW1" s="35"/>
      <c r="XX1" s="35"/>
      <c r="XY1" s="35"/>
      <c r="XZ1" s="35"/>
      <c r="YA1" s="35"/>
      <c r="YB1" s="35"/>
      <c r="YC1" s="35"/>
      <c r="YD1" s="35"/>
      <c r="YE1" s="35"/>
      <c r="YF1" s="35"/>
      <c r="YG1" s="35"/>
      <c r="YH1" s="35"/>
      <c r="YI1" s="35"/>
      <c r="YJ1" s="35"/>
      <c r="YK1" s="35"/>
      <c r="YL1" s="35"/>
      <c r="YM1" s="35"/>
      <c r="YN1" s="35"/>
      <c r="YO1" s="35"/>
      <c r="YP1" s="35"/>
      <c r="YQ1" s="35"/>
      <c r="YR1" s="35"/>
      <c r="YS1" s="35"/>
      <c r="YT1" s="35"/>
      <c r="YU1" s="35"/>
      <c r="YV1" s="35"/>
      <c r="YW1" s="35"/>
      <c r="YX1" s="35"/>
      <c r="YY1" s="35"/>
      <c r="YZ1" s="35"/>
      <c r="ZA1" s="35"/>
      <c r="ZB1" s="35"/>
      <c r="ZC1" s="35"/>
      <c r="ZD1" s="35"/>
      <c r="ZE1" s="35"/>
      <c r="ZF1" s="35"/>
      <c r="ZG1" s="35"/>
      <c r="ZH1" s="35"/>
      <c r="ZI1" s="35"/>
      <c r="ZJ1" s="35"/>
      <c r="ZK1" s="35"/>
      <c r="ZL1" s="35"/>
      <c r="ZM1" s="35"/>
      <c r="ZN1" s="35"/>
      <c r="ZO1" s="35"/>
      <c r="ZP1" s="35"/>
      <c r="ZQ1" s="35"/>
      <c r="ZR1" s="35"/>
      <c r="ZS1" s="35"/>
      <c r="ZT1" s="35"/>
      <c r="ZU1" s="35"/>
      <c r="ZV1" s="35"/>
      <c r="ZW1" s="35"/>
      <c r="ZX1" s="35"/>
      <c r="ZY1" s="35"/>
      <c r="ZZ1" s="35"/>
      <c r="AAA1" s="35"/>
      <c r="AAB1" s="35"/>
      <c r="AAC1" s="35"/>
      <c r="AAD1" s="35"/>
      <c r="AAE1" s="35"/>
      <c r="AAF1" s="35"/>
      <c r="AAG1" s="35"/>
      <c r="AAH1" s="35"/>
      <c r="AAI1" s="35"/>
      <c r="AAJ1" s="35"/>
      <c r="AAK1" s="35"/>
      <c r="AAL1" s="35"/>
      <c r="AAM1" s="35"/>
      <c r="AAN1" s="35"/>
      <c r="AAO1" s="35"/>
      <c r="AAP1" s="35"/>
      <c r="AAQ1" s="35"/>
      <c r="AAR1" s="35"/>
      <c r="AAS1" s="35"/>
      <c r="AAT1" s="35"/>
      <c r="AAU1" s="35"/>
      <c r="AAV1" s="35"/>
      <c r="AAW1" s="35"/>
      <c r="AAX1" s="35"/>
      <c r="AAY1" s="35"/>
      <c r="AAZ1" s="35"/>
      <c r="ABA1" s="35"/>
      <c r="ABB1" s="35"/>
      <c r="ABC1" s="35"/>
      <c r="ABD1" s="35"/>
      <c r="ABE1" s="35"/>
      <c r="ABF1" s="35"/>
      <c r="ABG1" s="35"/>
      <c r="ABH1" s="35"/>
      <c r="ABI1" s="35"/>
      <c r="ABJ1" s="35"/>
      <c r="ABK1" s="35"/>
      <c r="ABL1" s="35"/>
      <c r="ABM1" s="35"/>
      <c r="ABN1" s="35"/>
      <c r="ABO1" s="35"/>
      <c r="ABP1" s="35"/>
      <c r="ABQ1" s="35"/>
      <c r="ABR1" s="35"/>
      <c r="ABS1" s="35"/>
      <c r="ABT1" s="35"/>
      <c r="ABU1" s="35"/>
      <c r="ABV1" s="35"/>
      <c r="ABW1" s="35"/>
      <c r="ABX1" s="35"/>
      <c r="ABY1" s="35"/>
      <c r="ABZ1" s="35"/>
      <c r="ACA1" s="35"/>
      <c r="ACB1" s="35"/>
      <c r="ACC1" s="35"/>
      <c r="ACD1" s="35"/>
      <c r="ACE1" s="35"/>
      <c r="ACF1" s="35"/>
      <c r="ACG1" s="35"/>
      <c r="ACH1" s="35"/>
      <c r="ACI1" s="35"/>
      <c r="ACJ1" s="35"/>
      <c r="ACK1" s="35"/>
      <c r="ACL1" s="35"/>
      <c r="ACM1" s="35"/>
      <c r="ACN1" s="35"/>
      <c r="ACO1" s="35"/>
      <c r="ACP1" s="35"/>
      <c r="ACQ1" s="35"/>
      <c r="ACR1" s="35"/>
      <c r="ACS1" s="35"/>
      <c r="ACT1" s="35"/>
      <c r="ACU1" s="35"/>
      <c r="ACV1" s="35"/>
      <c r="ACW1" s="35"/>
      <c r="ACX1" s="35"/>
      <c r="ACY1" s="35"/>
      <c r="ACZ1" s="35"/>
      <c r="ADA1" s="35"/>
      <c r="ADB1" s="35"/>
      <c r="ADC1" s="35"/>
      <c r="ADD1" s="35"/>
      <c r="ADE1" s="35"/>
      <c r="ADF1" s="35"/>
      <c r="ADG1" s="35"/>
      <c r="ADH1" s="35"/>
      <c r="ADI1" s="35"/>
      <c r="ADJ1" s="35"/>
      <c r="ADK1" s="35"/>
      <c r="ADL1" s="35"/>
      <c r="ADM1" s="35"/>
      <c r="ADN1" s="35"/>
      <c r="ADO1" s="35"/>
      <c r="ADP1" s="35"/>
      <c r="ADQ1" s="35"/>
      <c r="ADR1" s="35"/>
      <c r="ADS1" s="35"/>
      <c r="ADT1" s="35"/>
      <c r="ADU1" s="35"/>
      <c r="ADV1" s="35"/>
      <c r="ADW1" s="35"/>
      <c r="ADX1" s="35"/>
      <c r="ADY1" s="35"/>
      <c r="ADZ1" s="35"/>
      <c r="AEA1" s="35"/>
      <c r="AEB1" s="35"/>
      <c r="AEC1" s="35"/>
      <c r="AED1" s="35"/>
      <c r="AEE1" s="35"/>
      <c r="AEF1" s="35"/>
      <c r="AEG1" s="35"/>
      <c r="AEH1" s="35"/>
      <c r="AEI1" s="35"/>
      <c r="AEJ1" s="35"/>
      <c r="AEK1" s="35"/>
      <c r="AEL1" s="35"/>
      <c r="AEM1" s="35"/>
      <c r="AEN1" s="35"/>
      <c r="AEO1" s="35"/>
      <c r="AEP1" s="35"/>
      <c r="AEQ1" s="35"/>
      <c r="AER1" s="35"/>
      <c r="AES1" s="35"/>
      <c r="AET1" s="35"/>
      <c r="AEU1" s="35"/>
      <c r="AEV1" s="35"/>
      <c r="AEW1" s="35"/>
      <c r="AEX1" s="35"/>
      <c r="AEY1" s="35"/>
      <c r="AEZ1" s="35"/>
      <c r="AFA1" s="35"/>
      <c r="AFB1" s="35"/>
      <c r="AFC1" s="35"/>
      <c r="AFD1" s="35"/>
      <c r="AFE1" s="35"/>
      <c r="AFF1" s="35"/>
      <c r="AFG1" s="35"/>
      <c r="AFH1" s="35"/>
      <c r="AFI1" s="35"/>
      <c r="AFJ1" s="35"/>
      <c r="AFK1" s="35"/>
      <c r="AFL1" s="35"/>
      <c r="AFM1" s="35"/>
      <c r="AFN1" s="35"/>
      <c r="AFO1" s="35"/>
      <c r="AFP1" s="35"/>
      <c r="AFQ1" s="35"/>
      <c r="AFR1" s="35"/>
      <c r="AFS1" s="35"/>
      <c r="AFT1" s="35"/>
      <c r="AFU1" s="35"/>
      <c r="AFV1" s="35"/>
      <c r="AFW1" s="35"/>
      <c r="AFX1" s="35"/>
      <c r="AFY1" s="35"/>
      <c r="AFZ1" s="35"/>
      <c r="AGA1" s="35"/>
      <c r="AGB1" s="35"/>
      <c r="AGC1" s="35"/>
      <c r="AGD1" s="35"/>
      <c r="AGE1" s="35"/>
      <c r="AGF1" s="35"/>
      <c r="AGG1" s="35"/>
      <c r="AGH1" s="35"/>
      <c r="AGI1" s="35"/>
      <c r="AGJ1" s="35"/>
      <c r="AGK1" s="35"/>
      <c r="AGL1" s="35"/>
      <c r="AGM1" s="35"/>
      <c r="AGN1" s="35"/>
      <c r="AGO1" s="35"/>
      <c r="AGP1" s="35"/>
      <c r="AGQ1" s="35"/>
      <c r="AGR1" s="35"/>
      <c r="AGS1" s="35"/>
      <c r="AGT1" s="35"/>
      <c r="AGU1" s="35"/>
      <c r="AGV1" s="35"/>
      <c r="AGW1" s="35"/>
      <c r="AGX1" s="35"/>
      <c r="AGY1" s="35"/>
      <c r="AGZ1" s="35"/>
      <c r="AHA1" s="35"/>
      <c r="AHB1" s="35"/>
      <c r="AHC1" s="35"/>
      <c r="AHD1" s="35"/>
      <c r="AHE1" s="35"/>
      <c r="AHF1" s="35"/>
      <c r="AHG1" s="35"/>
      <c r="AHH1" s="35"/>
      <c r="AHI1" s="35"/>
      <c r="AHJ1" s="35"/>
      <c r="AHK1" s="35"/>
      <c r="AHL1" s="35"/>
      <c r="AHM1" s="35"/>
      <c r="AHN1" s="35"/>
      <c r="AHO1" s="35"/>
      <c r="AHP1" s="35"/>
      <c r="AHQ1" s="35"/>
      <c r="AHR1" s="35"/>
      <c r="AHS1" s="35"/>
      <c r="AHT1" s="35"/>
      <c r="AHU1" s="35"/>
      <c r="AHV1" s="35"/>
      <c r="AHW1" s="35"/>
      <c r="AHX1" s="35"/>
      <c r="AHY1" s="35"/>
      <c r="AHZ1" s="35"/>
      <c r="AIA1" s="35"/>
      <c r="AIB1" s="35"/>
      <c r="AIC1" s="35"/>
      <c r="AID1" s="35"/>
      <c r="AIE1" s="35"/>
      <c r="AIF1" s="35"/>
      <c r="AIG1" s="35"/>
      <c r="AIH1" s="35"/>
      <c r="AII1" s="35"/>
      <c r="AIJ1" s="35"/>
      <c r="AIK1" s="35"/>
      <c r="AIL1" s="35"/>
      <c r="AIM1" s="35"/>
      <c r="AIN1" s="35"/>
      <c r="AIO1" s="35"/>
      <c r="AIP1" s="35"/>
      <c r="AIQ1" s="35"/>
      <c r="AIR1" s="35"/>
      <c r="AIS1" s="35"/>
      <c r="AIT1" s="35"/>
      <c r="AIU1" s="35"/>
      <c r="AIV1" s="35"/>
      <c r="AIW1" s="35"/>
      <c r="AIX1" s="35"/>
      <c r="AIY1" s="35"/>
      <c r="AIZ1" s="35"/>
      <c r="AJA1" s="35"/>
      <c r="AJB1" s="35"/>
      <c r="AJC1" s="35"/>
      <c r="AJD1" s="35"/>
      <c r="AJE1" s="35"/>
      <c r="AJF1" s="35"/>
      <c r="AJG1" s="35"/>
      <c r="AJH1" s="35"/>
      <c r="AJI1" s="35"/>
      <c r="AJJ1" s="35"/>
      <c r="AJK1" s="35"/>
      <c r="AJL1" s="35"/>
      <c r="AJM1" s="35"/>
      <c r="AJN1" s="35"/>
      <c r="AJO1" s="35"/>
      <c r="AJP1" s="35"/>
      <c r="AJQ1" s="35"/>
      <c r="AJR1" s="35"/>
      <c r="AJS1" s="35"/>
      <c r="AJT1" s="35"/>
      <c r="AJU1" s="35"/>
      <c r="AJV1" s="35"/>
      <c r="AJW1" s="35"/>
      <c r="AJX1" s="35"/>
      <c r="AJY1" s="35"/>
      <c r="AJZ1" s="35"/>
      <c r="AKA1" s="35"/>
      <c r="AKB1" s="35"/>
      <c r="AKC1" s="35"/>
      <c r="AKD1" s="35"/>
      <c r="AKE1" s="35"/>
      <c r="AKF1" s="35"/>
      <c r="AKG1" s="35"/>
      <c r="AKH1" s="35"/>
      <c r="AKI1" s="35"/>
      <c r="AKJ1" s="35"/>
      <c r="AKK1" s="35"/>
      <c r="AKL1" s="35"/>
      <c r="AKM1" s="35"/>
      <c r="AKN1" s="35"/>
      <c r="AKO1" s="35"/>
      <c r="AKP1" s="35"/>
      <c r="AKQ1" s="35"/>
      <c r="AKR1" s="35"/>
      <c r="AKS1" s="35"/>
      <c r="AKT1" s="35"/>
      <c r="AKU1" s="35"/>
      <c r="AKV1" s="35"/>
      <c r="AKW1" s="35"/>
      <c r="AKX1" s="35"/>
      <c r="AKY1" s="35"/>
      <c r="AKZ1" s="35"/>
      <c r="ALA1" s="35"/>
      <c r="ALB1" s="35"/>
      <c r="ALC1" s="35"/>
      <c r="ALD1" s="35"/>
      <c r="ALE1" s="35"/>
      <c r="ALF1" s="35"/>
      <c r="ALG1" s="35"/>
      <c r="ALH1" s="35"/>
      <c r="ALI1" s="35"/>
      <c r="ALJ1" s="35"/>
      <c r="ALK1" s="35"/>
      <c r="ALL1" s="35"/>
      <c r="ALM1" s="35"/>
      <c r="ALN1" s="35"/>
      <c r="ALO1" s="35"/>
      <c r="ALP1" s="35"/>
      <c r="ALQ1" s="35"/>
      <c r="ALR1" s="1"/>
      <c r="ALS1" s="1"/>
      <c r="ALT1" s="1"/>
      <c r="ALU1" s="1"/>
      <c r="ALV1" s="1"/>
      <c r="ALW1" s="1"/>
      <c r="ALX1" s="1"/>
      <c r="ALY1" s="1"/>
      <c r="ALZ1" s="1"/>
      <c r="AMA1" s="1"/>
      <c r="AMB1" s="1"/>
    </row>
    <row r="2" customFormat="false" ht="12.8" hidden="false" customHeight="false" outlineLevel="1" collapsed="false">
      <c r="A2" s="31"/>
      <c r="B2" s="132"/>
      <c r="C2" s="33"/>
      <c r="D2" s="72"/>
      <c r="E2" s="72"/>
      <c r="F2" s="33"/>
      <c r="G2" s="31"/>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c r="CF2" s="35"/>
      <c r="CG2" s="35"/>
      <c r="CH2" s="35"/>
      <c r="CI2" s="35"/>
      <c r="CJ2" s="35"/>
      <c r="CK2" s="35"/>
      <c r="CL2" s="35"/>
      <c r="CM2" s="35"/>
      <c r="CN2" s="35"/>
      <c r="CO2" s="35"/>
      <c r="CP2" s="35"/>
      <c r="CQ2" s="35"/>
      <c r="CR2" s="35"/>
      <c r="CS2" s="35"/>
      <c r="CT2" s="35"/>
      <c r="CU2" s="35"/>
      <c r="CV2" s="35"/>
      <c r="CW2" s="35"/>
      <c r="CX2" s="35"/>
      <c r="CY2" s="35"/>
      <c r="CZ2" s="35"/>
      <c r="DA2" s="35"/>
      <c r="DB2" s="35"/>
      <c r="DC2" s="35"/>
      <c r="DD2" s="35"/>
      <c r="DE2" s="35"/>
      <c r="DF2" s="35"/>
      <c r="DG2" s="35"/>
      <c r="DH2" s="35"/>
      <c r="DI2" s="35"/>
      <c r="DJ2" s="35"/>
      <c r="DK2" s="35"/>
      <c r="DL2" s="35"/>
      <c r="DM2" s="35"/>
      <c r="DN2" s="35"/>
      <c r="DO2" s="35"/>
      <c r="DP2" s="35"/>
      <c r="DQ2" s="35"/>
      <c r="DR2" s="35"/>
      <c r="DS2" s="35"/>
      <c r="DT2" s="35"/>
      <c r="DU2" s="35"/>
      <c r="DV2" s="35"/>
      <c r="DW2" s="35"/>
      <c r="DX2" s="35"/>
      <c r="DY2" s="35"/>
      <c r="DZ2" s="35"/>
      <c r="EA2" s="35"/>
      <c r="EB2" s="35"/>
      <c r="EC2" s="35"/>
      <c r="ED2" s="35"/>
      <c r="EE2" s="35"/>
      <c r="EF2" s="35"/>
      <c r="EG2" s="35"/>
      <c r="EH2" s="35"/>
      <c r="EI2" s="35"/>
      <c r="EJ2" s="35"/>
      <c r="EK2" s="35"/>
      <c r="EL2" s="35"/>
      <c r="EM2" s="35"/>
      <c r="EN2" s="35"/>
      <c r="EO2" s="35"/>
      <c r="EP2" s="35"/>
      <c r="EQ2" s="35"/>
      <c r="ER2" s="35"/>
      <c r="ES2" s="35"/>
      <c r="ET2" s="35"/>
      <c r="EU2" s="35"/>
      <c r="EV2" s="35"/>
      <c r="EW2" s="35"/>
      <c r="EX2" s="35"/>
      <c r="EY2" s="35"/>
      <c r="EZ2" s="35"/>
      <c r="FA2" s="35"/>
      <c r="FB2" s="35"/>
      <c r="FC2" s="35"/>
      <c r="FD2" s="35"/>
      <c r="FE2" s="35"/>
      <c r="FF2" s="35"/>
      <c r="FG2" s="35"/>
      <c r="FH2" s="35"/>
      <c r="FI2" s="35"/>
      <c r="FJ2" s="35"/>
      <c r="FK2" s="35"/>
      <c r="FL2" s="35"/>
      <c r="FM2" s="35"/>
      <c r="FN2" s="35"/>
      <c r="FO2" s="35"/>
      <c r="FP2" s="35"/>
      <c r="FQ2" s="35"/>
      <c r="FR2" s="35"/>
      <c r="FS2" s="35"/>
      <c r="FT2" s="35"/>
      <c r="FU2" s="35"/>
      <c r="FV2" s="35"/>
      <c r="FW2" s="35"/>
      <c r="FX2" s="35"/>
      <c r="FY2" s="35"/>
      <c r="FZ2" s="35"/>
      <c r="GA2" s="35"/>
      <c r="GB2" s="35"/>
      <c r="GC2" s="35"/>
      <c r="GD2" s="35"/>
      <c r="GE2" s="35"/>
      <c r="GF2" s="35"/>
      <c r="GG2" s="35"/>
      <c r="GH2" s="35"/>
      <c r="GI2" s="35"/>
      <c r="GJ2" s="35"/>
      <c r="GK2" s="35"/>
      <c r="GL2" s="35"/>
      <c r="GM2" s="35"/>
      <c r="GN2" s="35"/>
      <c r="GO2" s="35"/>
      <c r="GP2" s="35"/>
      <c r="GQ2" s="35"/>
      <c r="GR2" s="35"/>
      <c r="GS2" s="35"/>
      <c r="GT2" s="35"/>
      <c r="GU2" s="35"/>
      <c r="GV2" s="35"/>
      <c r="GW2" s="35"/>
      <c r="GX2" s="35"/>
      <c r="GY2" s="35"/>
      <c r="GZ2" s="35"/>
      <c r="HA2" s="35"/>
      <c r="HB2" s="35"/>
      <c r="HC2" s="35"/>
      <c r="HD2" s="35"/>
      <c r="HE2" s="35"/>
      <c r="HF2" s="35"/>
      <c r="HG2" s="35"/>
      <c r="HH2" s="35"/>
      <c r="HI2" s="35"/>
      <c r="HJ2" s="35"/>
      <c r="HK2" s="35"/>
      <c r="HL2" s="35"/>
      <c r="HM2" s="35"/>
      <c r="HN2" s="35"/>
      <c r="HO2" s="35"/>
      <c r="HP2" s="35"/>
      <c r="HQ2" s="35"/>
      <c r="HR2" s="35"/>
      <c r="HS2" s="35"/>
      <c r="HT2" s="35"/>
      <c r="HU2" s="35"/>
      <c r="HV2" s="35"/>
      <c r="HW2" s="35"/>
      <c r="HX2" s="35"/>
      <c r="HY2" s="35"/>
      <c r="HZ2" s="35"/>
      <c r="IA2" s="35"/>
      <c r="IB2" s="35"/>
      <c r="IC2" s="35"/>
      <c r="ID2" s="35"/>
      <c r="IE2" s="35"/>
      <c r="IF2" s="35"/>
      <c r="IG2" s="35"/>
      <c r="IH2" s="35"/>
      <c r="II2" s="35"/>
      <c r="IJ2" s="35"/>
      <c r="IK2" s="35"/>
      <c r="IL2" s="35"/>
      <c r="IM2" s="35"/>
      <c r="IN2" s="35"/>
      <c r="IO2" s="35"/>
      <c r="IP2" s="35"/>
      <c r="IQ2" s="35"/>
      <c r="IR2" s="35"/>
      <c r="IS2" s="35"/>
      <c r="IT2" s="35"/>
      <c r="IU2" s="35"/>
      <c r="IV2" s="35"/>
      <c r="IW2" s="35"/>
      <c r="IX2" s="35"/>
      <c r="IY2" s="35"/>
      <c r="IZ2" s="35"/>
      <c r="JA2" s="35"/>
      <c r="JB2" s="35"/>
      <c r="JC2" s="35"/>
      <c r="JD2" s="35"/>
      <c r="JE2" s="35"/>
      <c r="JF2" s="35"/>
      <c r="JG2" s="35"/>
      <c r="JH2" s="35"/>
      <c r="JI2" s="35"/>
      <c r="JJ2" s="35"/>
      <c r="JK2" s="35"/>
      <c r="JL2" s="35"/>
      <c r="JM2" s="35"/>
      <c r="JN2" s="35"/>
      <c r="JO2" s="35"/>
      <c r="JP2" s="35"/>
      <c r="JQ2" s="35"/>
      <c r="JR2" s="35"/>
      <c r="JS2" s="35"/>
      <c r="JT2" s="35"/>
      <c r="JU2" s="35"/>
      <c r="JV2" s="35"/>
      <c r="JW2" s="35"/>
      <c r="JX2" s="35"/>
      <c r="JY2" s="35"/>
      <c r="JZ2" s="35"/>
      <c r="KA2" s="35"/>
      <c r="KB2" s="35"/>
      <c r="KC2" s="35"/>
      <c r="KD2" s="35"/>
      <c r="KE2" s="35"/>
      <c r="KF2" s="35"/>
      <c r="KG2" s="35"/>
      <c r="KH2" s="35"/>
      <c r="KI2" s="35"/>
      <c r="KJ2" s="35"/>
      <c r="KK2" s="35"/>
      <c r="KL2" s="35"/>
      <c r="KM2" s="35"/>
      <c r="KN2" s="35"/>
      <c r="KO2" s="35"/>
      <c r="KP2" s="35"/>
      <c r="KQ2" s="35"/>
      <c r="KR2" s="35"/>
      <c r="KS2" s="35"/>
      <c r="KT2" s="35"/>
      <c r="KU2" s="35"/>
      <c r="KV2" s="35"/>
      <c r="KW2" s="35"/>
      <c r="KX2" s="35"/>
      <c r="KY2" s="35"/>
      <c r="KZ2" s="35"/>
      <c r="LA2" s="35"/>
      <c r="LB2" s="35"/>
      <c r="LC2" s="35"/>
      <c r="LD2" s="35"/>
      <c r="LE2" s="35"/>
      <c r="LF2" s="35"/>
      <c r="LG2" s="35"/>
      <c r="LH2" s="35"/>
      <c r="LI2" s="35"/>
      <c r="LJ2" s="35"/>
      <c r="LK2" s="35"/>
      <c r="LL2" s="35"/>
      <c r="LM2" s="35"/>
      <c r="LN2" s="35"/>
      <c r="LO2" s="35"/>
      <c r="LP2" s="35"/>
      <c r="LQ2" s="35"/>
      <c r="LR2" s="35"/>
      <c r="LS2" s="35"/>
      <c r="LT2" s="35"/>
      <c r="LU2" s="35"/>
      <c r="LV2" s="35"/>
      <c r="LW2" s="35"/>
      <c r="LX2" s="35"/>
      <c r="LY2" s="35"/>
      <c r="LZ2" s="35"/>
      <c r="MA2" s="35"/>
      <c r="MB2" s="35"/>
      <c r="MC2" s="35"/>
      <c r="MD2" s="35"/>
      <c r="ME2" s="35"/>
      <c r="MF2" s="35"/>
      <c r="MG2" s="35"/>
      <c r="MH2" s="35"/>
      <c r="MI2" s="35"/>
      <c r="MJ2" s="35"/>
      <c r="MK2" s="35"/>
      <c r="ML2" s="35"/>
      <c r="MM2" s="35"/>
      <c r="MN2" s="35"/>
      <c r="MO2" s="35"/>
      <c r="MP2" s="35"/>
      <c r="MQ2" s="35"/>
      <c r="MR2" s="35"/>
      <c r="MS2" s="35"/>
      <c r="MT2" s="35"/>
      <c r="MU2" s="35"/>
      <c r="MV2" s="35"/>
      <c r="MW2" s="35"/>
      <c r="MX2" s="35"/>
      <c r="MY2" s="35"/>
      <c r="MZ2" s="35"/>
      <c r="NA2" s="35"/>
      <c r="NB2" s="35"/>
      <c r="NC2" s="35"/>
      <c r="ND2" s="35"/>
      <c r="NE2" s="35"/>
      <c r="NF2" s="35"/>
      <c r="NG2" s="35"/>
      <c r="NH2" s="35"/>
      <c r="NI2" s="35"/>
      <c r="NJ2" s="35"/>
      <c r="NK2" s="35"/>
      <c r="NL2" s="35"/>
      <c r="NM2" s="35"/>
      <c r="NN2" s="35"/>
      <c r="NO2" s="35"/>
      <c r="NP2" s="35"/>
      <c r="NQ2" s="35"/>
      <c r="NR2" s="35"/>
      <c r="NS2" s="35"/>
      <c r="NT2" s="35"/>
      <c r="NU2" s="35"/>
      <c r="NV2" s="35"/>
      <c r="NW2" s="35"/>
      <c r="NX2" s="35"/>
      <c r="NY2" s="35"/>
      <c r="NZ2" s="35"/>
      <c r="OA2" s="35"/>
      <c r="OB2" s="35"/>
      <c r="OC2" s="35"/>
      <c r="OD2" s="35"/>
      <c r="OE2" s="35"/>
      <c r="OF2" s="35"/>
      <c r="OG2" s="35"/>
      <c r="OH2" s="35"/>
      <c r="OI2" s="35"/>
      <c r="OJ2" s="35"/>
      <c r="OK2" s="35"/>
      <c r="OL2" s="35"/>
      <c r="OM2" s="35"/>
      <c r="ON2" s="35"/>
      <c r="OO2" s="35"/>
      <c r="OP2" s="35"/>
      <c r="OQ2" s="35"/>
      <c r="OR2" s="35"/>
      <c r="OS2" s="35"/>
      <c r="OT2" s="35"/>
      <c r="OU2" s="35"/>
      <c r="OV2" s="35"/>
      <c r="OW2" s="35"/>
      <c r="OX2" s="35"/>
      <c r="OY2" s="35"/>
      <c r="OZ2" s="35"/>
      <c r="PA2" s="35"/>
      <c r="PB2" s="35"/>
      <c r="PC2" s="35"/>
      <c r="PD2" s="35"/>
      <c r="PE2" s="35"/>
      <c r="PF2" s="35"/>
      <c r="PG2" s="35"/>
      <c r="PH2" s="35"/>
      <c r="PI2" s="35"/>
      <c r="PJ2" s="35"/>
      <c r="PK2" s="35"/>
      <c r="PL2" s="35"/>
      <c r="PM2" s="35"/>
      <c r="PN2" s="35"/>
      <c r="PO2" s="35"/>
      <c r="PP2" s="35"/>
      <c r="PQ2" s="35"/>
      <c r="PR2" s="35"/>
      <c r="PS2" s="35"/>
      <c r="PT2" s="35"/>
      <c r="PU2" s="35"/>
      <c r="PV2" s="35"/>
      <c r="PW2" s="35"/>
      <c r="PX2" s="35"/>
      <c r="PY2" s="35"/>
      <c r="PZ2" s="35"/>
      <c r="QA2" s="35"/>
      <c r="QB2" s="35"/>
      <c r="QC2" s="35"/>
      <c r="QD2" s="35"/>
      <c r="QE2" s="35"/>
      <c r="QF2" s="35"/>
      <c r="QG2" s="35"/>
      <c r="QH2" s="35"/>
      <c r="QI2" s="35"/>
      <c r="QJ2" s="35"/>
      <c r="QK2" s="35"/>
      <c r="QL2" s="35"/>
      <c r="QM2" s="35"/>
      <c r="QN2" s="35"/>
      <c r="QO2" s="35"/>
      <c r="QP2" s="35"/>
      <c r="QQ2" s="35"/>
      <c r="QR2" s="35"/>
      <c r="QS2" s="35"/>
      <c r="QT2" s="35"/>
      <c r="QU2" s="35"/>
      <c r="QV2" s="35"/>
      <c r="QW2" s="35"/>
      <c r="QX2" s="35"/>
      <c r="QY2" s="35"/>
      <c r="QZ2" s="35"/>
      <c r="RA2" s="35"/>
      <c r="RB2" s="35"/>
      <c r="RC2" s="35"/>
      <c r="RD2" s="35"/>
      <c r="RE2" s="35"/>
      <c r="RF2" s="35"/>
      <c r="RG2" s="35"/>
      <c r="RH2" s="35"/>
      <c r="RI2" s="35"/>
      <c r="RJ2" s="35"/>
      <c r="RK2" s="35"/>
      <c r="RL2" s="35"/>
      <c r="RM2" s="35"/>
      <c r="RN2" s="35"/>
      <c r="RO2" s="35"/>
      <c r="RP2" s="35"/>
      <c r="RQ2" s="35"/>
      <c r="RR2" s="35"/>
      <c r="RS2" s="35"/>
      <c r="RT2" s="35"/>
      <c r="RU2" s="35"/>
      <c r="RV2" s="35"/>
      <c r="RW2" s="35"/>
      <c r="RX2" s="35"/>
      <c r="RY2" s="35"/>
      <c r="RZ2" s="35"/>
      <c r="SA2" s="35"/>
      <c r="SB2" s="35"/>
      <c r="SC2" s="35"/>
      <c r="SD2" s="35"/>
      <c r="SE2" s="35"/>
      <c r="SF2" s="35"/>
      <c r="SG2" s="35"/>
      <c r="SH2" s="35"/>
      <c r="SI2" s="35"/>
      <c r="SJ2" s="35"/>
      <c r="SK2" s="35"/>
      <c r="SL2" s="35"/>
      <c r="SM2" s="35"/>
      <c r="SN2" s="35"/>
      <c r="SO2" s="35"/>
      <c r="SP2" s="35"/>
      <c r="SQ2" s="35"/>
      <c r="SR2" s="35"/>
      <c r="SS2" s="35"/>
      <c r="ST2" s="35"/>
      <c r="SU2" s="35"/>
      <c r="SV2" s="35"/>
      <c r="SW2" s="35"/>
      <c r="SX2" s="35"/>
      <c r="SY2" s="35"/>
      <c r="SZ2" s="35"/>
      <c r="TA2" s="35"/>
      <c r="TB2" s="35"/>
      <c r="TC2" s="35"/>
      <c r="TD2" s="35"/>
      <c r="TE2" s="35"/>
      <c r="TF2" s="35"/>
      <c r="TG2" s="35"/>
      <c r="TH2" s="35"/>
      <c r="TI2" s="35"/>
      <c r="TJ2" s="35"/>
      <c r="TK2" s="35"/>
      <c r="TL2" s="35"/>
      <c r="TM2" s="35"/>
      <c r="TN2" s="35"/>
      <c r="TO2" s="35"/>
      <c r="TP2" s="35"/>
      <c r="TQ2" s="35"/>
      <c r="TR2" s="35"/>
      <c r="TS2" s="35"/>
      <c r="TT2" s="35"/>
      <c r="TU2" s="35"/>
      <c r="TV2" s="35"/>
      <c r="TW2" s="35"/>
      <c r="TX2" s="35"/>
      <c r="TY2" s="35"/>
      <c r="TZ2" s="35"/>
      <c r="UA2" s="35"/>
      <c r="UB2" s="35"/>
      <c r="UC2" s="35"/>
      <c r="UD2" s="35"/>
      <c r="UE2" s="35"/>
      <c r="UF2" s="35"/>
      <c r="UG2" s="35"/>
      <c r="UH2" s="35"/>
      <c r="UI2" s="35"/>
      <c r="UJ2" s="35"/>
      <c r="UK2" s="35"/>
      <c r="UL2" s="35"/>
      <c r="UM2" s="35"/>
      <c r="UN2" s="35"/>
      <c r="UO2" s="35"/>
      <c r="UP2" s="35"/>
      <c r="UQ2" s="35"/>
      <c r="UR2" s="35"/>
      <c r="US2" s="35"/>
      <c r="UT2" s="35"/>
      <c r="UU2" s="35"/>
      <c r="UV2" s="35"/>
      <c r="UW2" s="35"/>
      <c r="UX2" s="35"/>
      <c r="UY2" s="35"/>
      <c r="UZ2" s="35"/>
      <c r="VA2" s="35"/>
      <c r="VB2" s="35"/>
      <c r="VC2" s="35"/>
      <c r="VD2" s="35"/>
      <c r="VE2" s="35"/>
      <c r="VF2" s="35"/>
      <c r="VG2" s="35"/>
      <c r="VH2" s="35"/>
      <c r="VI2" s="35"/>
      <c r="VJ2" s="35"/>
      <c r="VK2" s="35"/>
      <c r="VL2" s="35"/>
      <c r="VM2" s="35"/>
      <c r="VN2" s="35"/>
      <c r="VO2" s="35"/>
      <c r="VP2" s="35"/>
      <c r="VQ2" s="35"/>
      <c r="VR2" s="35"/>
      <c r="VS2" s="35"/>
      <c r="VT2" s="35"/>
      <c r="VU2" s="35"/>
      <c r="VV2" s="35"/>
      <c r="VW2" s="35"/>
      <c r="VX2" s="35"/>
      <c r="VY2" s="35"/>
      <c r="VZ2" s="35"/>
      <c r="WA2" s="35"/>
      <c r="WB2" s="35"/>
      <c r="WC2" s="35"/>
      <c r="WD2" s="35"/>
      <c r="WE2" s="35"/>
      <c r="WF2" s="35"/>
      <c r="WG2" s="35"/>
      <c r="WH2" s="35"/>
      <c r="WI2" s="35"/>
      <c r="WJ2" s="35"/>
      <c r="WK2" s="35"/>
      <c r="WL2" s="35"/>
      <c r="WM2" s="35"/>
      <c r="WN2" s="35"/>
      <c r="WO2" s="35"/>
      <c r="WP2" s="35"/>
      <c r="WQ2" s="35"/>
      <c r="WR2" s="35"/>
      <c r="WS2" s="35"/>
      <c r="WT2" s="35"/>
      <c r="WU2" s="35"/>
      <c r="WV2" s="35"/>
      <c r="WW2" s="35"/>
      <c r="WX2" s="35"/>
      <c r="WY2" s="35"/>
      <c r="WZ2" s="35"/>
      <c r="XA2" s="35"/>
      <c r="XB2" s="35"/>
      <c r="XC2" s="35"/>
      <c r="XD2" s="35"/>
      <c r="XE2" s="35"/>
      <c r="XF2" s="35"/>
      <c r="XG2" s="35"/>
      <c r="XH2" s="35"/>
      <c r="XI2" s="35"/>
      <c r="XJ2" s="35"/>
      <c r="XK2" s="35"/>
      <c r="XL2" s="35"/>
      <c r="XM2" s="35"/>
      <c r="XN2" s="35"/>
      <c r="XO2" s="35"/>
      <c r="XP2" s="35"/>
      <c r="XQ2" s="35"/>
      <c r="XR2" s="35"/>
      <c r="XS2" s="35"/>
      <c r="XT2" s="35"/>
      <c r="XU2" s="35"/>
      <c r="XV2" s="35"/>
      <c r="XW2" s="35"/>
      <c r="XX2" s="35"/>
      <c r="XY2" s="35"/>
      <c r="XZ2" s="35"/>
      <c r="YA2" s="35"/>
      <c r="YB2" s="35"/>
      <c r="YC2" s="35"/>
      <c r="YD2" s="35"/>
      <c r="YE2" s="35"/>
      <c r="YF2" s="35"/>
      <c r="YG2" s="35"/>
      <c r="YH2" s="35"/>
      <c r="YI2" s="35"/>
      <c r="YJ2" s="35"/>
      <c r="YK2" s="35"/>
      <c r="YL2" s="35"/>
      <c r="YM2" s="35"/>
      <c r="YN2" s="35"/>
      <c r="YO2" s="35"/>
      <c r="YP2" s="35"/>
      <c r="YQ2" s="35"/>
      <c r="YR2" s="35"/>
      <c r="YS2" s="35"/>
      <c r="YT2" s="35"/>
      <c r="YU2" s="35"/>
      <c r="YV2" s="35"/>
      <c r="YW2" s="35"/>
      <c r="YX2" s="35"/>
      <c r="YY2" s="35"/>
      <c r="YZ2" s="35"/>
      <c r="ZA2" s="35"/>
      <c r="ZB2" s="35"/>
      <c r="ZC2" s="35"/>
      <c r="ZD2" s="35"/>
      <c r="ZE2" s="35"/>
      <c r="ZF2" s="35"/>
      <c r="ZG2" s="35"/>
      <c r="ZH2" s="35"/>
      <c r="ZI2" s="35"/>
      <c r="ZJ2" s="35"/>
      <c r="ZK2" s="35"/>
      <c r="ZL2" s="35"/>
      <c r="ZM2" s="35"/>
      <c r="ZN2" s="35"/>
      <c r="ZO2" s="35"/>
      <c r="ZP2" s="35"/>
      <c r="ZQ2" s="35"/>
      <c r="ZR2" s="35"/>
      <c r="ZS2" s="35"/>
      <c r="ZT2" s="35"/>
      <c r="ZU2" s="35"/>
      <c r="ZV2" s="35"/>
      <c r="ZW2" s="35"/>
      <c r="ZX2" s="35"/>
      <c r="ZY2" s="35"/>
      <c r="ZZ2" s="35"/>
      <c r="AAA2" s="35"/>
      <c r="AAB2" s="35"/>
      <c r="AAC2" s="35"/>
      <c r="AAD2" s="35"/>
      <c r="AAE2" s="35"/>
      <c r="AAF2" s="35"/>
      <c r="AAG2" s="35"/>
      <c r="AAH2" s="35"/>
      <c r="AAI2" s="35"/>
      <c r="AAJ2" s="35"/>
      <c r="AAK2" s="35"/>
      <c r="AAL2" s="35"/>
      <c r="AAM2" s="35"/>
      <c r="AAN2" s="35"/>
      <c r="AAO2" s="35"/>
      <c r="AAP2" s="35"/>
      <c r="AAQ2" s="35"/>
      <c r="AAR2" s="35"/>
      <c r="AAS2" s="35"/>
      <c r="AAT2" s="35"/>
      <c r="AAU2" s="35"/>
      <c r="AAV2" s="35"/>
      <c r="AAW2" s="35"/>
      <c r="AAX2" s="35"/>
      <c r="AAY2" s="35"/>
      <c r="AAZ2" s="35"/>
      <c r="ABA2" s="35"/>
      <c r="ABB2" s="35"/>
      <c r="ABC2" s="35"/>
      <c r="ABD2" s="35"/>
      <c r="ABE2" s="35"/>
      <c r="ABF2" s="35"/>
      <c r="ABG2" s="35"/>
      <c r="ABH2" s="35"/>
      <c r="ABI2" s="35"/>
      <c r="ABJ2" s="35"/>
      <c r="ABK2" s="35"/>
      <c r="ABL2" s="35"/>
      <c r="ABM2" s="35"/>
      <c r="ABN2" s="35"/>
      <c r="ABO2" s="35"/>
      <c r="ABP2" s="35"/>
      <c r="ABQ2" s="35"/>
      <c r="ABR2" s="35"/>
      <c r="ABS2" s="35"/>
      <c r="ABT2" s="35"/>
      <c r="ABU2" s="35"/>
      <c r="ABV2" s="35"/>
      <c r="ABW2" s="35"/>
      <c r="ABX2" s="35"/>
      <c r="ABY2" s="35"/>
      <c r="ABZ2" s="35"/>
      <c r="ACA2" s="35"/>
      <c r="ACB2" s="35"/>
      <c r="ACC2" s="35"/>
      <c r="ACD2" s="35"/>
      <c r="ACE2" s="35"/>
      <c r="ACF2" s="35"/>
      <c r="ACG2" s="35"/>
      <c r="ACH2" s="35"/>
      <c r="ACI2" s="35"/>
      <c r="ACJ2" s="35"/>
      <c r="ACK2" s="35"/>
      <c r="ACL2" s="35"/>
      <c r="ACM2" s="35"/>
      <c r="ACN2" s="35"/>
      <c r="ACO2" s="35"/>
      <c r="ACP2" s="35"/>
      <c r="ACQ2" s="35"/>
      <c r="ACR2" s="35"/>
      <c r="ACS2" s="35"/>
      <c r="ACT2" s="35"/>
      <c r="ACU2" s="35"/>
      <c r="ACV2" s="35"/>
      <c r="ACW2" s="35"/>
      <c r="ACX2" s="35"/>
      <c r="ACY2" s="35"/>
      <c r="ACZ2" s="35"/>
      <c r="ADA2" s="35"/>
      <c r="ADB2" s="35"/>
      <c r="ADC2" s="35"/>
      <c r="ADD2" s="35"/>
      <c r="ADE2" s="35"/>
      <c r="ADF2" s="35"/>
      <c r="ADG2" s="35"/>
      <c r="ADH2" s="35"/>
      <c r="ADI2" s="35"/>
      <c r="ADJ2" s="35"/>
      <c r="ADK2" s="35"/>
      <c r="ADL2" s="35"/>
      <c r="ADM2" s="35"/>
      <c r="ADN2" s="35"/>
      <c r="ADO2" s="35"/>
      <c r="ADP2" s="35"/>
      <c r="ADQ2" s="35"/>
      <c r="ADR2" s="35"/>
      <c r="ADS2" s="35"/>
      <c r="ADT2" s="35"/>
      <c r="ADU2" s="35"/>
      <c r="ADV2" s="35"/>
      <c r="ADW2" s="35"/>
      <c r="ADX2" s="35"/>
      <c r="ADY2" s="35"/>
      <c r="ADZ2" s="35"/>
      <c r="AEA2" s="35"/>
      <c r="AEB2" s="35"/>
      <c r="AEC2" s="35"/>
      <c r="AED2" s="35"/>
      <c r="AEE2" s="35"/>
      <c r="AEF2" s="35"/>
      <c r="AEG2" s="35"/>
      <c r="AEH2" s="35"/>
      <c r="AEI2" s="35"/>
      <c r="AEJ2" s="35"/>
      <c r="AEK2" s="35"/>
      <c r="AEL2" s="35"/>
      <c r="AEM2" s="35"/>
      <c r="AEN2" s="35"/>
      <c r="AEO2" s="35"/>
      <c r="AEP2" s="35"/>
      <c r="AEQ2" s="35"/>
      <c r="AER2" s="35"/>
      <c r="AES2" s="35"/>
      <c r="AET2" s="35"/>
      <c r="AEU2" s="35"/>
      <c r="AEV2" s="35"/>
      <c r="AEW2" s="35"/>
      <c r="AEX2" s="35"/>
      <c r="AEY2" s="35"/>
      <c r="AEZ2" s="35"/>
      <c r="AFA2" s="35"/>
      <c r="AFB2" s="35"/>
      <c r="AFC2" s="35"/>
      <c r="AFD2" s="35"/>
      <c r="AFE2" s="35"/>
      <c r="AFF2" s="35"/>
      <c r="AFG2" s="35"/>
      <c r="AFH2" s="35"/>
      <c r="AFI2" s="35"/>
      <c r="AFJ2" s="35"/>
      <c r="AFK2" s="35"/>
      <c r="AFL2" s="35"/>
      <c r="AFM2" s="35"/>
      <c r="AFN2" s="35"/>
      <c r="AFO2" s="35"/>
      <c r="AFP2" s="35"/>
      <c r="AFQ2" s="35"/>
      <c r="AFR2" s="35"/>
      <c r="AFS2" s="35"/>
      <c r="AFT2" s="35"/>
      <c r="AFU2" s="35"/>
      <c r="AFV2" s="35"/>
      <c r="AFW2" s="35"/>
      <c r="AFX2" s="35"/>
      <c r="AFY2" s="35"/>
      <c r="AFZ2" s="35"/>
      <c r="AGA2" s="35"/>
      <c r="AGB2" s="35"/>
      <c r="AGC2" s="35"/>
      <c r="AGD2" s="35"/>
      <c r="AGE2" s="35"/>
      <c r="AGF2" s="35"/>
      <c r="AGG2" s="35"/>
      <c r="AGH2" s="35"/>
      <c r="AGI2" s="35"/>
      <c r="AGJ2" s="35"/>
      <c r="AGK2" s="35"/>
      <c r="AGL2" s="35"/>
      <c r="AGM2" s="35"/>
      <c r="AGN2" s="35"/>
      <c r="AGO2" s="35"/>
      <c r="AGP2" s="35"/>
      <c r="AGQ2" s="35"/>
      <c r="AGR2" s="35"/>
      <c r="AGS2" s="35"/>
      <c r="AGT2" s="35"/>
      <c r="AGU2" s="35"/>
      <c r="AGV2" s="35"/>
      <c r="AGW2" s="35"/>
      <c r="AGX2" s="35"/>
      <c r="AGY2" s="35"/>
      <c r="AGZ2" s="35"/>
      <c r="AHA2" s="35"/>
      <c r="AHB2" s="35"/>
      <c r="AHC2" s="35"/>
      <c r="AHD2" s="35"/>
      <c r="AHE2" s="35"/>
      <c r="AHF2" s="35"/>
      <c r="AHG2" s="35"/>
      <c r="AHH2" s="35"/>
      <c r="AHI2" s="35"/>
      <c r="AHJ2" s="35"/>
      <c r="AHK2" s="35"/>
      <c r="AHL2" s="35"/>
      <c r="AHM2" s="35"/>
      <c r="AHN2" s="35"/>
      <c r="AHO2" s="35"/>
      <c r="AHP2" s="35"/>
      <c r="AHQ2" s="35"/>
      <c r="AHR2" s="35"/>
      <c r="AHS2" s="35"/>
      <c r="AHT2" s="35"/>
      <c r="AHU2" s="35"/>
      <c r="AHV2" s="35"/>
      <c r="AHW2" s="35"/>
      <c r="AHX2" s="35"/>
      <c r="AHY2" s="35"/>
      <c r="AHZ2" s="35"/>
      <c r="AIA2" s="35"/>
      <c r="AIB2" s="35"/>
      <c r="AIC2" s="35"/>
      <c r="AID2" s="35"/>
      <c r="AIE2" s="35"/>
      <c r="AIF2" s="35"/>
      <c r="AIG2" s="35"/>
      <c r="AIH2" s="35"/>
      <c r="AII2" s="35"/>
      <c r="AIJ2" s="35"/>
      <c r="AIK2" s="35"/>
      <c r="AIL2" s="35"/>
      <c r="AIM2" s="35"/>
      <c r="AIN2" s="35"/>
      <c r="AIO2" s="35"/>
      <c r="AIP2" s="35"/>
      <c r="AIQ2" s="35"/>
      <c r="AIR2" s="35"/>
      <c r="AIS2" s="35"/>
      <c r="AIT2" s="35"/>
      <c r="AIU2" s="35"/>
      <c r="AIV2" s="35"/>
      <c r="AIW2" s="35"/>
      <c r="AIX2" s="35"/>
      <c r="AIY2" s="35"/>
      <c r="AIZ2" s="35"/>
      <c r="AJA2" s="35"/>
      <c r="AJB2" s="35"/>
      <c r="AJC2" s="35"/>
      <c r="AJD2" s="35"/>
      <c r="AJE2" s="35"/>
      <c r="AJF2" s="35"/>
      <c r="AJG2" s="35"/>
      <c r="AJH2" s="35"/>
      <c r="AJI2" s="35"/>
      <c r="AJJ2" s="35"/>
      <c r="AJK2" s="35"/>
      <c r="AJL2" s="35"/>
      <c r="AJM2" s="35"/>
      <c r="AJN2" s="35"/>
      <c r="AJO2" s="35"/>
      <c r="AJP2" s="35"/>
      <c r="AJQ2" s="35"/>
      <c r="AJR2" s="35"/>
      <c r="AJS2" s="35"/>
      <c r="AJT2" s="35"/>
      <c r="AJU2" s="35"/>
      <c r="AJV2" s="35"/>
      <c r="AJW2" s="35"/>
      <c r="AJX2" s="35"/>
      <c r="AJY2" s="35"/>
      <c r="AJZ2" s="35"/>
      <c r="AKA2" s="35"/>
      <c r="AKB2" s="35"/>
      <c r="AKC2" s="35"/>
      <c r="AKD2" s="35"/>
      <c r="AKE2" s="35"/>
      <c r="AKF2" s="35"/>
      <c r="AKG2" s="35"/>
      <c r="AKH2" s="35"/>
      <c r="AKI2" s="35"/>
      <c r="AKJ2" s="35"/>
      <c r="AKK2" s="35"/>
      <c r="AKL2" s="35"/>
      <c r="AKM2" s="35"/>
      <c r="AKN2" s="35"/>
      <c r="AKO2" s="35"/>
      <c r="AKP2" s="35"/>
      <c r="AKQ2" s="35"/>
      <c r="AKR2" s="35"/>
      <c r="AKS2" s="35"/>
      <c r="AKT2" s="35"/>
      <c r="AKU2" s="35"/>
      <c r="AKV2" s="35"/>
      <c r="AKW2" s="35"/>
      <c r="AKX2" s="35"/>
      <c r="AKY2" s="35"/>
      <c r="AKZ2" s="35"/>
      <c r="ALA2" s="35"/>
      <c r="ALB2" s="35"/>
      <c r="ALC2" s="35"/>
      <c r="ALD2" s="35"/>
      <c r="ALE2" s="35"/>
      <c r="ALF2" s="35"/>
      <c r="ALG2" s="35"/>
      <c r="ALH2" s="35"/>
      <c r="ALI2" s="35"/>
      <c r="ALJ2" s="35"/>
      <c r="ALK2" s="35"/>
      <c r="ALL2" s="35"/>
      <c r="ALM2" s="35"/>
      <c r="ALN2" s="35"/>
      <c r="ALO2" s="35"/>
      <c r="ALP2" s="35"/>
      <c r="ALQ2" s="35"/>
      <c r="ALR2" s="1"/>
      <c r="ALS2" s="1"/>
      <c r="ALT2" s="1"/>
      <c r="ALU2" s="1"/>
      <c r="ALV2" s="1"/>
      <c r="ALW2" s="1"/>
      <c r="ALX2" s="1"/>
      <c r="ALY2" s="1"/>
      <c r="ALZ2" s="1"/>
      <c r="AMA2" s="1"/>
      <c r="AMB2" s="1"/>
    </row>
    <row r="3" customFormat="false" ht="24.05" hidden="false" customHeight="false" outlineLevel="0" collapsed="false">
      <c r="A3" s="43" t="s">
        <v>414</v>
      </c>
      <c r="B3" s="133" t="s">
        <v>947</v>
      </c>
      <c r="C3" s="45" t="s">
        <v>948</v>
      </c>
      <c r="D3" s="43" t="s">
        <v>440</v>
      </c>
      <c r="E3" s="123" t="s">
        <v>601</v>
      </c>
      <c r="F3" s="45" t="s">
        <v>949</v>
      </c>
      <c r="G3" s="48" t="s">
        <v>454</v>
      </c>
    </row>
    <row r="4" customFormat="false" ht="9.7" hidden="false" customHeight="true" outlineLevel="0" collapsed="false">
      <c r="A4" s="39" t="str">
        <f aca="false">A3</f>
        <v>A</v>
      </c>
      <c r="B4" s="134" t="str">
        <f aca="false">B3</f>
        <v>Time</v>
      </c>
      <c r="C4" s="51" t="str">
        <f aca="false">C3</f>
        <v>Perso / Work</v>
      </c>
      <c r="D4" s="39" t="str">
        <f aca="false">D3</f>
        <v>Name</v>
      </c>
      <c r="E4" s="39" t="str">
        <f aca="false">E3</f>
        <v>Overview</v>
      </c>
      <c r="F4" s="51" t="str">
        <f aca="false">F3</f>
        <v>xxx</v>
      </c>
      <c r="G4" s="52" t="str">
        <f aca="false">G3</f>
        <v>Z</v>
      </c>
    </row>
    <row r="5" customFormat="false" ht="12.8" hidden="false" customHeight="false" outlineLevel="0" collapsed="false">
      <c r="A5" s="54"/>
      <c r="B5" s="135" t="n">
        <v>0</v>
      </c>
      <c r="C5" s="136" t="s">
        <v>950</v>
      </c>
      <c r="D5" s="113" t="s">
        <v>951</v>
      </c>
      <c r="E5" s="63" t="s">
        <v>952</v>
      </c>
      <c r="F5" s="126"/>
      <c r="G5" s="64" t="s">
        <v>364</v>
      </c>
    </row>
    <row r="6" customFormat="false" ht="12.8" hidden="false" customHeight="false" outlineLevel="0" collapsed="false">
      <c r="A6" s="54"/>
      <c r="B6" s="135" t="n">
        <v>0.0208333333333333</v>
      </c>
      <c r="C6" s="136" t="s">
        <v>950</v>
      </c>
      <c r="D6" s="113" t="s">
        <v>951</v>
      </c>
      <c r="E6" s="63" t="s">
        <v>952</v>
      </c>
      <c r="F6" s="126"/>
      <c r="G6" s="64" t="s">
        <v>364</v>
      </c>
    </row>
    <row r="7" customFormat="false" ht="12.8" hidden="false" customHeight="false" outlineLevel="0" collapsed="false">
      <c r="A7" s="54"/>
      <c r="B7" s="135" t="n">
        <v>0.0416666666666667</v>
      </c>
      <c r="C7" s="136" t="s">
        <v>950</v>
      </c>
      <c r="D7" s="113" t="s">
        <v>951</v>
      </c>
      <c r="E7" s="63" t="s">
        <v>952</v>
      </c>
      <c r="F7" s="126"/>
      <c r="G7" s="64" t="s">
        <v>364</v>
      </c>
    </row>
    <row r="8" customFormat="false" ht="12.8" hidden="false" customHeight="false" outlineLevel="0" collapsed="false">
      <c r="A8" s="54"/>
      <c r="B8" s="135" t="n">
        <v>0.0625</v>
      </c>
      <c r="C8" s="136" t="s">
        <v>950</v>
      </c>
      <c r="D8" s="113" t="s">
        <v>951</v>
      </c>
      <c r="E8" s="63" t="s">
        <v>952</v>
      </c>
      <c r="F8" s="126"/>
      <c r="G8" s="64" t="s">
        <v>364</v>
      </c>
    </row>
    <row r="9" customFormat="false" ht="12.8" hidden="false" customHeight="false" outlineLevel="0" collapsed="false">
      <c r="A9" s="54"/>
      <c r="B9" s="135" t="n">
        <v>0.0833333333333333</v>
      </c>
      <c r="C9" s="136" t="s">
        <v>950</v>
      </c>
      <c r="D9" s="113" t="s">
        <v>951</v>
      </c>
      <c r="E9" s="63" t="s">
        <v>952</v>
      </c>
      <c r="F9" s="126"/>
      <c r="G9" s="64" t="s">
        <v>364</v>
      </c>
    </row>
    <row r="10" customFormat="false" ht="12.8" hidden="false" customHeight="false" outlineLevel="0" collapsed="false">
      <c r="A10" s="54"/>
      <c r="B10" s="135" t="n">
        <v>0.104166666666667</v>
      </c>
      <c r="C10" s="136" t="s">
        <v>950</v>
      </c>
      <c r="D10" s="113" t="s">
        <v>951</v>
      </c>
      <c r="E10" s="63" t="s">
        <v>952</v>
      </c>
      <c r="F10" s="126"/>
      <c r="G10" s="64" t="s">
        <v>364</v>
      </c>
    </row>
    <row r="11" customFormat="false" ht="12.8" hidden="false" customHeight="false" outlineLevel="0" collapsed="false">
      <c r="A11" s="54"/>
      <c r="B11" s="135" t="n">
        <v>0.125</v>
      </c>
      <c r="C11" s="136" t="s">
        <v>950</v>
      </c>
      <c r="D11" s="113" t="s">
        <v>951</v>
      </c>
      <c r="E11" s="63" t="s">
        <v>952</v>
      </c>
      <c r="F11" s="126"/>
      <c r="G11" s="64" t="s">
        <v>364</v>
      </c>
    </row>
    <row r="12" customFormat="false" ht="12.8" hidden="false" customHeight="false" outlineLevel="0" collapsed="false">
      <c r="A12" s="54"/>
      <c r="B12" s="135" t="n">
        <v>0.145833333333333</v>
      </c>
      <c r="C12" s="136" t="s">
        <v>950</v>
      </c>
      <c r="D12" s="113" t="s">
        <v>951</v>
      </c>
      <c r="E12" s="63" t="s">
        <v>952</v>
      </c>
      <c r="F12" s="126"/>
      <c r="G12" s="64" t="s">
        <v>364</v>
      </c>
    </row>
    <row r="13" customFormat="false" ht="12.8" hidden="false" customHeight="false" outlineLevel="0" collapsed="false">
      <c r="A13" s="54"/>
      <c r="B13" s="135" t="n">
        <v>0.166666666666667</v>
      </c>
      <c r="C13" s="136" t="s">
        <v>950</v>
      </c>
      <c r="D13" s="113" t="s">
        <v>951</v>
      </c>
      <c r="E13" s="63" t="s">
        <v>952</v>
      </c>
      <c r="F13" s="126"/>
      <c r="G13" s="64" t="s">
        <v>364</v>
      </c>
    </row>
    <row r="14" customFormat="false" ht="12.8" hidden="false" customHeight="false" outlineLevel="0" collapsed="false">
      <c r="A14" s="54"/>
      <c r="B14" s="135" t="n">
        <v>0.1875</v>
      </c>
      <c r="C14" s="136" t="s">
        <v>950</v>
      </c>
      <c r="D14" s="113" t="s">
        <v>951</v>
      </c>
      <c r="E14" s="63" t="s">
        <v>952</v>
      </c>
      <c r="F14" s="126"/>
      <c r="G14" s="64" t="s">
        <v>364</v>
      </c>
    </row>
    <row r="15" customFormat="false" ht="12.8" hidden="false" customHeight="false" outlineLevel="0" collapsed="false">
      <c r="A15" s="54"/>
      <c r="B15" s="135" t="n">
        <v>0.208333333333333</v>
      </c>
      <c r="C15" s="136" t="s">
        <v>950</v>
      </c>
      <c r="D15" s="113" t="s">
        <v>953</v>
      </c>
      <c r="E15" s="63" t="s">
        <v>954</v>
      </c>
      <c r="F15" s="126"/>
      <c r="G15" s="64" t="s">
        <v>364</v>
      </c>
    </row>
    <row r="16" customFormat="false" ht="12.8" hidden="false" customHeight="false" outlineLevel="0" collapsed="false">
      <c r="A16" s="54"/>
      <c r="B16" s="135" t="n">
        <v>0.229166666666667</v>
      </c>
      <c r="C16" s="136" t="s">
        <v>950</v>
      </c>
      <c r="D16" s="113" t="s">
        <v>955</v>
      </c>
      <c r="E16" s="63" t="s">
        <v>956</v>
      </c>
      <c r="F16" s="126"/>
      <c r="G16" s="64" t="s">
        <v>364</v>
      </c>
    </row>
    <row r="17" customFormat="false" ht="12.8" hidden="false" customHeight="false" outlineLevel="0" collapsed="false">
      <c r="A17" s="54"/>
      <c r="B17" s="135" t="n">
        <v>0.25</v>
      </c>
      <c r="C17" s="137" t="s">
        <v>957</v>
      </c>
      <c r="D17" s="113" t="s">
        <v>958</v>
      </c>
      <c r="E17" s="63" t="s">
        <v>959</v>
      </c>
      <c r="F17" s="126"/>
      <c r="G17" s="64" t="s">
        <v>364</v>
      </c>
    </row>
    <row r="18" customFormat="false" ht="12.8" hidden="false" customHeight="false" outlineLevel="0" collapsed="false">
      <c r="A18" s="54"/>
      <c r="B18" s="135" t="n">
        <v>0.270833333333333</v>
      </c>
      <c r="C18" s="137" t="s">
        <v>957</v>
      </c>
      <c r="D18" s="113" t="s">
        <v>960</v>
      </c>
      <c r="E18" s="63" t="s">
        <v>961</v>
      </c>
      <c r="F18" s="126"/>
      <c r="G18" s="64" t="s">
        <v>364</v>
      </c>
    </row>
    <row r="19" customFormat="false" ht="12.8" hidden="false" customHeight="false" outlineLevel="0" collapsed="false">
      <c r="A19" s="54"/>
      <c r="B19" s="135" t="n">
        <v>0.291666666666667</v>
      </c>
      <c r="C19" s="137" t="s">
        <v>957</v>
      </c>
      <c r="D19" s="113" t="s">
        <v>962</v>
      </c>
      <c r="E19" s="63" t="s">
        <v>963</v>
      </c>
      <c r="F19" s="126"/>
      <c r="G19" s="64" t="s">
        <v>364</v>
      </c>
    </row>
    <row r="20" customFormat="false" ht="12.8" hidden="false" customHeight="false" outlineLevel="0" collapsed="false">
      <c r="A20" s="54"/>
      <c r="B20" s="135" t="n">
        <v>0.3125</v>
      </c>
      <c r="C20" s="137" t="s">
        <v>957</v>
      </c>
      <c r="D20" s="113" t="s">
        <v>964</v>
      </c>
      <c r="E20" s="63" t="s">
        <v>965</v>
      </c>
      <c r="F20" s="126"/>
      <c r="G20" s="64" t="s">
        <v>364</v>
      </c>
    </row>
    <row r="21" customFormat="false" ht="12.8" hidden="false" customHeight="false" outlineLevel="0" collapsed="false">
      <c r="A21" s="54"/>
      <c r="B21" s="135" t="n">
        <v>0.333333333333333</v>
      </c>
      <c r="C21" s="137" t="s">
        <v>957</v>
      </c>
      <c r="D21" s="113" t="s">
        <v>966</v>
      </c>
      <c r="E21" s="63" t="s">
        <v>967</v>
      </c>
      <c r="F21" s="126"/>
      <c r="G21" s="64" t="s">
        <v>364</v>
      </c>
    </row>
    <row r="22" customFormat="false" ht="12.8" hidden="false" customHeight="false" outlineLevel="0" collapsed="false">
      <c r="A22" s="54"/>
      <c r="B22" s="135" t="n">
        <v>0.354166666666667</v>
      </c>
      <c r="C22" s="137" t="s">
        <v>957</v>
      </c>
      <c r="D22" s="113" t="s">
        <v>968</v>
      </c>
      <c r="E22" s="63" t="s">
        <v>969</v>
      </c>
      <c r="F22" s="126"/>
      <c r="G22" s="64" t="s">
        <v>364</v>
      </c>
    </row>
    <row r="23" customFormat="false" ht="12.8" hidden="false" customHeight="false" outlineLevel="0" collapsed="false">
      <c r="A23" s="54"/>
      <c r="B23" s="135" t="n">
        <v>0.375</v>
      </c>
      <c r="C23" s="137" t="s">
        <v>957</v>
      </c>
      <c r="D23" s="138" t="s">
        <v>970</v>
      </c>
      <c r="E23" s="63" t="s">
        <v>971</v>
      </c>
      <c r="F23" s="126"/>
      <c r="G23" s="64" t="s">
        <v>364</v>
      </c>
    </row>
    <row r="24" customFormat="false" ht="12.8" hidden="false" customHeight="false" outlineLevel="0" collapsed="false">
      <c r="A24" s="54"/>
      <c r="B24" s="135" t="n">
        <v>0.395833333333333</v>
      </c>
      <c r="C24" s="137" t="s">
        <v>957</v>
      </c>
      <c r="D24" s="138" t="s">
        <v>970</v>
      </c>
      <c r="E24" s="63" t="s">
        <v>972</v>
      </c>
      <c r="F24" s="126"/>
      <c r="G24" s="64" t="s">
        <v>364</v>
      </c>
    </row>
    <row r="25" customFormat="false" ht="12.8" hidden="false" customHeight="false" outlineLevel="0" collapsed="false">
      <c r="A25" s="54"/>
      <c r="B25" s="135" t="n">
        <v>0.416666666666667</v>
      </c>
      <c r="C25" s="137" t="s">
        <v>957</v>
      </c>
      <c r="D25" s="139" t="s">
        <v>973</v>
      </c>
      <c r="E25" s="63" t="s">
        <v>974</v>
      </c>
      <c r="F25" s="126"/>
      <c r="G25" s="64" t="s">
        <v>364</v>
      </c>
    </row>
    <row r="26" customFormat="false" ht="12.8" hidden="false" customHeight="false" outlineLevel="0" collapsed="false">
      <c r="A26" s="54"/>
      <c r="B26" s="135" t="n">
        <v>0.4375</v>
      </c>
      <c r="C26" s="137" t="s">
        <v>957</v>
      </c>
      <c r="D26" s="139" t="s">
        <v>973</v>
      </c>
      <c r="E26" s="63" t="s">
        <v>972</v>
      </c>
      <c r="F26" s="126"/>
      <c r="G26" s="64" t="s">
        <v>364</v>
      </c>
    </row>
    <row r="27" customFormat="false" ht="12.8" hidden="false" customHeight="false" outlineLevel="0" collapsed="false">
      <c r="A27" s="54"/>
      <c r="B27" s="135" t="n">
        <v>0.458333333333333</v>
      </c>
      <c r="C27" s="137" t="s">
        <v>957</v>
      </c>
      <c r="D27" s="138" t="s">
        <v>970</v>
      </c>
      <c r="E27" s="63" t="s">
        <v>974</v>
      </c>
      <c r="F27" s="126"/>
      <c r="G27" s="64" t="s">
        <v>364</v>
      </c>
    </row>
    <row r="28" customFormat="false" ht="12.8" hidden="false" customHeight="false" outlineLevel="0" collapsed="false">
      <c r="A28" s="54"/>
      <c r="B28" s="135" t="n">
        <v>0.479166666666667</v>
      </c>
      <c r="C28" s="137" t="s">
        <v>957</v>
      </c>
      <c r="D28" s="138" t="s">
        <v>970</v>
      </c>
      <c r="E28" s="63" t="s">
        <v>972</v>
      </c>
      <c r="F28" s="126"/>
      <c r="G28" s="64" t="s">
        <v>364</v>
      </c>
    </row>
    <row r="29" customFormat="false" ht="12.8" hidden="false" customHeight="false" outlineLevel="0" collapsed="false">
      <c r="A29" s="54"/>
      <c r="B29" s="135" t="n">
        <v>0.5</v>
      </c>
      <c r="C29" s="137" t="s">
        <v>957</v>
      </c>
      <c r="D29" s="113" t="s">
        <v>975</v>
      </c>
      <c r="E29" s="63" t="s">
        <v>976</v>
      </c>
      <c r="F29" s="126"/>
      <c r="G29" s="64" t="s">
        <v>364</v>
      </c>
    </row>
    <row r="30" customFormat="false" ht="12.8" hidden="false" customHeight="false" outlineLevel="0" collapsed="false">
      <c r="A30" s="54"/>
      <c r="B30" s="135" t="n">
        <v>0.520833333333333</v>
      </c>
      <c r="C30" s="137" t="s">
        <v>957</v>
      </c>
      <c r="D30" s="113" t="s">
        <v>975</v>
      </c>
      <c r="E30" s="63" t="s">
        <v>972</v>
      </c>
      <c r="F30" s="126"/>
      <c r="G30" s="64" t="s">
        <v>364</v>
      </c>
    </row>
    <row r="31" customFormat="false" ht="12.8" hidden="false" customHeight="false" outlineLevel="0" collapsed="false">
      <c r="A31" s="54"/>
      <c r="B31" s="135" t="n">
        <v>0.541666666666667</v>
      </c>
      <c r="C31" s="137" t="s">
        <v>957</v>
      </c>
      <c r="D31" s="113" t="s">
        <v>977</v>
      </c>
      <c r="E31" s="63" t="s">
        <v>978</v>
      </c>
      <c r="F31" s="126"/>
      <c r="G31" s="64" t="s">
        <v>364</v>
      </c>
    </row>
    <row r="32" customFormat="false" ht="12.8" hidden="false" customHeight="false" outlineLevel="0" collapsed="false">
      <c r="A32" s="54"/>
      <c r="B32" s="135" t="n">
        <v>0.5625</v>
      </c>
      <c r="C32" s="137" t="s">
        <v>957</v>
      </c>
      <c r="D32" s="113" t="s">
        <v>977</v>
      </c>
      <c r="E32" s="63" t="s">
        <v>972</v>
      </c>
      <c r="F32" s="126"/>
      <c r="G32" s="64" t="s">
        <v>364</v>
      </c>
    </row>
    <row r="33" customFormat="false" ht="12.8" hidden="false" customHeight="false" outlineLevel="0" collapsed="false">
      <c r="A33" s="54"/>
      <c r="B33" s="135" t="n">
        <v>0.583333333333333</v>
      </c>
      <c r="C33" s="137" t="s">
        <v>957</v>
      </c>
      <c r="D33" s="138" t="s">
        <v>970</v>
      </c>
      <c r="E33" s="63" t="s">
        <v>974</v>
      </c>
      <c r="F33" s="126"/>
      <c r="G33" s="64" t="s">
        <v>364</v>
      </c>
    </row>
    <row r="34" customFormat="false" ht="12.8" hidden="false" customHeight="false" outlineLevel="0" collapsed="false">
      <c r="A34" s="54"/>
      <c r="B34" s="135" t="n">
        <v>0.604166666666667</v>
      </c>
      <c r="C34" s="137" t="s">
        <v>957</v>
      </c>
      <c r="D34" s="138" t="s">
        <v>970</v>
      </c>
      <c r="E34" s="63" t="s">
        <v>972</v>
      </c>
      <c r="F34" s="126"/>
      <c r="G34" s="64" t="s">
        <v>364</v>
      </c>
    </row>
    <row r="35" customFormat="false" ht="12.8" hidden="false" customHeight="false" outlineLevel="0" collapsed="false">
      <c r="A35" s="54"/>
      <c r="B35" s="135" t="n">
        <v>0.625</v>
      </c>
      <c r="C35" s="137" t="s">
        <v>957</v>
      </c>
      <c r="D35" s="139" t="s">
        <v>973</v>
      </c>
      <c r="E35" s="63" t="s">
        <v>974</v>
      </c>
      <c r="F35" s="126"/>
      <c r="G35" s="64" t="s">
        <v>364</v>
      </c>
    </row>
    <row r="36" customFormat="false" ht="12.8" hidden="false" customHeight="false" outlineLevel="0" collapsed="false">
      <c r="A36" s="54"/>
      <c r="B36" s="135" t="n">
        <v>0.645833333333333</v>
      </c>
      <c r="C36" s="137" t="s">
        <v>957</v>
      </c>
      <c r="D36" s="139" t="s">
        <v>973</v>
      </c>
      <c r="E36" s="63" t="s">
        <v>972</v>
      </c>
      <c r="F36" s="126"/>
      <c r="G36" s="64" t="s">
        <v>364</v>
      </c>
    </row>
    <row r="37" customFormat="false" ht="12.8" hidden="false" customHeight="false" outlineLevel="0" collapsed="false">
      <c r="A37" s="54"/>
      <c r="B37" s="135" t="n">
        <v>0.666666666666667</v>
      </c>
      <c r="C37" s="137" t="s">
        <v>957</v>
      </c>
      <c r="D37" s="138" t="s">
        <v>970</v>
      </c>
      <c r="E37" s="63" t="s">
        <v>974</v>
      </c>
      <c r="F37" s="126"/>
      <c r="G37" s="64" t="s">
        <v>364</v>
      </c>
    </row>
    <row r="38" customFormat="false" ht="12.8" hidden="false" customHeight="false" outlineLevel="0" collapsed="false">
      <c r="A38" s="54"/>
      <c r="B38" s="135" t="n">
        <v>0.6875</v>
      </c>
      <c r="C38" s="137" t="s">
        <v>957</v>
      </c>
      <c r="D38" s="138" t="s">
        <v>970</v>
      </c>
      <c r="E38" s="63" t="s">
        <v>972</v>
      </c>
      <c r="F38" s="126"/>
      <c r="G38" s="64" t="s">
        <v>364</v>
      </c>
    </row>
    <row r="39" customFormat="false" ht="12.8" hidden="false" customHeight="false" outlineLevel="0" collapsed="false">
      <c r="A39" s="54"/>
      <c r="B39" s="135" t="n">
        <v>0.708333333333333</v>
      </c>
      <c r="C39" s="137" t="s">
        <v>957</v>
      </c>
      <c r="D39" s="139" t="s">
        <v>973</v>
      </c>
      <c r="E39" s="63" t="s">
        <v>974</v>
      </c>
      <c r="F39" s="126"/>
      <c r="G39" s="64" t="s">
        <v>364</v>
      </c>
    </row>
    <row r="40" customFormat="false" ht="12.8" hidden="false" customHeight="false" outlineLevel="0" collapsed="false">
      <c r="A40" s="54"/>
      <c r="B40" s="135" t="n">
        <v>0.729166666666667</v>
      </c>
      <c r="C40" s="137" t="s">
        <v>957</v>
      </c>
      <c r="D40" s="139" t="s">
        <v>973</v>
      </c>
      <c r="E40" s="63" t="s">
        <v>972</v>
      </c>
      <c r="F40" s="126"/>
      <c r="G40" s="64" t="s">
        <v>364</v>
      </c>
    </row>
    <row r="41" customFormat="false" ht="12.8" hidden="false" customHeight="false" outlineLevel="0" collapsed="false">
      <c r="A41" s="54"/>
      <c r="B41" s="135" t="n">
        <v>0.75</v>
      </c>
      <c r="C41" s="137" t="s">
        <v>957</v>
      </c>
      <c r="D41" s="113" t="s">
        <v>977</v>
      </c>
      <c r="E41" s="63" t="s">
        <v>979</v>
      </c>
      <c r="F41" s="126"/>
      <c r="G41" s="64" t="s">
        <v>364</v>
      </c>
    </row>
    <row r="42" customFormat="false" ht="12.8" hidden="false" customHeight="false" outlineLevel="0" collapsed="false">
      <c r="A42" s="54"/>
      <c r="B42" s="135" t="n">
        <v>0.770833333333333</v>
      </c>
      <c r="C42" s="137" t="s">
        <v>957</v>
      </c>
      <c r="D42" s="113" t="s">
        <v>958</v>
      </c>
      <c r="E42" s="63"/>
      <c r="F42" s="126"/>
      <c r="G42" s="64" t="s">
        <v>364</v>
      </c>
    </row>
    <row r="43" customFormat="false" ht="12.8" hidden="false" customHeight="false" outlineLevel="0" collapsed="false">
      <c r="A43" s="54"/>
      <c r="B43" s="135" t="n">
        <v>0.791666666666667</v>
      </c>
      <c r="C43" s="136" t="s">
        <v>950</v>
      </c>
      <c r="D43" s="113" t="s">
        <v>955</v>
      </c>
      <c r="E43" s="63"/>
      <c r="F43" s="126"/>
      <c r="G43" s="64" t="s">
        <v>364</v>
      </c>
    </row>
    <row r="44" customFormat="false" ht="12.8" hidden="false" customHeight="false" outlineLevel="0" collapsed="false">
      <c r="A44" s="54"/>
      <c r="B44" s="135" t="n">
        <v>0.8125</v>
      </c>
      <c r="C44" s="136" t="s">
        <v>950</v>
      </c>
      <c r="D44" s="113" t="s">
        <v>980</v>
      </c>
      <c r="E44" s="63"/>
      <c r="F44" s="126"/>
      <c r="G44" s="64" t="s">
        <v>364</v>
      </c>
    </row>
    <row r="45" customFormat="false" ht="12.8" hidden="false" customHeight="false" outlineLevel="0" collapsed="false">
      <c r="A45" s="54"/>
      <c r="B45" s="135" t="n">
        <v>0.833333333333333</v>
      </c>
      <c r="C45" s="136" t="s">
        <v>950</v>
      </c>
      <c r="D45" s="113" t="s">
        <v>981</v>
      </c>
      <c r="E45" s="63"/>
      <c r="F45" s="126"/>
      <c r="G45" s="64" t="s">
        <v>364</v>
      </c>
    </row>
    <row r="46" customFormat="false" ht="12.8" hidden="false" customHeight="false" outlineLevel="0" collapsed="false">
      <c r="A46" s="54"/>
      <c r="B46" s="135" t="n">
        <v>0.854166666666667</v>
      </c>
      <c r="C46" s="136" t="s">
        <v>950</v>
      </c>
      <c r="D46" s="113" t="s">
        <v>982</v>
      </c>
      <c r="E46" s="63"/>
      <c r="F46" s="126"/>
      <c r="G46" s="64" t="s">
        <v>364</v>
      </c>
    </row>
    <row r="47" customFormat="false" ht="12.8" hidden="false" customHeight="false" outlineLevel="0" collapsed="false">
      <c r="A47" s="54"/>
      <c r="B47" s="135" t="n">
        <v>0.875</v>
      </c>
      <c r="C47" s="136" t="s">
        <v>950</v>
      </c>
      <c r="D47" s="113" t="s">
        <v>982</v>
      </c>
      <c r="E47" s="63"/>
      <c r="F47" s="126"/>
      <c r="G47" s="64" t="s">
        <v>364</v>
      </c>
    </row>
    <row r="48" customFormat="false" ht="12.8" hidden="false" customHeight="false" outlineLevel="0" collapsed="false">
      <c r="A48" s="54"/>
      <c r="B48" s="135" t="n">
        <v>0.895833333333333</v>
      </c>
      <c r="C48" s="136" t="s">
        <v>950</v>
      </c>
      <c r="D48" s="113" t="s">
        <v>982</v>
      </c>
      <c r="E48" s="63"/>
      <c r="F48" s="126"/>
      <c r="G48" s="64" t="s">
        <v>364</v>
      </c>
    </row>
    <row r="49" customFormat="false" ht="12.8" hidden="false" customHeight="false" outlineLevel="0" collapsed="false">
      <c r="A49" s="54"/>
      <c r="B49" s="135" t="n">
        <v>0.916666666666667</v>
      </c>
      <c r="C49" s="136" t="s">
        <v>950</v>
      </c>
      <c r="D49" s="113" t="s">
        <v>951</v>
      </c>
      <c r="E49" s="63"/>
      <c r="F49" s="126"/>
      <c r="G49" s="64" t="s">
        <v>364</v>
      </c>
    </row>
    <row r="50" customFormat="false" ht="12.8" hidden="false" customHeight="false" outlineLevel="0" collapsed="false">
      <c r="A50" s="54"/>
      <c r="B50" s="135" t="n">
        <v>0.9375</v>
      </c>
      <c r="C50" s="136" t="s">
        <v>950</v>
      </c>
      <c r="D50" s="113" t="s">
        <v>951</v>
      </c>
      <c r="E50" s="63"/>
      <c r="F50" s="126"/>
      <c r="G50" s="64" t="s">
        <v>364</v>
      </c>
    </row>
    <row r="51" customFormat="false" ht="12.8" hidden="false" customHeight="false" outlineLevel="0" collapsed="false">
      <c r="A51" s="54"/>
      <c r="B51" s="135" t="n">
        <v>0.958333333333333</v>
      </c>
      <c r="C51" s="136" t="s">
        <v>950</v>
      </c>
      <c r="D51" s="113" t="s">
        <v>951</v>
      </c>
      <c r="E51" s="63"/>
      <c r="F51" s="126"/>
      <c r="G51" s="64" t="s">
        <v>364</v>
      </c>
    </row>
    <row r="52" customFormat="false" ht="12.8" hidden="false" customHeight="false" outlineLevel="0" collapsed="false">
      <c r="A52" s="54"/>
      <c r="B52" s="135" t="n">
        <v>0.979166666666667</v>
      </c>
      <c r="C52" s="136" t="s">
        <v>950</v>
      </c>
      <c r="D52" s="113" t="s">
        <v>951</v>
      </c>
      <c r="E52" s="63"/>
      <c r="F52" s="126"/>
      <c r="G52" s="64" t="s">
        <v>364</v>
      </c>
    </row>
    <row r="53" customFormat="false" ht="12.8" hidden="false" customHeight="false" outlineLevel="0" collapsed="false">
      <c r="A53" s="54"/>
      <c r="B53" s="135" t="n">
        <v>1</v>
      </c>
      <c r="C53" s="136" t="s">
        <v>950</v>
      </c>
      <c r="D53" s="113" t="s">
        <v>951</v>
      </c>
      <c r="E53" s="63"/>
      <c r="F53" s="126"/>
      <c r="G53" s="64" t="s">
        <v>364</v>
      </c>
    </row>
    <row r="54" customFormat="false" ht="12.8" hidden="false" customHeight="false" outlineLevel="0" collapsed="false">
      <c r="A54" s="54"/>
      <c r="B54" s="135"/>
      <c r="C54" s="62"/>
      <c r="D54" s="113"/>
      <c r="E54" s="63"/>
      <c r="F54" s="126"/>
      <c r="G54" s="64" t="s">
        <v>364</v>
      </c>
    </row>
    <row r="55" customFormat="false" ht="12.8" hidden="false" customHeight="false" outlineLevel="0" collapsed="false">
      <c r="A55" s="54"/>
      <c r="B55" s="135"/>
      <c r="C55" s="62"/>
      <c r="D55" s="113"/>
      <c r="E55" s="63"/>
      <c r="F55" s="126"/>
      <c r="G55" s="64" t="s">
        <v>364</v>
      </c>
    </row>
  </sheetData>
  <autoFilter ref="A4:G55"/>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AMI37"/>
  <sheetViews>
    <sheetView showFormulas="false" showGridLines="false" showRowColHeaders="true" showZeros="true" rightToLeft="false" tabSelected="false" showOutlineSymbols="true" defaultGridColor="true" view="normal" topLeftCell="B1" colorId="64" zoomScale="100" zoomScaleNormal="100" zoomScalePageLayoutView="100" workbookViewId="0">
      <selection pane="topLeft" activeCell="M12" activeCellId="0" sqref="M12"/>
    </sheetView>
  </sheetViews>
  <sheetFormatPr defaultColWidth="16.8046875" defaultRowHeight="12.8" zeroHeight="false" outlineLevelRow="1" outlineLevelCol="0"/>
  <cols>
    <col collapsed="false" customWidth="true" hidden="false" outlineLevel="0" max="1" min="1" style="1" width="3.05"/>
    <col collapsed="false" customWidth="true" hidden="false" outlineLevel="0" max="2" min="2" style="1" width="9.15"/>
    <col collapsed="false" customWidth="true" hidden="false" outlineLevel="0" max="3" min="3" style="1" width="5.25"/>
    <col collapsed="false" customWidth="true" hidden="false" outlineLevel="0" max="4" min="4" style="29" width="9.64"/>
    <col collapsed="false" customWidth="true" hidden="false" outlineLevel="0" max="5" min="5" style="29" width="8.17"/>
    <col collapsed="false" customWidth="true" hidden="false" outlineLevel="0" max="7" min="6" style="29" width="12.64"/>
    <col collapsed="false" customWidth="true" hidden="false" outlineLevel="0" max="8" min="8" style="29" width="9.87"/>
    <col collapsed="false" customWidth="true" hidden="false" outlineLevel="0" max="9" min="9" style="29" width="12.71"/>
    <col collapsed="false" customWidth="true" hidden="false" outlineLevel="0" max="12" min="10" style="29" width="10.31"/>
    <col collapsed="false" customWidth="true" hidden="false" outlineLevel="0" max="13" min="13" style="3" width="29"/>
    <col collapsed="false" customWidth="true" hidden="false" outlineLevel="0" max="14" min="14" style="29" width="25.87"/>
    <col collapsed="false" customWidth="true" hidden="false" outlineLevel="0" max="15" min="15" style="29" width="15.2"/>
    <col collapsed="false" customWidth="true" hidden="false" outlineLevel="0" max="23" min="16" style="29" width="10.31"/>
    <col collapsed="false" customWidth="true" hidden="false" outlineLevel="0" max="24" min="24" style="29" width="16.18"/>
    <col collapsed="false" customWidth="true" hidden="false" outlineLevel="0" max="25" min="25" style="29" width="10.31"/>
    <col collapsed="false" customWidth="true" hidden="false" outlineLevel="0" max="26" min="26" style="29" width="15.2"/>
    <col collapsed="false" customWidth="true" hidden="false" outlineLevel="0" max="27" min="27" style="29" width="11.91"/>
    <col collapsed="false" customWidth="true" hidden="false" outlineLevel="0" max="28" min="28" style="29" width="15.85"/>
    <col collapsed="false" customWidth="true" hidden="false" outlineLevel="0" max="29" min="29" style="29" width="10.31"/>
    <col collapsed="false" customWidth="true" hidden="false" outlineLevel="0" max="30" min="30" style="29" width="13.89"/>
    <col collapsed="false" customWidth="true" hidden="false" outlineLevel="0" max="31" min="31" style="29" width="8.64"/>
    <col collapsed="false" customWidth="true" hidden="false" outlineLevel="0" max="32" min="32" style="29" width="14.06"/>
    <col collapsed="false" customWidth="true" hidden="false" outlineLevel="0" max="33" min="33" style="29" width="9.33"/>
    <col collapsed="false" customWidth="true" hidden="false" outlineLevel="0" max="34" min="34" style="29" width="9.87"/>
    <col collapsed="false" customWidth="true" hidden="false" outlineLevel="0" max="35" min="35" style="1" width="6.54"/>
    <col collapsed="false" customWidth="true" hidden="false" outlineLevel="0" max="36" min="36" style="1" width="3.79"/>
    <col collapsed="false" customWidth="true" hidden="false" outlineLevel="0" max="37" min="37" style="1" width="7.04"/>
    <col collapsed="false" customWidth="true" hidden="false" outlineLevel="0" max="38" min="38" style="1" width="4.02"/>
    <col collapsed="false" customWidth="true" hidden="false" outlineLevel="0" max="39" min="39" style="1" width="11.57"/>
    <col collapsed="false" customWidth="true" hidden="false" outlineLevel="0" max="40" min="40" style="1" width="14.62"/>
    <col collapsed="false" customWidth="true" hidden="false" outlineLevel="0" max="41" min="41" style="1" width="2.12"/>
    <col collapsed="false" customWidth="true" hidden="false" outlineLevel="0" max="1024" min="1024" style="1" width="11.52"/>
  </cols>
  <sheetData>
    <row r="1" customFormat="false" ht="47" hidden="false" customHeight="true" outlineLevel="1" collapsed="false">
      <c r="A1" s="140" t="s">
        <v>983</v>
      </c>
      <c r="B1" s="140"/>
      <c r="C1" s="140"/>
      <c r="D1" s="141"/>
      <c r="E1" s="141"/>
      <c r="F1" s="141"/>
      <c r="G1" s="141" t="s">
        <v>984</v>
      </c>
      <c r="H1" s="141" t="s">
        <v>985</v>
      </c>
      <c r="I1" s="141" t="s">
        <v>986</v>
      </c>
      <c r="J1" s="141" t="s">
        <v>987</v>
      </c>
      <c r="K1" s="141" t="s">
        <v>988</v>
      </c>
      <c r="L1" s="141"/>
      <c r="M1" s="142" t="s">
        <v>989</v>
      </c>
      <c r="N1" s="141" t="s">
        <v>989</v>
      </c>
      <c r="O1" s="141" t="s">
        <v>989</v>
      </c>
      <c r="P1" s="141" t="s">
        <v>989</v>
      </c>
      <c r="Q1" s="141" t="s">
        <v>989</v>
      </c>
      <c r="R1" s="141" t="s">
        <v>989</v>
      </c>
      <c r="S1" s="141" t="s">
        <v>989</v>
      </c>
      <c r="T1" s="141" t="s">
        <v>989</v>
      </c>
      <c r="U1" s="141" t="s">
        <v>989</v>
      </c>
      <c r="V1" s="141" t="s">
        <v>989</v>
      </c>
      <c r="W1" s="141" t="s">
        <v>990</v>
      </c>
      <c r="X1" s="141" t="s">
        <v>991</v>
      </c>
      <c r="Y1" s="141"/>
      <c r="Z1" s="141"/>
      <c r="AA1" s="141"/>
      <c r="AB1" s="141"/>
      <c r="AC1" s="141"/>
      <c r="AD1" s="141"/>
      <c r="AE1" s="141"/>
      <c r="AF1" s="141"/>
      <c r="AG1" s="141"/>
      <c r="AH1" s="141"/>
      <c r="AI1" s="140"/>
      <c r="AJ1" s="140"/>
      <c r="AK1" s="140"/>
      <c r="AL1" s="143"/>
      <c r="AM1" s="140"/>
      <c r="AN1" s="140"/>
      <c r="AO1" s="140" t="s">
        <v>992</v>
      </c>
      <c r="AP1" s="144"/>
      <c r="AQ1" s="144"/>
      <c r="AR1" s="144"/>
      <c r="AS1" s="144"/>
      <c r="AT1" s="144"/>
      <c r="AU1" s="144"/>
      <c r="AV1" s="144"/>
      <c r="AW1" s="144"/>
      <c r="AX1" s="144"/>
      <c r="AY1" s="144"/>
      <c r="AZ1" s="144"/>
      <c r="BA1" s="144"/>
      <c r="BB1" s="144"/>
      <c r="BC1" s="144"/>
      <c r="BD1" s="144"/>
      <c r="BE1" s="144"/>
      <c r="BF1" s="144"/>
      <c r="BG1" s="144"/>
      <c r="BH1" s="144"/>
      <c r="BI1" s="144"/>
      <c r="BJ1" s="144"/>
      <c r="BK1" s="144"/>
      <c r="BL1" s="144"/>
      <c r="BM1" s="144"/>
      <c r="BN1" s="144"/>
      <c r="BO1" s="144"/>
      <c r="BP1" s="144"/>
      <c r="BQ1" s="144"/>
      <c r="BR1" s="144"/>
      <c r="BS1" s="144"/>
      <c r="BT1" s="144"/>
      <c r="BU1" s="144"/>
      <c r="BV1" s="144"/>
      <c r="BW1" s="144"/>
      <c r="BX1" s="144"/>
      <c r="BY1" s="144"/>
      <c r="BZ1" s="144"/>
      <c r="CA1" s="144"/>
      <c r="CB1" s="144"/>
      <c r="CC1" s="144"/>
      <c r="CD1" s="144"/>
      <c r="CE1" s="144"/>
      <c r="CF1" s="144"/>
      <c r="CG1" s="144"/>
      <c r="CH1" s="144"/>
      <c r="CI1" s="144"/>
      <c r="CJ1" s="144"/>
      <c r="CK1" s="144"/>
      <c r="CL1" s="144"/>
      <c r="CM1" s="144"/>
      <c r="CN1" s="144"/>
      <c r="CO1" s="144"/>
      <c r="CP1" s="144"/>
      <c r="CQ1" s="144"/>
      <c r="CR1" s="144"/>
      <c r="CS1" s="144"/>
      <c r="CT1" s="144"/>
      <c r="CU1" s="144"/>
      <c r="CV1" s="144"/>
      <c r="CW1" s="144"/>
      <c r="CX1" s="144"/>
      <c r="CY1" s="144"/>
      <c r="CZ1" s="144"/>
      <c r="DA1" s="144"/>
      <c r="DB1" s="144"/>
      <c r="DC1" s="144"/>
      <c r="DD1" s="144"/>
      <c r="DE1" s="144"/>
      <c r="DF1" s="144"/>
      <c r="DG1" s="144"/>
      <c r="DH1" s="144"/>
      <c r="DI1" s="144"/>
      <c r="DJ1" s="144"/>
      <c r="DK1" s="144"/>
      <c r="DL1" s="144"/>
      <c r="DM1" s="144"/>
      <c r="DN1" s="144"/>
      <c r="DO1" s="144"/>
      <c r="DP1" s="144"/>
      <c r="DQ1" s="144"/>
      <c r="DR1" s="144"/>
      <c r="DS1" s="144"/>
      <c r="DT1" s="144"/>
      <c r="DU1" s="144"/>
      <c r="DV1" s="144"/>
      <c r="DW1" s="144"/>
      <c r="DX1" s="144"/>
      <c r="DY1" s="144"/>
      <c r="DZ1" s="144"/>
      <c r="EA1" s="144"/>
      <c r="EB1" s="144"/>
      <c r="EC1" s="144"/>
      <c r="ED1" s="144"/>
      <c r="EE1" s="144"/>
      <c r="EF1" s="144"/>
      <c r="EG1" s="144"/>
      <c r="EH1" s="144"/>
      <c r="EI1" s="144"/>
      <c r="EJ1" s="144"/>
      <c r="EK1" s="144"/>
      <c r="EL1" s="144"/>
      <c r="EM1" s="144"/>
      <c r="EN1" s="144"/>
      <c r="EO1" s="144"/>
      <c r="EP1" s="144"/>
      <c r="EQ1" s="144"/>
      <c r="ER1" s="144"/>
      <c r="ES1" s="144"/>
      <c r="ET1" s="144"/>
      <c r="EU1" s="144"/>
      <c r="EV1" s="144"/>
      <c r="EW1" s="144"/>
      <c r="EX1" s="144"/>
      <c r="EY1" s="144"/>
      <c r="EZ1" s="144"/>
      <c r="FA1" s="144"/>
      <c r="FB1" s="144"/>
      <c r="FC1" s="144"/>
      <c r="FD1" s="144"/>
      <c r="FE1" s="144"/>
      <c r="FF1" s="144"/>
      <c r="FG1" s="144"/>
      <c r="FH1" s="144"/>
      <c r="FI1" s="144"/>
      <c r="FJ1" s="144"/>
      <c r="FK1" s="144"/>
      <c r="FL1" s="144"/>
      <c r="FM1" s="144"/>
      <c r="FN1" s="144"/>
      <c r="FO1" s="144"/>
      <c r="FP1" s="144"/>
      <c r="FQ1" s="144"/>
      <c r="FR1" s="144"/>
      <c r="FS1" s="144"/>
      <c r="FT1" s="144"/>
      <c r="FU1" s="144"/>
      <c r="FV1" s="144"/>
      <c r="FW1" s="144"/>
      <c r="FX1" s="144"/>
      <c r="FY1" s="144"/>
      <c r="FZ1" s="144"/>
      <c r="GA1" s="144"/>
      <c r="GB1" s="144"/>
      <c r="GC1" s="144"/>
      <c r="GD1" s="144"/>
      <c r="GE1" s="144"/>
      <c r="GF1" s="144"/>
      <c r="GG1" s="144"/>
      <c r="GH1" s="144"/>
      <c r="GI1" s="144"/>
      <c r="GJ1" s="144"/>
      <c r="GK1" s="144"/>
      <c r="GL1" s="144"/>
      <c r="GM1" s="144"/>
      <c r="GN1" s="144"/>
      <c r="GO1" s="144"/>
      <c r="GP1" s="144"/>
      <c r="GQ1" s="144"/>
      <c r="GR1" s="144"/>
      <c r="GS1" s="144"/>
      <c r="GT1" s="144"/>
      <c r="GU1" s="144"/>
      <c r="GV1" s="144"/>
      <c r="GW1" s="144"/>
      <c r="GX1" s="144"/>
      <c r="GY1" s="144"/>
      <c r="GZ1" s="144"/>
      <c r="HA1" s="144"/>
      <c r="HB1" s="144"/>
      <c r="HC1" s="144"/>
      <c r="HD1" s="144"/>
      <c r="HE1" s="144"/>
      <c r="HF1" s="144"/>
      <c r="HG1" s="144"/>
      <c r="HH1" s="144"/>
      <c r="HI1" s="144"/>
      <c r="HJ1" s="144"/>
      <c r="HK1" s="144"/>
      <c r="HL1" s="144"/>
      <c r="HM1" s="144"/>
      <c r="HN1" s="144"/>
      <c r="HO1" s="144"/>
      <c r="HP1" s="144"/>
      <c r="HQ1" s="144"/>
      <c r="HR1" s="144"/>
      <c r="HS1" s="144"/>
      <c r="HT1" s="144"/>
      <c r="HU1" s="144"/>
      <c r="HV1" s="144"/>
      <c r="HW1" s="144"/>
      <c r="HX1" s="144"/>
      <c r="HY1" s="144"/>
      <c r="HZ1" s="144"/>
      <c r="IA1" s="144"/>
      <c r="IB1" s="144"/>
      <c r="IC1" s="144"/>
      <c r="ID1" s="144"/>
      <c r="IE1" s="144"/>
      <c r="IF1" s="144"/>
      <c r="IG1" s="144"/>
      <c r="IH1" s="144"/>
      <c r="II1" s="144"/>
      <c r="IJ1" s="144"/>
      <c r="IK1" s="144"/>
      <c r="IL1" s="144"/>
      <c r="IM1" s="144"/>
      <c r="IN1" s="144"/>
      <c r="IO1" s="144"/>
      <c r="IP1" s="144"/>
      <c r="IQ1" s="144"/>
      <c r="IR1" s="144"/>
      <c r="IS1" s="144"/>
      <c r="IT1" s="144"/>
      <c r="IU1" s="144"/>
      <c r="IV1" s="144"/>
      <c r="IW1" s="144"/>
      <c r="IX1" s="144"/>
      <c r="IY1" s="144"/>
      <c r="IZ1" s="144"/>
      <c r="JA1" s="144"/>
      <c r="JB1" s="144"/>
      <c r="JC1" s="144"/>
      <c r="JD1" s="144"/>
      <c r="JE1" s="144"/>
      <c r="JF1" s="144"/>
      <c r="JG1" s="144"/>
      <c r="JH1" s="144"/>
      <c r="JI1" s="144"/>
      <c r="JJ1" s="144"/>
      <c r="JK1" s="144"/>
      <c r="JL1" s="144"/>
      <c r="JM1" s="144"/>
      <c r="JN1" s="144"/>
      <c r="JO1" s="144"/>
      <c r="JP1" s="144"/>
      <c r="JQ1" s="144"/>
      <c r="JR1" s="144"/>
      <c r="JS1" s="144"/>
      <c r="JT1" s="144"/>
      <c r="JU1" s="144"/>
      <c r="JV1" s="144"/>
      <c r="JW1" s="144"/>
      <c r="JX1" s="144"/>
      <c r="JY1" s="144"/>
      <c r="JZ1" s="144"/>
      <c r="KA1" s="144"/>
      <c r="KB1" s="144"/>
      <c r="KC1" s="144"/>
      <c r="KD1" s="144"/>
      <c r="KE1" s="144"/>
      <c r="KF1" s="144"/>
      <c r="KG1" s="144"/>
      <c r="KH1" s="144"/>
      <c r="KI1" s="144"/>
      <c r="KJ1" s="144"/>
      <c r="KK1" s="144"/>
      <c r="KL1" s="144"/>
      <c r="KM1" s="144"/>
      <c r="KN1" s="144"/>
      <c r="KO1" s="144"/>
      <c r="KP1" s="144"/>
      <c r="KQ1" s="144"/>
      <c r="KR1" s="144"/>
      <c r="KS1" s="144"/>
      <c r="KT1" s="144"/>
      <c r="KU1" s="144"/>
      <c r="KV1" s="144"/>
      <c r="KW1" s="144"/>
      <c r="KX1" s="144"/>
      <c r="KY1" s="144"/>
      <c r="KZ1" s="144"/>
      <c r="LA1" s="144"/>
      <c r="LB1" s="144"/>
      <c r="LC1" s="144"/>
      <c r="LD1" s="144"/>
      <c r="LE1" s="144"/>
      <c r="LF1" s="144"/>
      <c r="LG1" s="144"/>
      <c r="LH1" s="144"/>
      <c r="LI1" s="144"/>
      <c r="LJ1" s="144"/>
      <c r="LK1" s="144"/>
      <c r="LL1" s="144"/>
      <c r="LM1" s="144"/>
      <c r="LN1" s="144"/>
      <c r="LO1" s="144"/>
      <c r="LP1" s="144"/>
      <c r="LQ1" s="144"/>
      <c r="LR1" s="144"/>
      <c r="LS1" s="144"/>
      <c r="LT1" s="144"/>
      <c r="LU1" s="144"/>
      <c r="LV1" s="144"/>
      <c r="LW1" s="144"/>
      <c r="LX1" s="144"/>
      <c r="LY1" s="144"/>
      <c r="LZ1" s="144"/>
      <c r="MA1" s="144"/>
      <c r="MB1" s="144"/>
      <c r="MC1" s="144"/>
      <c r="MD1" s="144"/>
      <c r="ME1" s="144"/>
      <c r="MF1" s="144"/>
      <c r="MG1" s="144"/>
      <c r="MH1" s="144"/>
      <c r="MI1" s="144"/>
      <c r="MJ1" s="144"/>
      <c r="MK1" s="144"/>
      <c r="ML1" s="144"/>
      <c r="MM1" s="144"/>
      <c r="MN1" s="144"/>
      <c r="MO1" s="144"/>
      <c r="MP1" s="144"/>
      <c r="MQ1" s="144"/>
      <c r="MR1" s="144"/>
      <c r="MS1" s="144"/>
      <c r="MT1" s="144"/>
      <c r="MU1" s="144"/>
      <c r="MV1" s="144"/>
      <c r="MW1" s="144"/>
      <c r="MX1" s="144"/>
      <c r="MY1" s="144"/>
      <c r="MZ1" s="144"/>
      <c r="NA1" s="144"/>
      <c r="NB1" s="144"/>
      <c r="NC1" s="144"/>
      <c r="ND1" s="144"/>
      <c r="NE1" s="144"/>
      <c r="NF1" s="144"/>
      <c r="NG1" s="144"/>
      <c r="NH1" s="144"/>
      <c r="NI1" s="144"/>
      <c r="NJ1" s="144"/>
      <c r="NK1" s="144"/>
      <c r="NL1" s="144"/>
      <c r="NM1" s="144"/>
      <c r="NN1" s="144"/>
      <c r="NO1" s="144"/>
      <c r="NP1" s="144"/>
      <c r="NQ1" s="144"/>
      <c r="NR1" s="144"/>
      <c r="NS1" s="144"/>
      <c r="NT1" s="144"/>
      <c r="NU1" s="144"/>
      <c r="NV1" s="144"/>
      <c r="NW1" s="144"/>
      <c r="NX1" s="144"/>
      <c r="NY1" s="144"/>
      <c r="NZ1" s="144"/>
      <c r="OA1" s="144"/>
      <c r="OB1" s="144"/>
      <c r="OC1" s="144"/>
      <c r="OD1" s="144"/>
      <c r="OE1" s="144"/>
      <c r="OF1" s="144"/>
      <c r="OG1" s="144"/>
      <c r="OH1" s="144"/>
      <c r="OI1" s="144"/>
      <c r="OJ1" s="144"/>
      <c r="OK1" s="144"/>
      <c r="OL1" s="144"/>
      <c r="OM1" s="144"/>
      <c r="ON1" s="144"/>
      <c r="OO1" s="144"/>
      <c r="OP1" s="144"/>
      <c r="OQ1" s="144"/>
      <c r="OR1" s="144"/>
      <c r="OS1" s="144"/>
      <c r="OT1" s="144"/>
      <c r="OU1" s="144"/>
      <c r="OV1" s="144"/>
      <c r="OW1" s="144"/>
      <c r="OX1" s="144"/>
      <c r="OY1" s="144"/>
      <c r="OZ1" s="144"/>
      <c r="PA1" s="144"/>
      <c r="PB1" s="144"/>
      <c r="PC1" s="144"/>
      <c r="PD1" s="144"/>
      <c r="PE1" s="144"/>
      <c r="PF1" s="144"/>
      <c r="PG1" s="144"/>
      <c r="PH1" s="144"/>
      <c r="PI1" s="144"/>
      <c r="PJ1" s="144"/>
      <c r="PK1" s="144"/>
      <c r="PL1" s="144"/>
      <c r="PM1" s="144"/>
      <c r="PN1" s="144"/>
      <c r="PO1" s="144"/>
      <c r="PP1" s="144"/>
      <c r="PQ1" s="144"/>
      <c r="PR1" s="144"/>
      <c r="PS1" s="144"/>
      <c r="PT1" s="144"/>
      <c r="PU1" s="144"/>
      <c r="PV1" s="144"/>
      <c r="PW1" s="144"/>
      <c r="PX1" s="144"/>
      <c r="PY1" s="144"/>
      <c r="PZ1" s="144"/>
      <c r="QA1" s="144"/>
      <c r="QB1" s="144"/>
      <c r="QC1" s="144"/>
      <c r="QD1" s="144"/>
      <c r="QE1" s="144"/>
      <c r="QF1" s="144"/>
      <c r="QG1" s="144"/>
      <c r="QH1" s="144"/>
      <c r="QI1" s="144"/>
      <c r="QJ1" s="144"/>
      <c r="QK1" s="144"/>
      <c r="QL1" s="144"/>
      <c r="QM1" s="144"/>
      <c r="QN1" s="144"/>
      <c r="QO1" s="144"/>
      <c r="QP1" s="144"/>
      <c r="QQ1" s="144"/>
      <c r="QR1" s="144"/>
      <c r="QS1" s="144"/>
      <c r="QT1" s="144"/>
      <c r="QU1" s="144"/>
      <c r="QV1" s="144"/>
      <c r="QW1" s="144"/>
      <c r="QX1" s="144"/>
      <c r="QY1" s="144"/>
      <c r="QZ1" s="144"/>
      <c r="RA1" s="144"/>
      <c r="RB1" s="144"/>
      <c r="RC1" s="144"/>
      <c r="RD1" s="144"/>
      <c r="RE1" s="144"/>
      <c r="RF1" s="144"/>
      <c r="RG1" s="144"/>
      <c r="RH1" s="144"/>
      <c r="RI1" s="144"/>
      <c r="RJ1" s="144"/>
      <c r="RK1" s="144"/>
      <c r="RL1" s="144"/>
      <c r="RM1" s="144"/>
      <c r="RN1" s="144"/>
      <c r="RO1" s="144"/>
      <c r="RP1" s="144"/>
      <c r="RQ1" s="144"/>
      <c r="RR1" s="144"/>
      <c r="RS1" s="144"/>
      <c r="RT1" s="144"/>
      <c r="RU1" s="144"/>
      <c r="RV1" s="144"/>
      <c r="RW1" s="144"/>
      <c r="RX1" s="144"/>
      <c r="RY1" s="144"/>
      <c r="RZ1" s="144"/>
      <c r="SA1" s="144"/>
      <c r="SB1" s="144"/>
      <c r="SC1" s="144"/>
      <c r="SD1" s="144"/>
      <c r="SE1" s="144"/>
      <c r="SF1" s="144"/>
      <c r="SG1" s="144"/>
      <c r="SH1" s="144"/>
      <c r="SI1" s="144"/>
      <c r="SJ1" s="144"/>
      <c r="SK1" s="144"/>
      <c r="SL1" s="144"/>
      <c r="SM1" s="144"/>
      <c r="SN1" s="144"/>
      <c r="SO1" s="144"/>
      <c r="SP1" s="144"/>
      <c r="SQ1" s="144"/>
      <c r="SR1" s="144"/>
      <c r="SS1" s="144"/>
      <c r="ST1" s="144"/>
      <c r="SU1" s="144"/>
      <c r="SV1" s="144"/>
      <c r="SW1" s="144"/>
      <c r="SX1" s="144"/>
      <c r="SY1" s="144"/>
      <c r="SZ1" s="144"/>
      <c r="TA1" s="144"/>
      <c r="TB1" s="144"/>
      <c r="TC1" s="144"/>
      <c r="TD1" s="144"/>
      <c r="TE1" s="144"/>
      <c r="TF1" s="144"/>
      <c r="TG1" s="144"/>
      <c r="TH1" s="144"/>
      <c r="TI1" s="144"/>
      <c r="TJ1" s="144"/>
      <c r="TK1" s="144"/>
      <c r="TL1" s="144"/>
      <c r="TM1" s="144"/>
      <c r="TN1" s="144"/>
      <c r="TO1" s="144"/>
      <c r="TP1" s="144"/>
      <c r="TQ1" s="144"/>
      <c r="TR1" s="144"/>
      <c r="TS1" s="144"/>
      <c r="TT1" s="144"/>
      <c r="TU1" s="144"/>
      <c r="TV1" s="144"/>
      <c r="TW1" s="144"/>
      <c r="TX1" s="144"/>
      <c r="TY1" s="144"/>
      <c r="TZ1" s="144"/>
      <c r="UA1" s="144"/>
      <c r="UB1" s="144"/>
      <c r="UC1" s="144"/>
      <c r="UD1" s="144"/>
      <c r="UE1" s="144"/>
      <c r="UF1" s="144"/>
      <c r="UG1" s="144"/>
      <c r="UH1" s="144"/>
      <c r="UI1" s="144"/>
      <c r="UJ1" s="144"/>
      <c r="UK1" s="144"/>
      <c r="UL1" s="144"/>
      <c r="UM1" s="144"/>
      <c r="UN1" s="144"/>
      <c r="UO1" s="144"/>
      <c r="UP1" s="144"/>
      <c r="UQ1" s="144"/>
      <c r="UR1" s="144"/>
      <c r="US1" s="144"/>
      <c r="UT1" s="144"/>
      <c r="UU1" s="144"/>
      <c r="UV1" s="144"/>
      <c r="UW1" s="144"/>
      <c r="UX1" s="144"/>
      <c r="UY1" s="144"/>
      <c r="UZ1" s="144"/>
      <c r="VA1" s="144"/>
      <c r="VB1" s="144"/>
      <c r="VC1" s="144"/>
      <c r="VD1" s="144"/>
      <c r="VE1" s="144"/>
      <c r="VF1" s="144"/>
      <c r="VG1" s="144"/>
      <c r="VH1" s="144"/>
      <c r="VI1" s="144"/>
      <c r="VJ1" s="144"/>
      <c r="VK1" s="144"/>
      <c r="VL1" s="144"/>
      <c r="VM1" s="144"/>
      <c r="VN1" s="144"/>
      <c r="VO1" s="144"/>
      <c r="VP1" s="144"/>
      <c r="VQ1" s="144"/>
      <c r="VR1" s="144"/>
      <c r="VS1" s="144"/>
      <c r="VT1" s="144"/>
      <c r="VU1" s="144"/>
      <c r="VV1" s="144"/>
      <c r="VW1" s="144"/>
      <c r="VX1" s="144"/>
      <c r="VY1" s="144"/>
      <c r="VZ1" s="144"/>
      <c r="WA1" s="144"/>
      <c r="WB1" s="144"/>
      <c r="WC1" s="144"/>
      <c r="WD1" s="144"/>
      <c r="WE1" s="144"/>
      <c r="WF1" s="144"/>
      <c r="WG1" s="144"/>
      <c r="WH1" s="144"/>
      <c r="WI1" s="144"/>
      <c r="WJ1" s="144"/>
      <c r="WK1" s="144"/>
      <c r="WL1" s="144"/>
      <c r="WM1" s="144"/>
      <c r="WN1" s="144"/>
      <c r="WO1" s="144"/>
      <c r="WP1" s="144"/>
      <c r="WQ1" s="144"/>
      <c r="WR1" s="144"/>
      <c r="WS1" s="144"/>
      <c r="WT1" s="144"/>
      <c r="WU1" s="144"/>
      <c r="WV1" s="144"/>
      <c r="WW1" s="144"/>
      <c r="WX1" s="144"/>
      <c r="WY1" s="144"/>
      <c r="WZ1" s="144"/>
      <c r="XA1" s="144"/>
      <c r="XB1" s="144"/>
      <c r="XC1" s="144"/>
      <c r="XD1" s="144"/>
      <c r="XE1" s="144"/>
      <c r="XF1" s="144"/>
      <c r="XG1" s="144"/>
      <c r="XH1" s="144"/>
      <c r="XI1" s="144"/>
      <c r="XJ1" s="144"/>
      <c r="XK1" s="144"/>
      <c r="XL1" s="144"/>
      <c r="XM1" s="144"/>
      <c r="XN1" s="144"/>
      <c r="XO1" s="144"/>
      <c r="XP1" s="144"/>
      <c r="XQ1" s="144"/>
      <c r="XR1" s="144"/>
      <c r="XS1" s="144"/>
      <c r="XT1" s="144"/>
      <c r="XU1" s="144"/>
      <c r="XV1" s="144"/>
      <c r="XW1" s="144"/>
      <c r="XX1" s="144"/>
      <c r="XY1" s="144"/>
      <c r="XZ1" s="144"/>
      <c r="YA1" s="144"/>
      <c r="YB1" s="144"/>
      <c r="YC1" s="144"/>
      <c r="YD1" s="144"/>
      <c r="YE1" s="144"/>
      <c r="YF1" s="144"/>
      <c r="YG1" s="144"/>
      <c r="YH1" s="144"/>
      <c r="YI1" s="144"/>
      <c r="YJ1" s="144"/>
      <c r="YK1" s="144"/>
      <c r="YL1" s="144"/>
      <c r="YM1" s="144"/>
      <c r="YN1" s="144"/>
      <c r="YO1" s="144"/>
      <c r="YP1" s="144"/>
      <c r="YQ1" s="144"/>
      <c r="YR1" s="144"/>
      <c r="YS1" s="144"/>
      <c r="YT1" s="144"/>
      <c r="YU1" s="144"/>
      <c r="YV1" s="144"/>
      <c r="YW1" s="144"/>
      <c r="YX1" s="144"/>
      <c r="YY1" s="144"/>
      <c r="YZ1" s="144"/>
      <c r="ZA1" s="144"/>
      <c r="ZB1" s="144"/>
      <c r="ZC1" s="144"/>
      <c r="ZD1" s="144"/>
      <c r="ZE1" s="144"/>
      <c r="ZF1" s="144"/>
      <c r="ZG1" s="144"/>
      <c r="ZH1" s="144"/>
      <c r="ZI1" s="144"/>
      <c r="ZJ1" s="144"/>
      <c r="ZK1" s="144"/>
      <c r="ZL1" s="144"/>
      <c r="ZM1" s="144"/>
      <c r="ZN1" s="144"/>
      <c r="ZO1" s="144"/>
      <c r="ZP1" s="144"/>
      <c r="ZQ1" s="144"/>
      <c r="ZR1" s="144"/>
      <c r="ZS1" s="144"/>
      <c r="ZT1" s="144"/>
      <c r="ZU1" s="144"/>
      <c r="ZV1" s="144"/>
      <c r="ZW1" s="144"/>
      <c r="ZX1" s="144"/>
      <c r="ZY1" s="144"/>
      <c r="ZZ1" s="144"/>
      <c r="AAA1" s="144"/>
      <c r="AAB1" s="144"/>
      <c r="AAC1" s="144"/>
      <c r="AAD1" s="144"/>
      <c r="AAE1" s="144"/>
      <c r="AAF1" s="144"/>
      <c r="AAG1" s="144"/>
      <c r="AAH1" s="144"/>
      <c r="AAI1" s="144"/>
      <c r="AAJ1" s="144"/>
      <c r="AAK1" s="144"/>
      <c r="AAL1" s="144"/>
      <c r="AAM1" s="144"/>
      <c r="AAN1" s="144"/>
      <c r="AAO1" s="144"/>
      <c r="AAP1" s="144"/>
      <c r="AAQ1" s="144"/>
      <c r="AAR1" s="144"/>
      <c r="AAS1" s="144"/>
      <c r="AAT1" s="144"/>
      <c r="AAU1" s="144"/>
      <c r="AAV1" s="144"/>
      <c r="AAW1" s="144"/>
      <c r="AAX1" s="144"/>
      <c r="AAY1" s="144"/>
      <c r="AAZ1" s="144"/>
      <c r="ABA1" s="144"/>
      <c r="ABB1" s="144"/>
      <c r="ABC1" s="144"/>
      <c r="ABD1" s="144"/>
      <c r="ABE1" s="144"/>
      <c r="ABF1" s="144"/>
      <c r="ABG1" s="144"/>
      <c r="ABH1" s="144"/>
      <c r="ABI1" s="144"/>
      <c r="ABJ1" s="144"/>
      <c r="ABK1" s="144"/>
      <c r="ABL1" s="144"/>
      <c r="ABM1" s="144"/>
      <c r="ABN1" s="144"/>
      <c r="ABO1" s="144"/>
      <c r="ABP1" s="144"/>
      <c r="ABQ1" s="144"/>
      <c r="ABR1" s="144"/>
      <c r="ABS1" s="144"/>
      <c r="ABT1" s="144"/>
      <c r="ABU1" s="144"/>
      <c r="ABV1" s="144"/>
      <c r="ABW1" s="144"/>
      <c r="ABX1" s="144"/>
      <c r="ABY1" s="144"/>
      <c r="ABZ1" s="144"/>
      <c r="ACA1" s="144"/>
      <c r="ACB1" s="144"/>
      <c r="ACC1" s="144"/>
      <c r="ACD1" s="144"/>
      <c r="ACE1" s="144"/>
      <c r="ACF1" s="144"/>
      <c r="ACG1" s="144"/>
      <c r="ACH1" s="144"/>
      <c r="ACI1" s="144"/>
      <c r="ACJ1" s="144"/>
      <c r="ACK1" s="144"/>
      <c r="ACL1" s="144"/>
      <c r="ACM1" s="144"/>
      <c r="ACN1" s="144"/>
      <c r="ACO1" s="144"/>
      <c r="ACP1" s="144"/>
      <c r="ACQ1" s="144"/>
      <c r="ACR1" s="144"/>
      <c r="ACS1" s="144"/>
      <c r="ACT1" s="144"/>
      <c r="ACU1" s="144"/>
      <c r="ACV1" s="144"/>
      <c r="ACW1" s="144"/>
      <c r="ACX1" s="144"/>
      <c r="ACY1" s="144"/>
      <c r="ACZ1" s="144"/>
      <c r="ADA1" s="144"/>
      <c r="ADB1" s="144"/>
      <c r="ADC1" s="144"/>
      <c r="ADD1" s="144"/>
      <c r="ADE1" s="144"/>
      <c r="ADF1" s="144"/>
      <c r="ADG1" s="144"/>
      <c r="ADH1" s="144"/>
      <c r="ADI1" s="144"/>
      <c r="ADJ1" s="144"/>
      <c r="ADK1" s="144"/>
      <c r="ADL1" s="144"/>
      <c r="ADM1" s="144"/>
      <c r="ADN1" s="144"/>
      <c r="ADO1" s="144"/>
      <c r="ADP1" s="144"/>
      <c r="ADQ1" s="144"/>
      <c r="ADR1" s="144"/>
      <c r="ADS1" s="144"/>
      <c r="ADT1" s="144"/>
      <c r="ADU1" s="144"/>
      <c r="ADV1" s="144"/>
      <c r="ADW1" s="144"/>
      <c r="ADX1" s="144"/>
      <c r="ADY1" s="144"/>
      <c r="ADZ1" s="144"/>
      <c r="AEA1" s="144"/>
      <c r="AEB1" s="144"/>
      <c r="AEC1" s="144"/>
      <c r="AED1" s="144"/>
      <c r="AEE1" s="144"/>
      <c r="AEF1" s="144"/>
      <c r="AEG1" s="144"/>
      <c r="AEH1" s="144"/>
      <c r="AEI1" s="144"/>
      <c r="AEJ1" s="144"/>
      <c r="AEK1" s="144"/>
      <c r="AEL1" s="144"/>
      <c r="AEM1" s="144"/>
      <c r="AEN1" s="144"/>
      <c r="AEO1" s="144"/>
      <c r="AEP1" s="144"/>
      <c r="AEQ1" s="144"/>
      <c r="AER1" s="144"/>
      <c r="AES1" s="144"/>
      <c r="AET1" s="144"/>
      <c r="AEU1" s="144"/>
      <c r="AEV1" s="144"/>
      <c r="AEW1" s="144"/>
      <c r="AEX1" s="144"/>
      <c r="AEY1" s="144"/>
      <c r="AEZ1" s="144"/>
      <c r="AFA1" s="144"/>
      <c r="AFB1" s="144"/>
      <c r="AFC1" s="144"/>
      <c r="AFD1" s="144"/>
      <c r="AFE1" s="144"/>
      <c r="AFF1" s="144"/>
      <c r="AFG1" s="144"/>
      <c r="AFH1" s="144"/>
      <c r="AFI1" s="144"/>
      <c r="AFJ1" s="144"/>
      <c r="AFK1" s="144"/>
      <c r="AFL1" s="144"/>
      <c r="AFM1" s="144"/>
      <c r="AFN1" s="144"/>
      <c r="AFO1" s="144"/>
      <c r="AFP1" s="144"/>
      <c r="AFQ1" s="144"/>
      <c r="AFR1" s="144"/>
      <c r="AFS1" s="144"/>
      <c r="AFT1" s="144"/>
      <c r="AFU1" s="144"/>
      <c r="AFV1" s="144"/>
      <c r="AFW1" s="144"/>
      <c r="AFX1" s="144"/>
      <c r="AFY1" s="144"/>
      <c r="AFZ1" s="144"/>
      <c r="AGA1" s="144"/>
      <c r="AGB1" s="144"/>
      <c r="AGC1" s="144"/>
      <c r="AGD1" s="144"/>
      <c r="AGE1" s="144"/>
      <c r="AGF1" s="144"/>
      <c r="AGG1" s="144"/>
      <c r="AGH1" s="144"/>
      <c r="AGI1" s="144"/>
      <c r="AGJ1" s="144"/>
      <c r="AGK1" s="144"/>
      <c r="AGL1" s="144"/>
      <c r="AGM1" s="144"/>
      <c r="AGN1" s="144"/>
      <c r="AGO1" s="144"/>
      <c r="AGP1" s="144"/>
      <c r="AGQ1" s="144"/>
      <c r="AGR1" s="144"/>
      <c r="AGS1" s="144"/>
      <c r="AGT1" s="144"/>
      <c r="AGU1" s="144"/>
      <c r="AGV1" s="144"/>
      <c r="AGW1" s="144"/>
      <c r="AGX1" s="144"/>
      <c r="AGY1" s="144"/>
      <c r="AGZ1" s="144"/>
      <c r="AHA1" s="144"/>
      <c r="AHB1" s="144"/>
      <c r="AHC1" s="144"/>
      <c r="AHD1" s="144"/>
      <c r="AHE1" s="144"/>
      <c r="AHF1" s="144"/>
      <c r="AHG1" s="144"/>
      <c r="AHH1" s="144"/>
      <c r="AHI1" s="144"/>
      <c r="AHJ1" s="144"/>
      <c r="AHK1" s="144"/>
      <c r="AHL1" s="144"/>
      <c r="AHM1" s="144"/>
      <c r="AHN1" s="144"/>
      <c r="AHO1" s="144"/>
      <c r="AHP1" s="144"/>
      <c r="AHQ1" s="144"/>
      <c r="AHR1" s="144"/>
      <c r="AHS1" s="144"/>
      <c r="AHT1" s="144"/>
      <c r="AHU1" s="144"/>
      <c r="AHV1" s="144"/>
      <c r="AHW1" s="144"/>
      <c r="AHX1" s="144"/>
      <c r="AHY1" s="144"/>
      <c r="AHZ1" s="144"/>
      <c r="AIA1" s="144"/>
      <c r="AIB1" s="144"/>
      <c r="AIC1" s="144"/>
      <c r="AID1" s="144"/>
      <c r="AIE1" s="144"/>
      <c r="AIF1" s="144"/>
      <c r="AIG1" s="144"/>
      <c r="AIH1" s="144"/>
      <c r="AII1" s="144"/>
      <c r="AIJ1" s="144"/>
      <c r="AIK1" s="144"/>
      <c r="AIL1" s="144"/>
      <c r="AIM1" s="144"/>
      <c r="AIN1" s="144"/>
      <c r="AIO1" s="144"/>
      <c r="AIP1" s="144"/>
      <c r="AIQ1" s="144"/>
      <c r="AIR1" s="144"/>
      <c r="AIS1" s="144"/>
      <c r="AIT1" s="144"/>
      <c r="AIU1" s="144"/>
      <c r="AIV1" s="144"/>
      <c r="AIW1" s="144"/>
      <c r="AIX1" s="144"/>
      <c r="AIY1" s="144"/>
      <c r="AIZ1" s="144"/>
      <c r="AJA1" s="144"/>
      <c r="AJB1" s="144"/>
      <c r="AJC1" s="144"/>
      <c r="AJD1" s="144"/>
      <c r="AJE1" s="144"/>
      <c r="AJF1" s="144"/>
      <c r="AJG1" s="144"/>
      <c r="AJH1" s="144"/>
      <c r="AJI1" s="144"/>
      <c r="AJJ1" s="144"/>
      <c r="AJK1" s="144"/>
      <c r="AJL1" s="144"/>
      <c r="AJM1" s="144"/>
      <c r="AJN1" s="144"/>
      <c r="AJO1" s="144"/>
      <c r="AJP1" s="144"/>
      <c r="AJQ1" s="144"/>
      <c r="AJR1" s="144"/>
      <c r="AJS1" s="144"/>
      <c r="AJT1" s="144"/>
      <c r="AJU1" s="144"/>
      <c r="AJV1" s="144"/>
      <c r="AJW1" s="144"/>
      <c r="AJX1" s="144"/>
      <c r="AJY1" s="144"/>
      <c r="AJZ1" s="144"/>
      <c r="AKA1" s="144"/>
      <c r="AKB1" s="144"/>
      <c r="AKC1" s="144"/>
      <c r="AKD1" s="144"/>
      <c r="AKE1" s="144"/>
      <c r="AKF1" s="144"/>
      <c r="AKG1" s="144"/>
      <c r="AKH1" s="144"/>
      <c r="AKI1" s="144"/>
      <c r="AKJ1" s="144"/>
      <c r="AKK1" s="144"/>
      <c r="AKL1" s="144"/>
      <c r="AKM1" s="144"/>
      <c r="AKN1" s="144"/>
      <c r="AKO1" s="144"/>
      <c r="AKP1" s="144"/>
      <c r="AKQ1" s="144"/>
      <c r="AKR1" s="144"/>
      <c r="AKS1" s="144"/>
      <c r="AKT1" s="144"/>
      <c r="AKU1" s="144"/>
      <c r="AKV1" s="144"/>
      <c r="AKW1" s="144"/>
      <c r="AKX1" s="144"/>
      <c r="AKY1" s="144"/>
      <c r="AKZ1" s="144"/>
      <c r="ALA1" s="144"/>
      <c r="ALB1" s="144"/>
      <c r="ALC1" s="144"/>
      <c r="ALD1" s="144"/>
      <c r="ALE1" s="144"/>
      <c r="ALF1" s="144"/>
      <c r="ALG1" s="144"/>
      <c r="ALH1" s="144"/>
      <c r="ALI1" s="144"/>
      <c r="ALJ1" s="144"/>
      <c r="ALK1" s="144"/>
      <c r="ALL1" s="144"/>
      <c r="ALM1" s="144"/>
      <c r="ALN1" s="144"/>
      <c r="ALO1" s="144"/>
      <c r="ALP1" s="144"/>
      <c r="ALQ1" s="144"/>
      <c r="ALR1" s="144"/>
      <c r="ALS1" s="144"/>
      <c r="ALT1" s="144"/>
      <c r="ALU1" s="144"/>
      <c r="ALV1" s="144"/>
      <c r="ALW1" s="144"/>
      <c r="ALX1" s="144"/>
      <c r="ALY1" s="144"/>
      <c r="ALZ1" s="144"/>
      <c r="AMA1" s="144"/>
      <c r="AMB1" s="144"/>
      <c r="AMC1" s="144"/>
      <c r="AMD1" s="144"/>
      <c r="AME1" s="1"/>
      <c r="AMF1" s="1"/>
      <c r="AMG1" s="1"/>
      <c r="AMH1" s="1"/>
      <c r="AMI1" s="1"/>
    </row>
    <row r="2" customFormat="false" ht="12.8" hidden="false" customHeight="false" outlineLevel="1" collapsed="false">
      <c r="A2" s="145"/>
      <c r="B2" s="145"/>
      <c r="C2" s="145"/>
      <c r="D2" s="146"/>
      <c r="E2" s="146"/>
      <c r="F2" s="146"/>
      <c r="G2" s="146"/>
      <c r="H2" s="146"/>
      <c r="I2" s="146"/>
      <c r="J2" s="146"/>
      <c r="K2" s="146"/>
      <c r="L2" s="146"/>
      <c r="M2" s="147"/>
      <c r="N2" s="146"/>
      <c r="O2" s="146"/>
      <c r="P2" s="146"/>
      <c r="Q2" s="146"/>
      <c r="R2" s="146"/>
      <c r="S2" s="146"/>
      <c r="T2" s="146"/>
      <c r="U2" s="146"/>
      <c r="V2" s="146"/>
      <c r="W2" s="146"/>
      <c r="X2" s="146"/>
      <c r="Y2" s="146"/>
      <c r="Z2" s="146"/>
      <c r="AA2" s="146"/>
      <c r="AB2" s="146"/>
      <c r="AC2" s="146"/>
      <c r="AD2" s="146"/>
      <c r="AE2" s="146"/>
      <c r="AF2" s="146"/>
      <c r="AG2" s="146"/>
      <c r="AH2" s="146"/>
      <c r="AI2" s="145"/>
      <c r="AJ2" s="145"/>
      <c r="AK2" s="145"/>
      <c r="AL2" s="148"/>
      <c r="AM2" s="145"/>
      <c r="AN2" s="145"/>
      <c r="AO2" s="145"/>
      <c r="AP2" s="149"/>
      <c r="AQ2" s="149"/>
      <c r="AR2" s="149"/>
      <c r="AS2" s="149"/>
      <c r="AT2" s="149"/>
      <c r="AU2" s="149"/>
      <c r="AV2" s="149"/>
      <c r="AW2" s="149"/>
      <c r="AX2" s="149"/>
      <c r="AY2" s="149"/>
      <c r="AZ2" s="149"/>
      <c r="BA2" s="149"/>
      <c r="BB2" s="149"/>
      <c r="BC2" s="149"/>
      <c r="BD2" s="149"/>
      <c r="BE2" s="149"/>
      <c r="BF2" s="149"/>
      <c r="BG2" s="149"/>
      <c r="BH2" s="149"/>
      <c r="BI2" s="149"/>
      <c r="BJ2" s="149"/>
      <c r="BK2" s="149"/>
      <c r="BL2" s="149"/>
      <c r="BM2" s="149"/>
      <c r="BN2" s="149"/>
      <c r="BO2" s="149"/>
      <c r="BP2" s="149"/>
      <c r="BQ2" s="149"/>
      <c r="BR2" s="149"/>
      <c r="BS2" s="149"/>
      <c r="BT2" s="149"/>
      <c r="BU2" s="149"/>
      <c r="BV2" s="149"/>
      <c r="BW2" s="149"/>
      <c r="BX2" s="149"/>
      <c r="BY2" s="149"/>
      <c r="BZ2" s="149"/>
      <c r="CA2" s="149"/>
      <c r="CB2" s="149"/>
      <c r="CC2" s="149"/>
      <c r="CD2" s="149"/>
      <c r="CE2" s="149"/>
      <c r="CF2" s="149"/>
      <c r="CG2" s="149"/>
      <c r="CH2" s="149"/>
      <c r="CI2" s="149"/>
      <c r="CJ2" s="149"/>
      <c r="CK2" s="149"/>
      <c r="CL2" s="149"/>
      <c r="CM2" s="149"/>
      <c r="CN2" s="149"/>
      <c r="CO2" s="149"/>
      <c r="CP2" s="149"/>
      <c r="CQ2" s="149"/>
      <c r="CR2" s="149"/>
      <c r="CS2" s="149"/>
      <c r="CT2" s="149"/>
      <c r="CU2" s="149"/>
      <c r="CV2" s="149"/>
      <c r="CW2" s="149"/>
      <c r="CX2" s="149"/>
      <c r="CY2" s="149"/>
      <c r="CZ2" s="149"/>
      <c r="DA2" s="149"/>
      <c r="DB2" s="149"/>
      <c r="DC2" s="149"/>
      <c r="DD2" s="149"/>
      <c r="DE2" s="149"/>
      <c r="DF2" s="149"/>
      <c r="DG2" s="149"/>
      <c r="DH2" s="149"/>
      <c r="DI2" s="149"/>
      <c r="DJ2" s="149"/>
      <c r="DK2" s="149"/>
      <c r="DL2" s="149"/>
      <c r="DM2" s="149"/>
      <c r="DN2" s="149"/>
      <c r="DO2" s="149"/>
      <c r="DP2" s="149"/>
      <c r="DQ2" s="149"/>
      <c r="DR2" s="149"/>
      <c r="DS2" s="149"/>
      <c r="DT2" s="149"/>
      <c r="DU2" s="149"/>
      <c r="DV2" s="149"/>
      <c r="DW2" s="149"/>
      <c r="DX2" s="149"/>
      <c r="DY2" s="149"/>
      <c r="DZ2" s="149"/>
      <c r="EA2" s="149"/>
      <c r="EB2" s="149"/>
      <c r="EC2" s="149"/>
      <c r="ED2" s="149"/>
      <c r="EE2" s="149"/>
      <c r="EF2" s="149"/>
      <c r="EG2" s="149"/>
      <c r="EH2" s="149"/>
      <c r="EI2" s="149"/>
      <c r="EJ2" s="149"/>
      <c r="EK2" s="149"/>
      <c r="EL2" s="149"/>
      <c r="EM2" s="149"/>
      <c r="EN2" s="149"/>
      <c r="EO2" s="149"/>
      <c r="EP2" s="149"/>
      <c r="EQ2" s="149"/>
      <c r="ER2" s="149"/>
      <c r="ES2" s="149"/>
      <c r="ET2" s="149"/>
      <c r="EU2" s="149"/>
      <c r="EV2" s="149"/>
      <c r="EW2" s="149"/>
      <c r="EX2" s="149"/>
      <c r="EY2" s="149"/>
      <c r="EZ2" s="149"/>
      <c r="FA2" s="149"/>
      <c r="FB2" s="149"/>
      <c r="FC2" s="149"/>
      <c r="FD2" s="149"/>
      <c r="FE2" s="149"/>
      <c r="FF2" s="149"/>
      <c r="FG2" s="149"/>
      <c r="FH2" s="149"/>
      <c r="FI2" s="149"/>
      <c r="FJ2" s="149"/>
      <c r="FK2" s="149"/>
      <c r="FL2" s="149"/>
      <c r="FM2" s="149"/>
      <c r="FN2" s="149"/>
      <c r="FO2" s="149"/>
      <c r="FP2" s="149"/>
      <c r="FQ2" s="149"/>
      <c r="FR2" s="149"/>
      <c r="FS2" s="149"/>
      <c r="FT2" s="149"/>
      <c r="FU2" s="149"/>
      <c r="FV2" s="149"/>
      <c r="FW2" s="149"/>
      <c r="FX2" s="149"/>
      <c r="FY2" s="149"/>
      <c r="FZ2" s="149"/>
      <c r="GA2" s="149"/>
      <c r="GB2" s="149"/>
      <c r="GC2" s="149"/>
      <c r="GD2" s="149"/>
      <c r="GE2" s="149"/>
      <c r="GF2" s="149"/>
      <c r="GG2" s="149"/>
      <c r="GH2" s="149"/>
      <c r="GI2" s="149"/>
      <c r="GJ2" s="149"/>
      <c r="GK2" s="149"/>
      <c r="GL2" s="149"/>
      <c r="GM2" s="149"/>
      <c r="GN2" s="149"/>
      <c r="GO2" s="149"/>
      <c r="GP2" s="149"/>
      <c r="GQ2" s="149"/>
      <c r="GR2" s="149"/>
      <c r="GS2" s="149"/>
      <c r="GT2" s="149"/>
      <c r="GU2" s="149"/>
      <c r="GV2" s="149"/>
      <c r="GW2" s="149"/>
      <c r="GX2" s="149"/>
      <c r="GY2" s="149"/>
      <c r="GZ2" s="149"/>
      <c r="HA2" s="149"/>
      <c r="HB2" s="149"/>
      <c r="HC2" s="149"/>
      <c r="HD2" s="149"/>
      <c r="HE2" s="149"/>
      <c r="HF2" s="149"/>
      <c r="HG2" s="149"/>
      <c r="HH2" s="149"/>
      <c r="HI2" s="149"/>
      <c r="HJ2" s="149"/>
      <c r="HK2" s="149"/>
      <c r="HL2" s="149"/>
      <c r="HM2" s="149"/>
      <c r="HN2" s="149"/>
      <c r="HO2" s="149"/>
      <c r="HP2" s="149"/>
      <c r="HQ2" s="149"/>
      <c r="HR2" s="149"/>
      <c r="HS2" s="149"/>
      <c r="HT2" s="149"/>
      <c r="HU2" s="149"/>
      <c r="HV2" s="149"/>
      <c r="HW2" s="149"/>
      <c r="HX2" s="149"/>
      <c r="HY2" s="149"/>
      <c r="HZ2" s="149"/>
      <c r="IA2" s="149"/>
      <c r="IB2" s="149"/>
      <c r="IC2" s="149"/>
      <c r="ID2" s="149"/>
      <c r="IE2" s="149"/>
      <c r="IF2" s="149"/>
      <c r="IG2" s="149"/>
      <c r="IH2" s="149"/>
      <c r="II2" s="149"/>
      <c r="IJ2" s="149"/>
      <c r="IK2" s="149"/>
      <c r="IL2" s="149"/>
      <c r="IM2" s="149"/>
      <c r="IN2" s="149"/>
      <c r="IO2" s="149"/>
      <c r="IP2" s="149"/>
      <c r="IQ2" s="149"/>
      <c r="IR2" s="149"/>
      <c r="IS2" s="149"/>
      <c r="IT2" s="149"/>
      <c r="IU2" s="149"/>
      <c r="IV2" s="149"/>
      <c r="IW2" s="149"/>
      <c r="IX2" s="149"/>
      <c r="IY2" s="149"/>
      <c r="IZ2" s="149"/>
      <c r="JA2" s="149"/>
      <c r="JB2" s="149"/>
      <c r="JC2" s="149"/>
      <c r="JD2" s="149"/>
      <c r="JE2" s="149"/>
      <c r="JF2" s="149"/>
      <c r="JG2" s="149"/>
      <c r="JH2" s="149"/>
      <c r="JI2" s="149"/>
      <c r="JJ2" s="149"/>
      <c r="JK2" s="149"/>
      <c r="JL2" s="149"/>
      <c r="JM2" s="149"/>
      <c r="JN2" s="149"/>
      <c r="JO2" s="149"/>
      <c r="JP2" s="149"/>
      <c r="JQ2" s="149"/>
      <c r="JR2" s="149"/>
      <c r="JS2" s="149"/>
      <c r="JT2" s="149"/>
      <c r="JU2" s="149"/>
      <c r="JV2" s="149"/>
      <c r="JW2" s="149"/>
      <c r="JX2" s="149"/>
      <c r="JY2" s="149"/>
      <c r="JZ2" s="149"/>
      <c r="KA2" s="149"/>
      <c r="KB2" s="149"/>
      <c r="KC2" s="149"/>
      <c r="KD2" s="149"/>
      <c r="KE2" s="149"/>
      <c r="KF2" s="149"/>
      <c r="KG2" s="149"/>
      <c r="KH2" s="149"/>
      <c r="KI2" s="149"/>
      <c r="KJ2" s="149"/>
      <c r="KK2" s="149"/>
      <c r="KL2" s="149"/>
      <c r="KM2" s="149"/>
      <c r="KN2" s="149"/>
      <c r="KO2" s="149"/>
      <c r="KP2" s="149"/>
      <c r="KQ2" s="149"/>
      <c r="KR2" s="149"/>
      <c r="KS2" s="149"/>
      <c r="KT2" s="149"/>
      <c r="KU2" s="149"/>
      <c r="KV2" s="149"/>
      <c r="KW2" s="149"/>
      <c r="KX2" s="149"/>
      <c r="KY2" s="149"/>
      <c r="KZ2" s="149"/>
      <c r="LA2" s="149"/>
      <c r="LB2" s="149"/>
      <c r="LC2" s="149"/>
      <c r="LD2" s="149"/>
      <c r="LE2" s="149"/>
      <c r="LF2" s="149"/>
      <c r="LG2" s="149"/>
      <c r="LH2" s="149"/>
      <c r="LI2" s="149"/>
      <c r="LJ2" s="149"/>
      <c r="LK2" s="149"/>
      <c r="LL2" s="149"/>
      <c r="LM2" s="149"/>
      <c r="LN2" s="149"/>
      <c r="LO2" s="149"/>
      <c r="LP2" s="149"/>
      <c r="LQ2" s="149"/>
      <c r="LR2" s="149"/>
      <c r="LS2" s="149"/>
      <c r="LT2" s="149"/>
      <c r="LU2" s="149"/>
      <c r="LV2" s="149"/>
      <c r="LW2" s="149"/>
      <c r="LX2" s="149"/>
      <c r="LY2" s="149"/>
      <c r="LZ2" s="149"/>
      <c r="MA2" s="149"/>
      <c r="MB2" s="149"/>
      <c r="MC2" s="149"/>
      <c r="MD2" s="149"/>
      <c r="ME2" s="149"/>
      <c r="MF2" s="149"/>
      <c r="MG2" s="149"/>
      <c r="MH2" s="149"/>
      <c r="MI2" s="149"/>
      <c r="MJ2" s="149"/>
      <c r="MK2" s="149"/>
      <c r="ML2" s="149"/>
      <c r="MM2" s="149"/>
      <c r="MN2" s="149"/>
      <c r="MO2" s="149"/>
      <c r="MP2" s="149"/>
      <c r="MQ2" s="149"/>
      <c r="MR2" s="149"/>
      <c r="MS2" s="149"/>
      <c r="MT2" s="149"/>
      <c r="MU2" s="149"/>
      <c r="MV2" s="149"/>
      <c r="MW2" s="149"/>
      <c r="MX2" s="149"/>
      <c r="MY2" s="149"/>
      <c r="MZ2" s="149"/>
      <c r="NA2" s="149"/>
      <c r="NB2" s="149"/>
      <c r="NC2" s="149"/>
      <c r="ND2" s="149"/>
      <c r="NE2" s="149"/>
      <c r="NF2" s="149"/>
      <c r="NG2" s="149"/>
      <c r="NH2" s="149"/>
      <c r="NI2" s="149"/>
      <c r="NJ2" s="149"/>
      <c r="NK2" s="149"/>
      <c r="NL2" s="149"/>
      <c r="NM2" s="149"/>
      <c r="NN2" s="149"/>
      <c r="NO2" s="149"/>
      <c r="NP2" s="149"/>
      <c r="NQ2" s="149"/>
      <c r="NR2" s="149"/>
      <c r="NS2" s="149"/>
      <c r="NT2" s="149"/>
      <c r="NU2" s="149"/>
      <c r="NV2" s="149"/>
      <c r="NW2" s="149"/>
      <c r="NX2" s="149"/>
      <c r="NY2" s="149"/>
      <c r="NZ2" s="149"/>
      <c r="OA2" s="149"/>
      <c r="OB2" s="149"/>
      <c r="OC2" s="149"/>
      <c r="OD2" s="149"/>
      <c r="OE2" s="149"/>
      <c r="OF2" s="149"/>
      <c r="OG2" s="149"/>
      <c r="OH2" s="149"/>
      <c r="OI2" s="149"/>
      <c r="OJ2" s="149"/>
      <c r="OK2" s="149"/>
      <c r="OL2" s="149"/>
      <c r="OM2" s="149"/>
      <c r="ON2" s="149"/>
      <c r="OO2" s="149"/>
      <c r="OP2" s="149"/>
      <c r="OQ2" s="149"/>
      <c r="OR2" s="149"/>
      <c r="OS2" s="149"/>
      <c r="OT2" s="149"/>
      <c r="OU2" s="149"/>
      <c r="OV2" s="149"/>
      <c r="OW2" s="149"/>
      <c r="OX2" s="149"/>
      <c r="OY2" s="149"/>
      <c r="OZ2" s="149"/>
      <c r="PA2" s="149"/>
      <c r="PB2" s="149"/>
      <c r="PC2" s="149"/>
      <c r="PD2" s="149"/>
      <c r="PE2" s="149"/>
      <c r="PF2" s="149"/>
      <c r="PG2" s="149"/>
      <c r="PH2" s="149"/>
      <c r="PI2" s="149"/>
      <c r="PJ2" s="149"/>
      <c r="PK2" s="149"/>
      <c r="PL2" s="149"/>
      <c r="PM2" s="149"/>
      <c r="PN2" s="149"/>
      <c r="PO2" s="149"/>
      <c r="PP2" s="149"/>
      <c r="PQ2" s="149"/>
      <c r="PR2" s="149"/>
      <c r="PS2" s="149"/>
      <c r="PT2" s="149"/>
      <c r="PU2" s="149"/>
      <c r="PV2" s="149"/>
      <c r="PW2" s="149"/>
      <c r="PX2" s="149"/>
      <c r="PY2" s="149"/>
      <c r="PZ2" s="149"/>
      <c r="QA2" s="149"/>
      <c r="QB2" s="149"/>
      <c r="QC2" s="149"/>
      <c r="QD2" s="149"/>
      <c r="QE2" s="149"/>
      <c r="QF2" s="149"/>
      <c r="QG2" s="149"/>
      <c r="QH2" s="149"/>
      <c r="QI2" s="149"/>
      <c r="QJ2" s="149"/>
      <c r="QK2" s="149"/>
      <c r="QL2" s="149"/>
      <c r="QM2" s="149"/>
      <c r="QN2" s="149"/>
      <c r="QO2" s="149"/>
      <c r="QP2" s="149"/>
      <c r="QQ2" s="149"/>
      <c r="QR2" s="149"/>
      <c r="QS2" s="149"/>
      <c r="QT2" s="149"/>
      <c r="QU2" s="149"/>
      <c r="QV2" s="149"/>
      <c r="QW2" s="149"/>
      <c r="QX2" s="149"/>
      <c r="QY2" s="149"/>
      <c r="QZ2" s="149"/>
      <c r="RA2" s="149"/>
      <c r="RB2" s="149"/>
      <c r="RC2" s="149"/>
      <c r="RD2" s="149"/>
      <c r="RE2" s="149"/>
      <c r="RF2" s="149"/>
      <c r="RG2" s="149"/>
      <c r="RH2" s="149"/>
      <c r="RI2" s="149"/>
      <c r="RJ2" s="149"/>
      <c r="RK2" s="149"/>
      <c r="RL2" s="149"/>
      <c r="RM2" s="149"/>
      <c r="RN2" s="149"/>
      <c r="RO2" s="149"/>
      <c r="RP2" s="149"/>
      <c r="RQ2" s="149"/>
      <c r="RR2" s="149"/>
      <c r="RS2" s="149"/>
      <c r="RT2" s="149"/>
      <c r="RU2" s="149"/>
      <c r="RV2" s="149"/>
      <c r="RW2" s="149"/>
      <c r="RX2" s="149"/>
      <c r="RY2" s="149"/>
      <c r="RZ2" s="149"/>
      <c r="SA2" s="149"/>
      <c r="SB2" s="149"/>
      <c r="SC2" s="149"/>
      <c r="SD2" s="149"/>
      <c r="SE2" s="149"/>
      <c r="SF2" s="149"/>
      <c r="SG2" s="149"/>
      <c r="SH2" s="149"/>
      <c r="SI2" s="149"/>
      <c r="SJ2" s="149"/>
      <c r="SK2" s="149"/>
      <c r="SL2" s="149"/>
      <c r="SM2" s="149"/>
      <c r="SN2" s="149"/>
      <c r="SO2" s="149"/>
      <c r="SP2" s="149"/>
      <c r="SQ2" s="149"/>
      <c r="SR2" s="149"/>
      <c r="SS2" s="149"/>
      <c r="ST2" s="149"/>
      <c r="SU2" s="149"/>
      <c r="SV2" s="149"/>
      <c r="SW2" s="149"/>
      <c r="SX2" s="149"/>
      <c r="SY2" s="149"/>
      <c r="SZ2" s="149"/>
      <c r="TA2" s="149"/>
      <c r="TB2" s="149"/>
      <c r="TC2" s="149"/>
      <c r="TD2" s="149"/>
      <c r="TE2" s="149"/>
      <c r="TF2" s="149"/>
      <c r="TG2" s="149"/>
      <c r="TH2" s="149"/>
      <c r="TI2" s="149"/>
      <c r="TJ2" s="149"/>
      <c r="TK2" s="149"/>
      <c r="TL2" s="149"/>
      <c r="TM2" s="149"/>
      <c r="TN2" s="149"/>
      <c r="TO2" s="149"/>
      <c r="TP2" s="149"/>
      <c r="TQ2" s="149"/>
      <c r="TR2" s="149"/>
      <c r="TS2" s="149"/>
      <c r="TT2" s="149"/>
      <c r="TU2" s="149"/>
      <c r="TV2" s="149"/>
      <c r="TW2" s="149"/>
      <c r="TX2" s="149"/>
      <c r="TY2" s="149"/>
      <c r="TZ2" s="149"/>
      <c r="UA2" s="149"/>
      <c r="UB2" s="149"/>
      <c r="UC2" s="149"/>
      <c r="UD2" s="149"/>
      <c r="UE2" s="149"/>
      <c r="UF2" s="149"/>
      <c r="UG2" s="149"/>
      <c r="UH2" s="149"/>
      <c r="UI2" s="149"/>
      <c r="UJ2" s="149"/>
      <c r="UK2" s="149"/>
      <c r="UL2" s="149"/>
      <c r="UM2" s="149"/>
      <c r="UN2" s="149"/>
      <c r="UO2" s="149"/>
      <c r="UP2" s="149"/>
      <c r="UQ2" s="149"/>
      <c r="UR2" s="149"/>
      <c r="US2" s="149"/>
      <c r="UT2" s="149"/>
      <c r="UU2" s="149"/>
      <c r="UV2" s="149"/>
      <c r="UW2" s="149"/>
      <c r="UX2" s="149"/>
      <c r="UY2" s="149"/>
      <c r="UZ2" s="149"/>
      <c r="VA2" s="149"/>
      <c r="VB2" s="149"/>
      <c r="VC2" s="149"/>
      <c r="VD2" s="149"/>
      <c r="VE2" s="149"/>
      <c r="VF2" s="149"/>
      <c r="VG2" s="149"/>
      <c r="VH2" s="149"/>
      <c r="VI2" s="149"/>
      <c r="VJ2" s="149"/>
      <c r="VK2" s="149"/>
      <c r="VL2" s="149"/>
      <c r="VM2" s="149"/>
      <c r="VN2" s="149"/>
      <c r="VO2" s="149"/>
      <c r="VP2" s="149"/>
      <c r="VQ2" s="149"/>
      <c r="VR2" s="149"/>
      <c r="VS2" s="149"/>
      <c r="VT2" s="149"/>
      <c r="VU2" s="149"/>
      <c r="VV2" s="149"/>
      <c r="VW2" s="149"/>
      <c r="VX2" s="149"/>
      <c r="VY2" s="149"/>
      <c r="VZ2" s="149"/>
      <c r="WA2" s="149"/>
      <c r="WB2" s="149"/>
      <c r="WC2" s="149"/>
      <c r="WD2" s="149"/>
      <c r="WE2" s="149"/>
      <c r="WF2" s="149"/>
      <c r="WG2" s="149"/>
      <c r="WH2" s="149"/>
      <c r="WI2" s="149"/>
      <c r="WJ2" s="149"/>
      <c r="WK2" s="149"/>
      <c r="WL2" s="149"/>
      <c r="WM2" s="149"/>
      <c r="WN2" s="149"/>
      <c r="WO2" s="149"/>
      <c r="WP2" s="149"/>
      <c r="WQ2" s="149"/>
      <c r="WR2" s="149"/>
      <c r="WS2" s="149"/>
      <c r="WT2" s="149"/>
      <c r="WU2" s="149"/>
      <c r="WV2" s="149"/>
      <c r="WW2" s="149"/>
      <c r="WX2" s="149"/>
      <c r="WY2" s="149"/>
      <c r="WZ2" s="149"/>
      <c r="XA2" s="149"/>
      <c r="XB2" s="149"/>
      <c r="XC2" s="149"/>
      <c r="XD2" s="149"/>
      <c r="XE2" s="149"/>
      <c r="XF2" s="149"/>
      <c r="XG2" s="149"/>
      <c r="XH2" s="149"/>
      <c r="XI2" s="149"/>
      <c r="XJ2" s="149"/>
      <c r="XK2" s="149"/>
      <c r="XL2" s="149"/>
      <c r="XM2" s="149"/>
      <c r="XN2" s="149"/>
      <c r="XO2" s="149"/>
      <c r="XP2" s="149"/>
      <c r="XQ2" s="149"/>
      <c r="XR2" s="149"/>
      <c r="XS2" s="149"/>
      <c r="XT2" s="149"/>
      <c r="XU2" s="149"/>
      <c r="XV2" s="149"/>
      <c r="XW2" s="149"/>
      <c r="XX2" s="149"/>
      <c r="XY2" s="149"/>
      <c r="XZ2" s="149"/>
      <c r="YA2" s="149"/>
      <c r="YB2" s="149"/>
      <c r="YC2" s="149"/>
      <c r="YD2" s="149"/>
      <c r="YE2" s="149"/>
      <c r="YF2" s="149"/>
      <c r="YG2" s="149"/>
      <c r="YH2" s="149"/>
      <c r="YI2" s="149"/>
      <c r="YJ2" s="149"/>
      <c r="YK2" s="149"/>
      <c r="YL2" s="149"/>
      <c r="YM2" s="149"/>
      <c r="YN2" s="149"/>
      <c r="YO2" s="149"/>
      <c r="YP2" s="149"/>
      <c r="YQ2" s="149"/>
      <c r="YR2" s="149"/>
      <c r="YS2" s="149"/>
      <c r="YT2" s="149"/>
      <c r="YU2" s="149"/>
      <c r="YV2" s="149"/>
      <c r="YW2" s="149"/>
      <c r="YX2" s="149"/>
      <c r="YY2" s="149"/>
      <c r="YZ2" s="149"/>
      <c r="ZA2" s="149"/>
      <c r="ZB2" s="149"/>
      <c r="ZC2" s="149"/>
      <c r="ZD2" s="149"/>
      <c r="ZE2" s="149"/>
      <c r="ZF2" s="149"/>
      <c r="ZG2" s="149"/>
      <c r="ZH2" s="149"/>
      <c r="ZI2" s="149"/>
      <c r="ZJ2" s="149"/>
      <c r="ZK2" s="149"/>
      <c r="ZL2" s="149"/>
      <c r="ZM2" s="149"/>
      <c r="ZN2" s="149"/>
      <c r="ZO2" s="149"/>
      <c r="ZP2" s="149"/>
      <c r="ZQ2" s="149"/>
      <c r="ZR2" s="149"/>
      <c r="ZS2" s="149"/>
      <c r="ZT2" s="149"/>
      <c r="ZU2" s="149"/>
      <c r="ZV2" s="149"/>
      <c r="ZW2" s="149"/>
      <c r="ZX2" s="149"/>
      <c r="ZY2" s="149"/>
      <c r="ZZ2" s="149"/>
      <c r="AAA2" s="149"/>
      <c r="AAB2" s="149"/>
      <c r="AAC2" s="149"/>
      <c r="AAD2" s="149"/>
      <c r="AAE2" s="149"/>
      <c r="AAF2" s="149"/>
      <c r="AAG2" s="149"/>
      <c r="AAH2" s="149"/>
      <c r="AAI2" s="149"/>
      <c r="AAJ2" s="149"/>
      <c r="AAK2" s="149"/>
      <c r="AAL2" s="149"/>
      <c r="AAM2" s="149"/>
      <c r="AAN2" s="149"/>
      <c r="AAO2" s="149"/>
      <c r="AAP2" s="149"/>
      <c r="AAQ2" s="149"/>
      <c r="AAR2" s="149"/>
      <c r="AAS2" s="149"/>
      <c r="AAT2" s="149"/>
      <c r="AAU2" s="149"/>
      <c r="AAV2" s="149"/>
      <c r="AAW2" s="149"/>
      <c r="AAX2" s="149"/>
      <c r="AAY2" s="149"/>
      <c r="AAZ2" s="149"/>
      <c r="ABA2" s="149"/>
      <c r="ABB2" s="149"/>
      <c r="ABC2" s="149"/>
      <c r="ABD2" s="149"/>
      <c r="ABE2" s="149"/>
      <c r="ABF2" s="149"/>
      <c r="ABG2" s="149"/>
      <c r="ABH2" s="149"/>
      <c r="ABI2" s="149"/>
      <c r="ABJ2" s="149"/>
      <c r="ABK2" s="149"/>
      <c r="ABL2" s="149"/>
      <c r="ABM2" s="149"/>
      <c r="ABN2" s="149"/>
      <c r="ABO2" s="149"/>
      <c r="ABP2" s="149"/>
      <c r="ABQ2" s="149"/>
      <c r="ABR2" s="149"/>
      <c r="ABS2" s="149"/>
      <c r="ABT2" s="149"/>
      <c r="ABU2" s="149"/>
      <c r="ABV2" s="149"/>
      <c r="ABW2" s="149"/>
      <c r="ABX2" s="149"/>
      <c r="ABY2" s="149"/>
      <c r="ABZ2" s="149"/>
      <c r="ACA2" s="149"/>
      <c r="ACB2" s="149"/>
      <c r="ACC2" s="149"/>
      <c r="ACD2" s="149"/>
      <c r="ACE2" s="149"/>
      <c r="ACF2" s="149"/>
      <c r="ACG2" s="149"/>
      <c r="ACH2" s="149"/>
      <c r="ACI2" s="149"/>
      <c r="ACJ2" s="149"/>
      <c r="ACK2" s="149"/>
      <c r="ACL2" s="149"/>
      <c r="ACM2" s="149"/>
      <c r="ACN2" s="149"/>
      <c r="ACO2" s="149"/>
      <c r="ACP2" s="149"/>
      <c r="ACQ2" s="149"/>
      <c r="ACR2" s="149"/>
      <c r="ACS2" s="149"/>
      <c r="ACT2" s="149"/>
      <c r="ACU2" s="149"/>
      <c r="ACV2" s="149"/>
      <c r="ACW2" s="149"/>
      <c r="ACX2" s="149"/>
      <c r="ACY2" s="149"/>
      <c r="ACZ2" s="149"/>
      <c r="ADA2" s="149"/>
      <c r="ADB2" s="149"/>
      <c r="ADC2" s="149"/>
      <c r="ADD2" s="149"/>
      <c r="ADE2" s="149"/>
      <c r="ADF2" s="149"/>
      <c r="ADG2" s="149"/>
      <c r="ADH2" s="149"/>
      <c r="ADI2" s="149"/>
      <c r="ADJ2" s="149"/>
      <c r="ADK2" s="149"/>
      <c r="ADL2" s="149"/>
      <c r="ADM2" s="149"/>
      <c r="ADN2" s="149"/>
      <c r="ADO2" s="149"/>
      <c r="ADP2" s="149"/>
      <c r="ADQ2" s="149"/>
      <c r="ADR2" s="149"/>
      <c r="ADS2" s="149"/>
      <c r="ADT2" s="149"/>
      <c r="ADU2" s="149"/>
      <c r="ADV2" s="149"/>
      <c r="ADW2" s="149"/>
      <c r="ADX2" s="149"/>
      <c r="ADY2" s="149"/>
      <c r="ADZ2" s="149"/>
      <c r="AEA2" s="149"/>
      <c r="AEB2" s="149"/>
      <c r="AEC2" s="149"/>
      <c r="AED2" s="149"/>
      <c r="AEE2" s="149"/>
      <c r="AEF2" s="149"/>
      <c r="AEG2" s="149"/>
      <c r="AEH2" s="149"/>
      <c r="AEI2" s="149"/>
      <c r="AEJ2" s="149"/>
      <c r="AEK2" s="149"/>
      <c r="AEL2" s="149"/>
      <c r="AEM2" s="149"/>
      <c r="AEN2" s="149"/>
      <c r="AEO2" s="149"/>
      <c r="AEP2" s="149"/>
      <c r="AEQ2" s="149"/>
      <c r="AER2" s="149"/>
      <c r="AES2" s="149"/>
      <c r="AET2" s="149"/>
      <c r="AEU2" s="149"/>
      <c r="AEV2" s="149"/>
      <c r="AEW2" s="149"/>
      <c r="AEX2" s="149"/>
      <c r="AEY2" s="149"/>
      <c r="AEZ2" s="149"/>
      <c r="AFA2" s="149"/>
      <c r="AFB2" s="149"/>
      <c r="AFC2" s="149"/>
      <c r="AFD2" s="149"/>
      <c r="AFE2" s="149"/>
      <c r="AFF2" s="149"/>
      <c r="AFG2" s="149"/>
      <c r="AFH2" s="149"/>
      <c r="AFI2" s="149"/>
      <c r="AFJ2" s="149"/>
      <c r="AFK2" s="149"/>
      <c r="AFL2" s="149"/>
      <c r="AFM2" s="149"/>
      <c r="AFN2" s="149"/>
      <c r="AFO2" s="149"/>
      <c r="AFP2" s="149"/>
      <c r="AFQ2" s="149"/>
      <c r="AFR2" s="149"/>
      <c r="AFS2" s="149"/>
      <c r="AFT2" s="149"/>
      <c r="AFU2" s="149"/>
      <c r="AFV2" s="149"/>
      <c r="AFW2" s="149"/>
      <c r="AFX2" s="149"/>
      <c r="AFY2" s="149"/>
      <c r="AFZ2" s="149"/>
      <c r="AGA2" s="149"/>
      <c r="AGB2" s="149"/>
      <c r="AGC2" s="149"/>
      <c r="AGD2" s="149"/>
      <c r="AGE2" s="149"/>
      <c r="AGF2" s="149"/>
      <c r="AGG2" s="149"/>
      <c r="AGH2" s="149"/>
      <c r="AGI2" s="149"/>
      <c r="AGJ2" s="149"/>
      <c r="AGK2" s="149"/>
      <c r="AGL2" s="149"/>
      <c r="AGM2" s="149"/>
      <c r="AGN2" s="149"/>
      <c r="AGO2" s="149"/>
      <c r="AGP2" s="149"/>
      <c r="AGQ2" s="149"/>
      <c r="AGR2" s="149"/>
      <c r="AGS2" s="149"/>
      <c r="AGT2" s="149"/>
      <c r="AGU2" s="149"/>
      <c r="AGV2" s="149"/>
      <c r="AGW2" s="149"/>
      <c r="AGX2" s="149"/>
      <c r="AGY2" s="149"/>
      <c r="AGZ2" s="149"/>
      <c r="AHA2" s="149"/>
      <c r="AHB2" s="149"/>
      <c r="AHC2" s="149"/>
      <c r="AHD2" s="149"/>
      <c r="AHE2" s="149"/>
      <c r="AHF2" s="149"/>
      <c r="AHG2" s="149"/>
      <c r="AHH2" s="149"/>
      <c r="AHI2" s="149"/>
      <c r="AHJ2" s="149"/>
      <c r="AHK2" s="149"/>
      <c r="AHL2" s="149"/>
      <c r="AHM2" s="149"/>
      <c r="AHN2" s="149"/>
      <c r="AHO2" s="149"/>
      <c r="AHP2" s="149"/>
      <c r="AHQ2" s="149"/>
      <c r="AHR2" s="149"/>
      <c r="AHS2" s="149"/>
      <c r="AHT2" s="149"/>
      <c r="AHU2" s="149"/>
      <c r="AHV2" s="149"/>
      <c r="AHW2" s="149"/>
      <c r="AHX2" s="149"/>
      <c r="AHY2" s="149"/>
      <c r="AHZ2" s="149"/>
      <c r="AIA2" s="149"/>
      <c r="AIB2" s="149"/>
      <c r="AIC2" s="149"/>
      <c r="AID2" s="149"/>
      <c r="AIE2" s="149"/>
      <c r="AIF2" s="149"/>
      <c r="AIG2" s="149"/>
      <c r="AIH2" s="149"/>
      <c r="AII2" s="149"/>
      <c r="AIJ2" s="149"/>
      <c r="AIK2" s="149"/>
      <c r="AIL2" s="149"/>
      <c r="AIM2" s="149"/>
      <c r="AIN2" s="149"/>
      <c r="AIO2" s="149"/>
      <c r="AIP2" s="149"/>
      <c r="AIQ2" s="149"/>
      <c r="AIR2" s="149"/>
      <c r="AIS2" s="149"/>
      <c r="AIT2" s="149"/>
      <c r="AIU2" s="149"/>
      <c r="AIV2" s="149"/>
      <c r="AIW2" s="149"/>
      <c r="AIX2" s="149"/>
      <c r="AIY2" s="149"/>
      <c r="AIZ2" s="149"/>
      <c r="AJA2" s="149"/>
      <c r="AJB2" s="149"/>
      <c r="AJC2" s="149"/>
      <c r="AJD2" s="149"/>
      <c r="AJE2" s="149"/>
      <c r="AJF2" s="149"/>
      <c r="AJG2" s="149"/>
      <c r="AJH2" s="149"/>
      <c r="AJI2" s="149"/>
      <c r="AJJ2" s="149"/>
      <c r="AJK2" s="149"/>
      <c r="AJL2" s="149"/>
      <c r="AJM2" s="149"/>
      <c r="AJN2" s="149"/>
      <c r="AJO2" s="149"/>
      <c r="AJP2" s="149"/>
      <c r="AJQ2" s="149"/>
      <c r="AJR2" s="149"/>
      <c r="AJS2" s="149"/>
      <c r="AJT2" s="149"/>
      <c r="AJU2" s="149"/>
      <c r="AJV2" s="149"/>
      <c r="AJW2" s="149"/>
      <c r="AJX2" s="149"/>
      <c r="AJY2" s="149"/>
      <c r="AJZ2" s="149"/>
      <c r="AKA2" s="149"/>
      <c r="AKB2" s="149"/>
      <c r="AKC2" s="149"/>
      <c r="AKD2" s="149"/>
      <c r="AKE2" s="149"/>
      <c r="AKF2" s="149"/>
      <c r="AKG2" s="149"/>
      <c r="AKH2" s="149"/>
      <c r="AKI2" s="149"/>
      <c r="AKJ2" s="149"/>
      <c r="AKK2" s="149"/>
      <c r="AKL2" s="149"/>
      <c r="AKM2" s="149"/>
      <c r="AKN2" s="149"/>
      <c r="AKO2" s="149"/>
      <c r="AKP2" s="149"/>
      <c r="AKQ2" s="149"/>
      <c r="AKR2" s="149"/>
      <c r="AKS2" s="149"/>
      <c r="AKT2" s="149"/>
      <c r="AKU2" s="149"/>
      <c r="AKV2" s="149"/>
      <c r="AKW2" s="149"/>
      <c r="AKX2" s="149"/>
      <c r="AKY2" s="149"/>
      <c r="AKZ2" s="149"/>
      <c r="ALA2" s="149"/>
      <c r="ALB2" s="149"/>
      <c r="ALC2" s="149"/>
      <c r="ALD2" s="149"/>
      <c r="ALE2" s="149"/>
      <c r="ALF2" s="149"/>
      <c r="ALG2" s="149"/>
      <c r="ALH2" s="149"/>
      <c r="ALI2" s="149"/>
      <c r="ALJ2" s="149"/>
      <c r="ALK2" s="149"/>
      <c r="ALL2" s="149"/>
      <c r="ALM2" s="149"/>
      <c r="ALN2" s="149"/>
      <c r="ALO2" s="149"/>
      <c r="ALP2" s="149"/>
      <c r="ALQ2" s="149"/>
      <c r="ALR2" s="149"/>
      <c r="ALS2" s="149"/>
      <c r="ALT2" s="149"/>
      <c r="ALU2" s="149"/>
      <c r="ALV2" s="149"/>
      <c r="ALW2" s="149"/>
      <c r="ALX2" s="149"/>
      <c r="ALY2" s="149"/>
      <c r="ALZ2" s="149"/>
      <c r="AMA2" s="149"/>
      <c r="AMB2" s="149"/>
      <c r="AMC2" s="149"/>
      <c r="AMD2" s="149"/>
      <c r="AME2" s="1"/>
      <c r="AMF2" s="1"/>
      <c r="AMG2" s="1"/>
      <c r="AMH2" s="1"/>
      <c r="AMI2" s="1"/>
    </row>
    <row r="3" customFormat="false" ht="46.6" hidden="false" customHeight="false" outlineLevel="0" collapsed="false">
      <c r="A3" s="150" t="s">
        <v>414</v>
      </c>
      <c r="B3" s="150" t="s">
        <v>993</v>
      </c>
      <c r="C3" s="150" t="s">
        <v>994</v>
      </c>
      <c r="D3" s="151" t="s">
        <v>438</v>
      </c>
      <c r="E3" s="151" t="s">
        <v>995</v>
      </c>
      <c r="F3" s="151" t="s">
        <v>349</v>
      </c>
      <c r="G3" s="151" t="s">
        <v>996</v>
      </c>
      <c r="H3" s="151" t="s">
        <v>997</v>
      </c>
      <c r="I3" s="151" t="s">
        <v>998</v>
      </c>
      <c r="J3" s="151" t="s">
        <v>999</v>
      </c>
      <c r="K3" s="151" t="s">
        <v>1000</v>
      </c>
      <c r="L3" s="151" t="s">
        <v>1001</v>
      </c>
      <c r="M3" s="152" t="s">
        <v>1002</v>
      </c>
      <c r="N3" s="151" t="s">
        <v>1002</v>
      </c>
      <c r="O3" s="151" t="s">
        <v>1002</v>
      </c>
      <c r="P3" s="151" t="s">
        <v>1002</v>
      </c>
      <c r="Q3" s="151" t="s">
        <v>1003</v>
      </c>
      <c r="R3" s="151" t="s">
        <v>1003</v>
      </c>
      <c r="S3" s="151" t="s">
        <v>1003</v>
      </c>
      <c r="T3" s="151" t="s">
        <v>1003</v>
      </c>
      <c r="U3" s="151" t="s">
        <v>1003</v>
      </c>
      <c r="V3" s="151" t="s">
        <v>1003</v>
      </c>
      <c r="W3" s="151" t="s">
        <v>923</v>
      </c>
      <c r="X3" s="151" t="s">
        <v>924</v>
      </c>
      <c r="Y3" s="151" t="s">
        <v>932</v>
      </c>
      <c r="Z3" s="151" t="s">
        <v>933</v>
      </c>
      <c r="AA3" s="151" t="s">
        <v>939</v>
      </c>
      <c r="AB3" s="151" t="s">
        <v>940</v>
      </c>
      <c r="AC3" s="151" t="s">
        <v>905</v>
      </c>
      <c r="AD3" s="151" t="s">
        <v>906</v>
      </c>
      <c r="AE3" s="151" t="s">
        <v>868</v>
      </c>
      <c r="AF3" s="151" t="s">
        <v>1004</v>
      </c>
      <c r="AG3" s="151" t="s">
        <v>836</v>
      </c>
      <c r="AH3" s="151" t="s">
        <v>1005</v>
      </c>
      <c r="AI3" s="150" t="s">
        <v>1006</v>
      </c>
      <c r="AJ3" s="150" t="s">
        <v>1007</v>
      </c>
      <c r="AK3" s="150" t="s">
        <v>1008</v>
      </c>
      <c r="AL3" s="153" t="s">
        <v>1007</v>
      </c>
      <c r="AM3" s="150" t="s">
        <v>1009</v>
      </c>
      <c r="AN3" s="150"/>
      <c r="AO3" s="150" t="s">
        <v>454</v>
      </c>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49"/>
      <c r="BY3" s="149"/>
      <c r="BZ3" s="149"/>
      <c r="CA3" s="149"/>
      <c r="CB3" s="149"/>
      <c r="CC3" s="149"/>
      <c r="CD3" s="149"/>
      <c r="CE3" s="149"/>
      <c r="CF3" s="149"/>
      <c r="CG3" s="149"/>
      <c r="CH3" s="149"/>
      <c r="CI3" s="149"/>
      <c r="CJ3" s="149"/>
      <c r="CK3" s="149"/>
      <c r="CL3" s="149"/>
      <c r="CM3" s="149"/>
      <c r="CN3" s="149"/>
      <c r="CO3" s="149"/>
      <c r="CP3" s="149"/>
      <c r="CQ3" s="149"/>
      <c r="CR3" s="149"/>
      <c r="CS3" s="149"/>
      <c r="CT3" s="149"/>
      <c r="CU3" s="149"/>
      <c r="CV3" s="149"/>
      <c r="CW3" s="149"/>
      <c r="CX3" s="149"/>
      <c r="CY3" s="149"/>
      <c r="CZ3" s="149"/>
      <c r="DA3" s="149"/>
      <c r="DB3" s="149"/>
      <c r="DC3" s="149"/>
      <c r="DD3" s="149"/>
      <c r="DE3" s="149"/>
      <c r="DF3" s="149"/>
      <c r="DG3" s="149"/>
      <c r="DH3" s="149"/>
      <c r="DI3" s="149"/>
      <c r="DJ3" s="149"/>
      <c r="DK3" s="149"/>
      <c r="DL3" s="149"/>
      <c r="DM3" s="149"/>
      <c r="DN3" s="149"/>
      <c r="DO3" s="149"/>
      <c r="DP3" s="149"/>
      <c r="DQ3" s="149"/>
      <c r="DR3" s="149"/>
      <c r="DS3" s="149"/>
      <c r="DT3" s="149"/>
      <c r="DU3" s="149"/>
      <c r="DV3" s="149"/>
      <c r="DW3" s="149"/>
      <c r="DX3" s="149"/>
      <c r="DY3" s="149"/>
      <c r="DZ3" s="149"/>
      <c r="EA3" s="149"/>
      <c r="EB3" s="149"/>
      <c r="EC3" s="149"/>
      <c r="ED3" s="149"/>
      <c r="EE3" s="149"/>
      <c r="EF3" s="149"/>
      <c r="EG3" s="149"/>
      <c r="EH3" s="149"/>
      <c r="EI3" s="149"/>
      <c r="EJ3" s="149"/>
      <c r="EK3" s="149"/>
      <c r="EL3" s="149"/>
      <c r="EM3" s="149"/>
      <c r="EN3" s="149"/>
      <c r="EO3" s="149"/>
      <c r="EP3" s="149"/>
      <c r="EQ3" s="149"/>
      <c r="ER3" s="149"/>
      <c r="ES3" s="149"/>
      <c r="ET3" s="149"/>
      <c r="EU3" s="149"/>
      <c r="EV3" s="149"/>
      <c r="EW3" s="149"/>
      <c r="EX3" s="149"/>
      <c r="EY3" s="149"/>
      <c r="EZ3" s="149"/>
      <c r="FA3" s="149"/>
      <c r="FB3" s="149"/>
      <c r="FC3" s="149"/>
      <c r="FD3" s="149"/>
      <c r="FE3" s="149"/>
      <c r="FF3" s="149"/>
      <c r="FG3" s="149"/>
      <c r="FH3" s="149"/>
      <c r="FI3" s="149"/>
      <c r="FJ3" s="149"/>
      <c r="FK3" s="149"/>
      <c r="FL3" s="149"/>
      <c r="FM3" s="149"/>
      <c r="FN3" s="149"/>
      <c r="FO3" s="149"/>
      <c r="FP3" s="149"/>
      <c r="FQ3" s="149"/>
      <c r="FR3" s="149"/>
      <c r="FS3" s="149"/>
      <c r="FT3" s="149"/>
      <c r="FU3" s="149"/>
      <c r="FV3" s="149"/>
      <c r="FW3" s="149"/>
      <c r="FX3" s="149"/>
      <c r="FY3" s="149"/>
      <c r="FZ3" s="149"/>
      <c r="GA3" s="149"/>
      <c r="GB3" s="149"/>
      <c r="GC3" s="149"/>
      <c r="GD3" s="149"/>
      <c r="GE3" s="149"/>
      <c r="GF3" s="149"/>
      <c r="GG3" s="149"/>
      <c r="GH3" s="149"/>
      <c r="GI3" s="149"/>
      <c r="GJ3" s="149"/>
      <c r="GK3" s="149"/>
      <c r="GL3" s="149"/>
      <c r="GM3" s="149"/>
      <c r="GN3" s="149"/>
      <c r="GO3" s="149"/>
      <c r="GP3" s="149"/>
      <c r="GQ3" s="149"/>
      <c r="GR3" s="149"/>
      <c r="GS3" s="149"/>
      <c r="GT3" s="149"/>
      <c r="GU3" s="149"/>
      <c r="GV3" s="149"/>
      <c r="GW3" s="149"/>
      <c r="GX3" s="149"/>
      <c r="GY3" s="149"/>
      <c r="GZ3" s="149"/>
      <c r="HA3" s="149"/>
      <c r="HB3" s="149"/>
      <c r="HC3" s="149"/>
      <c r="HD3" s="149"/>
      <c r="HE3" s="149"/>
      <c r="HF3" s="149"/>
      <c r="HG3" s="149"/>
      <c r="HH3" s="149"/>
      <c r="HI3" s="149"/>
      <c r="HJ3" s="149"/>
      <c r="HK3" s="149"/>
      <c r="HL3" s="149"/>
      <c r="HM3" s="149"/>
      <c r="HN3" s="149"/>
      <c r="HO3" s="149"/>
      <c r="HP3" s="149"/>
      <c r="HQ3" s="149"/>
      <c r="HR3" s="149"/>
      <c r="HS3" s="149"/>
      <c r="HT3" s="149"/>
      <c r="HU3" s="149"/>
      <c r="HV3" s="149"/>
      <c r="HW3" s="149"/>
      <c r="HX3" s="149"/>
      <c r="HY3" s="149"/>
      <c r="HZ3" s="149"/>
      <c r="IA3" s="149"/>
      <c r="IB3" s="149"/>
      <c r="IC3" s="149"/>
      <c r="ID3" s="149"/>
      <c r="IE3" s="149"/>
      <c r="IF3" s="149"/>
      <c r="IG3" s="149"/>
      <c r="IH3" s="149"/>
      <c r="II3" s="149"/>
      <c r="IJ3" s="149"/>
      <c r="IK3" s="149"/>
      <c r="IL3" s="149"/>
      <c r="IM3" s="149"/>
      <c r="IN3" s="149"/>
      <c r="IO3" s="149"/>
      <c r="IP3" s="149"/>
      <c r="IQ3" s="149"/>
      <c r="IR3" s="149"/>
      <c r="IS3" s="149"/>
      <c r="IT3" s="149"/>
      <c r="IU3" s="149"/>
      <c r="IV3" s="149"/>
      <c r="IW3" s="149"/>
      <c r="IX3" s="149"/>
      <c r="IY3" s="149"/>
      <c r="IZ3" s="149"/>
      <c r="JA3" s="149"/>
      <c r="JB3" s="149"/>
      <c r="JC3" s="149"/>
      <c r="JD3" s="149"/>
      <c r="JE3" s="149"/>
      <c r="JF3" s="149"/>
      <c r="JG3" s="149"/>
      <c r="JH3" s="149"/>
      <c r="JI3" s="149"/>
      <c r="JJ3" s="149"/>
      <c r="JK3" s="149"/>
      <c r="JL3" s="149"/>
      <c r="JM3" s="149"/>
      <c r="JN3" s="149"/>
      <c r="JO3" s="149"/>
      <c r="JP3" s="149"/>
      <c r="JQ3" s="149"/>
      <c r="JR3" s="149"/>
      <c r="JS3" s="149"/>
      <c r="JT3" s="149"/>
      <c r="JU3" s="149"/>
      <c r="JV3" s="149"/>
      <c r="JW3" s="149"/>
      <c r="JX3" s="149"/>
      <c r="JY3" s="149"/>
      <c r="JZ3" s="149"/>
      <c r="KA3" s="149"/>
      <c r="KB3" s="149"/>
      <c r="KC3" s="149"/>
      <c r="KD3" s="149"/>
      <c r="KE3" s="149"/>
      <c r="KF3" s="149"/>
      <c r="KG3" s="149"/>
      <c r="KH3" s="149"/>
      <c r="KI3" s="149"/>
      <c r="KJ3" s="149"/>
      <c r="KK3" s="149"/>
      <c r="KL3" s="149"/>
      <c r="KM3" s="149"/>
      <c r="KN3" s="149"/>
      <c r="KO3" s="149"/>
      <c r="KP3" s="149"/>
      <c r="KQ3" s="149"/>
      <c r="KR3" s="149"/>
      <c r="KS3" s="149"/>
      <c r="KT3" s="149"/>
      <c r="KU3" s="149"/>
      <c r="KV3" s="149"/>
      <c r="KW3" s="149"/>
      <c r="KX3" s="149"/>
      <c r="KY3" s="149"/>
      <c r="KZ3" s="149"/>
      <c r="LA3" s="149"/>
      <c r="LB3" s="149"/>
      <c r="LC3" s="149"/>
      <c r="LD3" s="149"/>
      <c r="LE3" s="149"/>
      <c r="LF3" s="149"/>
      <c r="LG3" s="149"/>
      <c r="LH3" s="149"/>
      <c r="LI3" s="149"/>
      <c r="LJ3" s="149"/>
      <c r="LK3" s="149"/>
      <c r="LL3" s="149"/>
      <c r="LM3" s="149"/>
      <c r="LN3" s="149"/>
      <c r="LO3" s="149"/>
      <c r="LP3" s="149"/>
      <c r="LQ3" s="149"/>
      <c r="LR3" s="149"/>
      <c r="LS3" s="149"/>
      <c r="LT3" s="149"/>
      <c r="LU3" s="149"/>
      <c r="LV3" s="149"/>
      <c r="LW3" s="149"/>
      <c r="LX3" s="149"/>
      <c r="LY3" s="149"/>
      <c r="LZ3" s="149"/>
      <c r="MA3" s="149"/>
      <c r="MB3" s="149"/>
      <c r="MC3" s="149"/>
      <c r="MD3" s="149"/>
      <c r="ME3" s="149"/>
      <c r="MF3" s="149"/>
      <c r="MG3" s="149"/>
      <c r="MH3" s="149"/>
      <c r="MI3" s="149"/>
      <c r="MJ3" s="149"/>
      <c r="MK3" s="149"/>
      <c r="ML3" s="149"/>
      <c r="MM3" s="149"/>
      <c r="MN3" s="149"/>
      <c r="MO3" s="149"/>
      <c r="MP3" s="149"/>
      <c r="MQ3" s="149"/>
      <c r="MR3" s="149"/>
      <c r="MS3" s="149"/>
      <c r="MT3" s="149"/>
      <c r="MU3" s="149"/>
      <c r="MV3" s="149"/>
      <c r="MW3" s="149"/>
      <c r="MX3" s="149"/>
      <c r="MY3" s="149"/>
      <c r="MZ3" s="149"/>
      <c r="NA3" s="149"/>
      <c r="NB3" s="149"/>
      <c r="NC3" s="149"/>
      <c r="ND3" s="149"/>
      <c r="NE3" s="149"/>
      <c r="NF3" s="149"/>
      <c r="NG3" s="149"/>
      <c r="NH3" s="149"/>
      <c r="NI3" s="149"/>
      <c r="NJ3" s="149"/>
      <c r="NK3" s="149"/>
      <c r="NL3" s="149"/>
      <c r="NM3" s="149"/>
      <c r="NN3" s="149"/>
      <c r="NO3" s="149"/>
      <c r="NP3" s="149"/>
      <c r="NQ3" s="149"/>
      <c r="NR3" s="149"/>
      <c r="NS3" s="149"/>
      <c r="NT3" s="149"/>
      <c r="NU3" s="149"/>
      <c r="NV3" s="149"/>
      <c r="NW3" s="149"/>
      <c r="NX3" s="149"/>
      <c r="NY3" s="149"/>
      <c r="NZ3" s="149"/>
      <c r="OA3" s="149"/>
      <c r="OB3" s="149"/>
      <c r="OC3" s="149"/>
      <c r="OD3" s="149"/>
      <c r="OE3" s="149"/>
      <c r="OF3" s="149"/>
      <c r="OG3" s="149"/>
      <c r="OH3" s="149"/>
      <c r="OI3" s="149"/>
      <c r="OJ3" s="149"/>
      <c r="OK3" s="149"/>
      <c r="OL3" s="149"/>
      <c r="OM3" s="149"/>
      <c r="ON3" s="149"/>
      <c r="OO3" s="149"/>
      <c r="OP3" s="149"/>
      <c r="OQ3" s="149"/>
      <c r="OR3" s="149"/>
      <c r="OS3" s="149"/>
      <c r="OT3" s="149"/>
      <c r="OU3" s="149"/>
      <c r="OV3" s="149"/>
      <c r="OW3" s="149"/>
      <c r="OX3" s="149"/>
      <c r="OY3" s="149"/>
      <c r="OZ3" s="149"/>
      <c r="PA3" s="149"/>
      <c r="PB3" s="149"/>
      <c r="PC3" s="149"/>
      <c r="PD3" s="149"/>
      <c r="PE3" s="149"/>
      <c r="PF3" s="149"/>
      <c r="PG3" s="149"/>
      <c r="PH3" s="149"/>
      <c r="PI3" s="149"/>
      <c r="PJ3" s="149"/>
      <c r="PK3" s="149"/>
      <c r="PL3" s="149"/>
      <c r="PM3" s="149"/>
      <c r="PN3" s="149"/>
      <c r="PO3" s="149"/>
      <c r="PP3" s="149"/>
      <c r="PQ3" s="149"/>
      <c r="PR3" s="149"/>
      <c r="PS3" s="149"/>
      <c r="PT3" s="149"/>
      <c r="PU3" s="149"/>
      <c r="PV3" s="149"/>
      <c r="PW3" s="149"/>
      <c r="PX3" s="149"/>
      <c r="PY3" s="149"/>
      <c r="PZ3" s="149"/>
      <c r="QA3" s="149"/>
      <c r="QB3" s="149"/>
      <c r="QC3" s="149"/>
      <c r="QD3" s="149"/>
      <c r="QE3" s="149"/>
      <c r="QF3" s="149"/>
      <c r="QG3" s="149"/>
      <c r="QH3" s="149"/>
      <c r="QI3" s="149"/>
      <c r="QJ3" s="149"/>
      <c r="QK3" s="149"/>
      <c r="QL3" s="149"/>
      <c r="QM3" s="149"/>
      <c r="QN3" s="149"/>
      <c r="QO3" s="149"/>
      <c r="QP3" s="149"/>
      <c r="QQ3" s="149"/>
      <c r="QR3" s="149"/>
      <c r="QS3" s="149"/>
      <c r="QT3" s="149"/>
      <c r="QU3" s="149"/>
      <c r="QV3" s="149"/>
      <c r="QW3" s="149"/>
      <c r="QX3" s="149"/>
      <c r="QY3" s="149"/>
      <c r="QZ3" s="149"/>
      <c r="RA3" s="149"/>
      <c r="RB3" s="149"/>
      <c r="RC3" s="149"/>
      <c r="RD3" s="149"/>
      <c r="RE3" s="149"/>
      <c r="RF3" s="149"/>
      <c r="RG3" s="149"/>
      <c r="RH3" s="149"/>
      <c r="RI3" s="149"/>
      <c r="RJ3" s="149"/>
      <c r="RK3" s="149"/>
      <c r="RL3" s="149"/>
      <c r="RM3" s="149"/>
      <c r="RN3" s="149"/>
      <c r="RO3" s="149"/>
      <c r="RP3" s="149"/>
      <c r="RQ3" s="149"/>
      <c r="RR3" s="149"/>
      <c r="RS3" s="149"/>
      <c r="RT3" s="149"/>
      <c r="RU3" s="149"/>
      <c r="RV3" s="149"/>
      <c r="RW3" s="149"/>
      <c r="RX3" s="149"/>
      <c r="RY3" s="149"/>
      <c r="RZ3" s="149"/>
      <c r="SA3" s="149"/>
      <c r="SB3" s="149"/>
      <c r="SC3" s="149"/>
      <c r="SD3" s="149"/>
      <c r="SE3" s="149"/>
      <c r="SF3" s="149"/>
      <c r="SG3" s="149"/>
      <c r="SH3" s="149"/>
      <c r="SI3" s="149"/>
      <c r="SJ3" s="149"/>
      <c r="SK3" s="149"/>
      <c r="SL3" s="149"/>
      <c r="SM3" s="149"/>
      <c r="SN3" s="149"/>
      <c r="SO3" s="149"/>
      <c r="SP3" s="149"/>
      <c r="SQ3" s="149"/>
      <c r="SR3" s="149"/>
      <c r="SS3" s="149"/>
      <c r="ST3" s="149"/>
      <c r="SU3" s="149"/>
      <c r="SV3" s="149"/>
      <c r="SW3" s="149"/>
      <c r="SX3" s="149"/>
      <c r="SY3" s="149"/>
      <c r="SZ3" s="149"/>
      <c r="TA3" s="149"/>
      <c r="TB3" s="149"/>
      <c r="TC3" s="149"/>
      <c r="TD3" s="149"/>
      <c r="TE3" s="149"/>
      <c r="TF3" s="149"/>
      <c r="TG3" s="149"/>
      <c r="TH3" s="149"/>
      <c r="TI3" s="149"/>
      <c r="TJ3" s="149"/>
      <c r="TK3" s="149"/>
      <c r="TL3" s="149"/>
      <c r="TM3" s="149"/>
      <c r="TN3" s="149"/>
      <c r="TO3" s="149"/>
      <c r="TP3" s="149"/>
      <c r="TQ3" s="149"/>
      <c r="TR3" s="149"/>
      <c r="TS3" s="149"/>
      <c r="TT3" s="149"/>
      <c r="TU3" s="149"/>
      <c r="TV3" s="149"/>
      <c r="TW3" s="149"/>
      <c r="TX3" s="149"/>
      <c r="TY3" s="149"/>
      <c r="TZ3" s="149"/>
      <c r="UA3" s="149"/>
      <c r="UB3" s="149"/>
      <c r="UC3" s="149"/>
      <c r="UD3" s="149"/>
      <c r="UE3" s="149"/>
      <c r="UF3" s="149"/>
      <c r="UG3" s="149"/>
      <c r="UH3" s="149"/>
      <c r="UI3" s="149"/>
      <c r="UJ3" s="149"/>
      <c r="UK3" s="149"/>
      <c r="UL3" s="149"/>
      <c r="UM3" s="149"/>
      <c r="UN3" s="149"/>
      <c r="UO3" s="149"/>
      <c r="UP3" s="149"/>
      <c r="UQ3" s="149"/>
      <c r="UR3" s="149"/>
      <c r="US3" s="149"/>
      <c r="UT3" s="149"/>
      <c r="UU3" s="149"/>
      <c r="UV3" s="149"/>
      <c r="UW3" s="149"/>
      <c r="UX3" s="149"/>
      <c r="UY3" s="149"/>
      <c r="UZ3" s="149"/>
      <c r="VA3" s="149"/>
      <c r="VB3" s="149"/>
      <c r="VC3" s="149"/>
      <c r="VD3" s="149"/>
      <c r="VE3" s="149"/>
      <c r="VF3" s="149"/>
      <c r="VG3" s="149"/>
      <c r="VH3" s="149"/>
      <c r="VI3" s="149"/>
      <c r="VJ3" s="149"/>
      <c r="VK3" s="149"/>
      <c r="VL3" s="149"/>
      <c r="VM3" s="149"/>
      <c r="VN3" s="149"/>
      <c r="VO3" s="149"/>
      <c r="VP3" s="149"/>
      <c r="VQ3" s="149"/>
      <c r="VR3" s="149"/>
      <c r="VS3" s="149"/>
      <c r="VT3" s="149"/>
      <c r="VU3" s="149"/>
      <c r="VV3" s="149"/>
      <c r="VW3" s="149"/>
      <c r="VX3" s="149"/>
      <c r="VY3" s="149"/>
      <c r="VZ3" s="149"/>
      <c r="WA3" s="149"/>
      <c r="WB3" s="149"/>
      <c r="WC3" s="149"/>
      <c r="WD3" s="149"/>
      <c r="WE3" s="149"/>
      <c r="WF3" s="149"/>
      <c r="WG3" s="149"/>
      <c r="WH3" s="149"/>
      <c r="WI3" s="149"/>
      <c r="WJ3" s="149"/>
      <c r="WK3" s="149"/>
      <c r="WL3" s="149"/>
      <c r="WM3" s="149"/>
      <c r="WN3" s="149"/>
      <c r="WO3" s="149"/>
      <c r="WP3" s="149"/>
      <c r="WQ3" s="149"/>
      <c r="WR3" s="149"/>
      <c r="WS3" s="149"/>
      <c r="WT3" s="149"/>
      <c r="WU3" s="149"/>
      <c r="WV3" s="149"/>
      <c r="WW3" s="149"/>
      <c r="WX3" s="149"/>
      <c r="WY3" s="149"/>
      <c r="WZ3" s="149"/>
      <c r="XA3" s="149"/>
      <c r="XB3" s="149"/>
      <c r="XC3" s="149"/>
      <c r="XD3" s="149"/>
      <c r="XE3" s="149"/>
      <c r="XF3" s="149"/>
      <c r="XG3" s="149"/>
      <c r="XH3" s="149"/>
      <c r="XI3" s="149"/>
      <c r="XJ3" s="149"/>
      <c r="XK3" s="149"/>
      <c r="XL3" s="149"/>
      <c r="XM3" s="149"/>
      <c r="XN3" s="149"/>
      <c r="XO3" s="149"/>
      <c r="XP3" s="149"/>
      <c r="XQ3" s="149"/>
      <c r="XR3" s="149"/>
      <c r="XS3" s="149"/>
      <c r="XT3" s="149"/>
      <c r="XU3" s="149"/>
      <c r="XV3" s="149"/>
      <c r="XW3" s="149"/>
      <c r="XX3" s="149"/>
      <c r="XY3" s="149"/>
      <c r="XZ3" s="149"/>
      <c r="YA3" s="149"/>
      <c r="YB3" s="149"/>
      <c r="YC3" s="149"/>
      <c r="YD3" s="149"/>
      <c r="YE3" s="149"/>
      <c r="YF3" s="149"/>
      <c r="YG3" s="149"/>
      <c r="YH3" s="149"/>
      <c r="YI3" s="149"/>
      <c r="YJ3" s="149"/>
      <c r="YK3" s="149"/>
      <c r="YL3" s="149"/>
      <c r="YM3" s="149"/>
      <c r="YN3" s="149"/>
      <c r="YO3" s="149"/>
      <c r="YP3" s="149"/>
      <c r="YQ3" s="149"/>
      <c r="YR3" s="149"/>
      <c r="YS3" s="149"/>
      <c r="YT3" s="149"/>
      <c r="YU3" s="149"/>
      <c r="YV3" s="149"/>
      <c r="YW3" s="149"/>
      <c r="YX3" s="149"/>
      <c r="YY3" s="149"/>
      <c r="YZ3" s="149"/>
      <c r="ZA3" s="149"/>
      <c r="ZB3" s="149"/>
      <c r="ZC3" s="149"/>
      <c r="ZD3" s="149"/>
      <c r="ZE3" s="149"/>
      <c r="ZF3" s="149"/>
      <c r="ZG3" s="149"/>
      <c r="ZH3" s="149"/>
      <c r="ZI3" s="149"/>
      <c r="ZJ3" s="149"/>
      <c r="ZK3" s="149"/>
      <c r="ZL3" s="149"/>
      <c r="ZM3" s="149"/>
      <c r="ZN3" s="149"/>
      <c r="ZO3" s="149"/>
      <c r="ZP3" s="149"/>
      <c r="ZQ3" s="149"/>
      <c r="ZR3" s="149"/>
      <c r="ZS3" s="149"/>
      <c r="ZT3" s="149"/>
      <c r="ZU3" s="149"/>
      <c r="ZV3" s="149"/>
      <c r="ZW3" s="149"/>
      <c r="ZX3" s="149"/>
      <c r="ZY3" s="149"/>
      <c r="ZZ3" s="149"/>
      <c r="AAA3" s="149"/>
      <c r="AAB3" s="149"/>
      <c r="AAC3" s="149"/>
      <c r="AAD3" s="149"/>
      <c r="AAE3" s="149"/>
      <c r="AAF3" s="149"/>
      <c r="AAG3" s="149"/>
      <c r="AAH3" s="149"/>
      <c r="AAI3" s="149"/>
      <c r="AAJ3" s="149"/>
      <c r="AAK3" s="149"/>
      <c r="AAL3" s="149"/>
      <c r="AAM3" s="149"/>
      <c r="AAN3" s="149"/>
      <c r="AAO3" s="149"/>
      <c r="AAP3" s="149"/>
      <c r="AAQ3" s="149"/>
      <c r="AAR3" s="149"/>
      <c r="AAS3" s="149"/>
      <c r="AAT3" s="149"/>
      <c r="AAU3" s="149"/>
      <c r="AAV3" s="149"/>
      <c r="AAW3" s="149"/>
      <c r="AAX3" s="149"/>
      <c r="AAY3" s="149"/>
      <c r="AAZ3" s="149"/>
      <c r="ABA3" s="149"/>
      <c r="ABB3" s="149"/>
      <c r="ABC3" s="149"/>
      <c r="ABD3" s="149"/>
      <c r="ABE3" s="149"/>
      <c r="ABF3" s="149"/>
      <c r="ABG3" s="149"/>
      <c r="ABH3" s="149"/>
      <c r="ABI3" s="149"/>
      <c r="ABJ3" s="149"/>
      <c r="ABK3" s="149"/>
      <c r="ABL3" s="149"/>
      <c r="ABM3" s="149"/>
      <c r="ABN3" s="149"/>
      <c r="ABO3" s="149"/>
      <c r="ABP3" s="149"/>
      <c r="ABQ3" s="149"/>
      <c r="ABR3" s="149"/>
      <c r="ABS3" s="149"/>
      <c r="ABT3" s="149"/>
      <c r="ABU3" s="149"/>
      <c r="ABV3" s="149"/>
      <c r="ABW3" s="149"/>
      <c r="ABX3" s="149"/>
      <c r="ABY3" s="149"/>
      <c r="ABZ3" s="149"/>
      <c r="ACA3" s="149"/>
      <c r="ACB3" s="149"/>
      <c r="ACC3" s="149"/>
      <c r="ACD3" s="149"/>
      <c r="ACE3" s="149"/>
      <c r="ACF3" s="149"/>
      <c r="ACG3" s="149"/>
      <c r="ACH3" s="149"/>
      <c r="ACI3" s="149"/>
      <c r="ACJ3" s="149"/>
      <c r="ACK3" s="149"/>
      <c r="ACL3" s="149"/>
      <c r="ACM3" s="149"/>
      <c r="ACN3" s="149"/>
      <c r="ACO3" s="149"/>
      <c r="ACP3" s="149"/>
      <c r="ACQ3" s="149"/>
      <c r="ACR3" s="149"/>
      <c r="ACS3" s="149"/>
      <c r="ACT3" s="149"/>
      <c r="ACU3" s="149"/>
      <c r="ACV3" s="149"/>
      <c r="ACW3" s="149"/>
      <c r="ACX3" s="149"/>
      <c r="ACY3" s="149"/>
      <c r="ACZ3" s="149"/>
      <c r="ADA3" s="149"/>
      <c r="ADB3" s="149"/>
      <c r="ADC3" s="149"/>
      <c r="ADD3" s="149"/>
      <c r="ADE3" s="149"/>
      <c r="ADF3" s="149"/>
      <c r="ADG3" s="149"/>
      <c r="ADH3" s="149"/>
      <c r="ADI3" s="149"/>
      <c r="ADJ3" s="149"/>
      <c r="ADK3" s="149"/>
      <c r="ADL3" s="149"/>
      <c r="ADM3" s="149"/>
      <c r="ADN3" s="149"/>
      <c r="ADO3" s="149"/>
      <c r="ADP3" s="149"/>
      <c r="ADQ3" s="149"/>
      <c r="ADR3" s="149"/>
      <c r="ADS3" s="149"/>
      <c r="ADT3" s="149"/>
      <c r="ADU3" s="149"/>
      <c r="ADV3" s="149"/>
      <c r="ADW3" s="149"/>
      <c r="ADX3" s="149"/>
      <c r="ADY3" s="149"/>
      <c r="ADZ3" s="149"/>
      <c r="AEA3" s="149"/>
      <c r="AEB3" s="149"/>
      <c r="AEC3" s="149"/>
      <c r="AED3" s="149"/>
      <c r="AEE3" s="149"/>
      <c r="AEF3" s="149"/>
      <c r="AEG3" s="149"/>
      <c r="AEH3" s="149"/>
      <c r="AEI3" s="149"/>
      <c r="AEJ3" s="149"/>
      <c r="AEK3" s="149"/>
      <c r="AEL3" s="149"/>
      <c r="AEM3" s="149"/>
      <c r="AEN3" s="149"/>
      <c r="AEO3" s="149"/>
      <c r="AEP3" s="149"/>
      <c r="AEQ3" s="149"/>
      <c r="AER3" s="149"/>
      <c r="AES3" s="149"/>
      <c r="AET3" s="149"/>
      <c r="AEU3" s="149"/>
      <c r="AEV3" s="149"/>
      <c r="AEW3" s="149"/>
      <c r="AEX3" s="149"/>
      <c r="AEY3" s="149"/>
      <c r="AEZ3" s="149"/>
      <c r="AFA3" s="149"/>
      <c r="AFB3" s="149"/>
      <c r="AFC3" s="149"/>
      <c r="AFD3" s="149"/>
      <c r="AFE3" s="149"/>
      <c r="AFF3" s="149"/>
      <c r="AFG3" s="149"/>
      <c r="AFH3" s="149"/>
      <c r="AFI3" s="149"/>
      <c r="AFJ3" s="149"/>
      <c r="AFK3" s="149"/>
      <c r="AFL3" s="149"/>
      <c r="AFM3" s="149"/>
      <c r="AFN3" s="149"/>
      <c r="AFO3" s="149"/>
      <c r="AFP3" s="149"/>
      <c r="AFQ3" s="149"/>
      <c r="AFR3" s="149"/>
      <c r="AFS3" s="149"/>
      <c r="AFT3" s="149"/>
      <c r="AFU3" s="149"/>
      <c r="AFV3" s="149"/>
      <c r="AFW3" s="149"/>
      <c r="AFX3" s="149"/>
      <c r="AFY3" s="149"/>
      <c r="AFZ3" s="149"/>
      <c r="AGA3" s="149"/>
      <c r="AGB3" s="149"/>
      <c r="AGC3" s="149"/>
      <c r="AGD3" s="149"/>
      <c r="AGE3" s="149"/>
      <c r="AGF3" s="149"/>
      <c r="AGG3" s="149"/>
      <c r="AGH3" s="149"/>
      <c r="AGI3" s="149"/>
      <c r="AGJ3" s="149"/>
      <c r="AGK3" s="149"/>
      <c r="AGL3" s="149"/>
      <c r="AGM3" s="149"/>
      <c r="AGN3" s="149"/>
      <c r="AGO3" s="149"/>
      <c r="AGP3" s="149"/>
      <c r="AGQ3" s="149"/>
      <c r="AGR3" s="149"/>
      <c r="AGS3" s="149"/>
      <c r="AGT3" s="149"/>
      <c r="AGU3" s="149"/>
      <c r="AGV3" s="149"/>
      <c r="AGW3" s="149"/>
      <c r="AGX3" s="149"/>
      <c r="AGY3" s="149"/>
      <c r="AGZ3" s="149"/>
      <c r="AHA3" s="149"/>
      <c r="AHB3" s="149"/>
      <c r="AHC3" s="149"/>
      <c r="AHD3" s="149"/>
      <c r="AHE3" s="149"/>
      <c r="AHF3" s="149"/>
      <c r="AHG3" s="149"/>
      <c r="AHH3" s="149"/>
      <c r="AHI3" s="149"/>
      <c r="AHJ3" s="149"/>
      <c r="AHK3" s="149"/>
      <c r="AHL3" s="149"/>
      <c r="AHM3" s="149"/>
      <c r="AHN3" s="149"/>
      <c r="AHO3" s="149"/>
      <c r="AHP3" s="149"/>
      <c r="AHQ3" s="149"/>
      <c r="AHR3" s="149"/>
      <c r="AHS3" s="149"/>
      <c r="AHT3" s="149"/>
      <c r="AHU3" s="149"/>
      <c r="AHV3" s="149"/>
      <c r="AHW3" s="149"/>
      <c r="AHX3" s="149"/>
      <c r="AHY3" s="149"/>
      <c r="AHZ3" s="149"/>
      <c r="AIA3" s="149"/>
      <c r="AIB3" s="149"/>
      <c r="AIC3" s="149"/>
      <c r="AID3" s="149"/>
      <c r="AIE3" s="149"/>
      <c r="AIF3" s="149"/>
      <c r="AIG3" s="149"/>
      <c r="AIH3" s="149"/>
      <c r="AII3" s="149"/>
      <c r="AIJ3" s="149"/>
      <c r="AIK3" s="149"/>
      <c r="AIL3" s="149"/>
      <c r="AIM3" s="149"/>
      <c r="AIN3" s="149"/>
      <c r="AIO3" s="149"/>
      <c r="AIP3" s="149"/>
      <c r="AIQ3" s="149"/>
      <c r="AIR3" s="149"/>
      <c r="AIS3" s="149"/>
      <c r="AIT3" s="149"/>
      <c r="AIU3" s="149"/>
      <c r="AIV3" s="149"/>
      <c r="AIW3" s="149"/>
      <c r="AIX3" s="149"/>
      <c r="AIY3" s="149"/>
      <c r="AIZ3" s="149"/>
      <c r="AJA3" s="149"/>
      <c r="AJB3" s="149"/>
      <c r="AJC3" s="149"/>
      <c r="AJD3" s="149"/>
      <c r="AJE3" s="149"/>
      <c r="AJF3" s="149"/>
      <c r="AJG3" s="149"/>
      <c r="AJH3" s="149"/>
      <c r="AJI3" s="149"/>
      <c r="AJJ3" s="149"/>
      <c r="AJK3" s="149"/>
      <c r="AJL3" s="149"/>
      <c r="AJM3" s="149"/>
      <c r="AJN3" s="149"/>
      <c r="AJO3" s="149"/>
      <c r="AJP3" s="149"/>
      <c r="AJQ3" s="149"/>
      <c r="AJR3" s="149"/>
      <c r="AJS3" s="149"/>
      <c r="AJT3" s="149"/>
      <c r="AJU3" s="149"/>
      <c r="AJV3" s="149"/>
      <c r="AJW3" s="149"/>
      <c r="AJX3" s="149"/>
      <c r="AJY3" s="149"/>
      <c r="AJZ3" s="149"/>
      <c r="AKA3" s="149"/>
      <c r="AKB3" s="149"/>
      <c r="AKC3" s="149"/>
      <c r="AKD3" s="149"/>
      <c r="AKE3" s="149"/>
      <c r="AKF3" s="149"/>
      <c r="AKG3" s="149"/>
      <c r="AKH3" s="149"/>
      <c r="AKI3" s="149"/>
      <c r="AKJ3" s="149"/>
      <c r="AKK3" s="149"/>
      <c r="AKL3" s="149"/>
      <c r="AKM3" s="149"/>
      <c r="AKN3" s="149"/>
      <c r="AKO3" s="149"/>
      <c r="AKP3" s="149"/>
      <c r="AKQ3" s="149"/>
      <c r="AKR3" s="149"/>
      <c r="AKS3" s="149"/>
      <c r="AKT3" s="149"/>
      <c r="AKU3" s="149"/>
      <c r="AKV3" s="149"/>
      <c r="AKW3" s="149"/>
      <c r="AKX3" s="149"/>
      <c r="AKY3" s="149"/>
      <c r="AKZ3" s="149"/>
      <c r="ALA3" s="149"/>
      <c r="ALB3" s="149"/>
      <c r="ALC3" s="149"/>
      <c r="ALD3" s="149"/>
      <c r="ALE3" s="149"/>
      <c r="ALF3" s="149"/>
      <c r="ALG3" s="149"/>
      <c r="ALH3" s="149"/>
      <c r="ALI3" s="149"/>
      <c r="ALJ3" s="149"/>
      <c r="ALK3" s="149"/>
      <c r="ALL3" s="149"/>
      <c r="ALM3" s="149"/>
      <c r="ALN3" s="149"/>
      <c r="ALO3" s="149"/>
      <c r="ALP3" s="149"/>
      <c r="ALQ3" s="149"/>
      <c r="ALR3" s="149"/>
      <c r="ALS3" s="149"/>
      <c r="ALT3" s="149"/>
      <c r="ALU3" s="149"/>
      <c r="ALV3" s="149"/>
      <c r="ALW3" s="149"/>
      <c r="ALX3" s="149"/>
      <c r="ALY3" s="149"/>
      <c r="ALZ3" s="149"/>
      <c r="AMA3" s="149"/>
      <c r="AMB3" s="149"/>
      <c r="AMC3" s="149"/>
      <c r="AMD3" s="149"/>
      <c r="AME3" s="1"/>
      <c r="AMF3" s="1"/>
      <c r="AMG3" s="1"/>
      <c r="AMH3" s="1"/>
      <c r="AMI3" s="1"/>
    </row>
    <row r="4" customFormat="false" ht="8.2" hidden="false" customHeight="true" outlineLevel="0" collapsed="false">
      <c r="A4" s="154" t="str">
        <f aca="false">A3</f>
        <v>A</v>
      </c>
      <c r="B4" s="154" t="str">
        <f aca="false">B3</f>
        <v>Status Value</v>
      </c>
      <c r="C4" s="154" t="str">
        <f aca="false">C3</f>
        <v>Level</v>
      </c>
      <c r="D4" s="154" t="str">
        <f aca="false">D3</f>
        <v>Planning Type</v>
      </c>
      <c r="E4" s="154" t="str">
        <f aca="false">E3</f>
        <v>Run / Change</v>
      </c>
      <c r="F4" s="154" t="str">
        <f aca="false">F3</f>
        <v>Lvl</v>
      </c>
      <c r="G4" s="154" t="str">
        <f aca="false">G3</f>
        <v>Periodicity</v>
      </c>
      <c r="H4" s="154" t="str">
        <f aca="false">H3</f>
        <v>Periodicity Priority</v>
      </c>
      <c r="I4" s="154"/>
      <c r="J4" s="154"/>
      <c r="K4" s="154"/>
      <c r="L4" s="154" t="str">
        <f aca="false">L3</f>
        <v>Tracking Type  Reporting Eligibility</v>
      </c>
      <c r="M4" s="155" t="str">
        <f aca="false">M3</f>
        <v>Run Goal + Sub-Goals</v>
      </c>
      <c r="N4" s="154" t="str">
        <f aca="false">N3</f>
        <v>Run Goal + Sub-Goals</v>
      </c>
      <c r="O4" s="154" t="str">
        <f aca="false">O3</f>
        <v>Run Goal + Sub-Goals</v>
      </c>
      <c r="P4" s="154" t="str">
        <f aca="false">P3</f>
        <v>Run Goal + Sub-Goals</v>
      </c>
      <c r="Q4" s="154" t="str">
        <f aca="false">Q3</f>
        <v>Change Goal + Sub-Goals</v>
      </c>
      <c r="R4" s="154" t="str">
        <f aca="false">R3</f>
        <v>Change Goal + Sub-Goals</v>
      </c>
      <c r="S4" s="154" t="str">
        <f aca="false">S3</f>
        <v>Change Goal + Sub-Goals</v>
      </c>
      <c r="T4" s="154" t="str">
        <f aca="false">T3</f>
        <v>Change Goal + Sub-Goals</v>
      </c>
      <c r="U4" s="154" t="str">
        <f aca="false">U3</f>
        <v>Change Goal + Sub-Goals</v>
      </c>
      <c r="V4" s="154" t="str">
        <f aca="false">V3</f>
        <v>Change Goal + Sub-Goals</v>
      </c>
      <c r="W4" s="154" t="str">
        <f aca="false">W3</f>
        <v>Service Type</v>
      </c>
      <c r="X4" s="154" t="str">
        <f aca="false">X3</f>
        <v>Service Category</v>
      </c>
      <c r="Y4" s="154" t="str">
        <f aca="false">Y3</f>
        <v>Client Type</v>
      </c>
      <c r="Z4" s="154" t="str">
        <f aca="false">Z3</f>
        <v>Client Category</v>
      </c>
      <c r="AA4" s="154"/>
      <c r="AB4" s="154"/>
      <c r="AC4" s="154" t="str">
        <f aca="false">AC3</f>
        <v>Supplier Type</v>
      </c>
      <c r="AD4" s="154" t="str">
        <f aca="false">AD3</f>
        <v>Supplier Category</v>
      </c>
      <c r="AE4" s="154" t="str">
        <f aca="false">AE3</f>
        <v>Asset Type</v>
      </c>
      <c r="AF4" s="154" t="str">
        <f aca="false">AF3</f>
        <v>Asset Category</v>
      </c>
      <c r="AG4" s="154" t="str">
        <f aca="false">AG3</f>
        <v>Staff Type</v>
      </c>
      <c r="AH4" s="154" t="str">
        <f aca="false">AH3</f>
        <v>Staff Category</v>
      </c>
      <c r="AI4" s="154" t="str">
        <f aca="false">AI3</f>
        <v>Y/N</v>
      </c>
      <c r="AJ4" s="154" t="str">
        <f aca="false">AJ3</f>
        <v>Nr</v>
      </c>
      <c r="AK4" s="154" t="str">
        <f aca="false">AK3</f>
        <v>Month</v>
      </c>
      <c r="AL4" s="154" t="str">
        <f aca="false">AL3</f>
        <v>Nr</v>
      </c>
      <c r="AM4" s="154" t="str">
        <f aca="false">AM3</f>
        <v>Weekday</v>
      </c>
      <c r="AN4" s="154"/>
      <c r="AO4" s="154" t="str">
        <f aca="false">AO3</f>
        <v>Z</v>
      </c>
      <c r="AP4" s="149"/>
      <c r="AQ4" s="149"/>
      <c r="AR4" s="149"/>
      <c r="AS4" s="149"/>
      <c r="AT4" s="149"/>
      <c r="AU4" s="149"/>
      <c r="AV4" s="149"/>
      <c r="AW4" s="149"/>
      <c r="AX4" s="149"/>
      <c r="AY4" s="149"/>
      <c r="AZ4" s="149"/>
      <c r="BA4" s="149"/>
      <c r="BB4" s="149"/>
      <c r="BC4" s="149"/>
      <c r="BD4" s="149"/>
      <c r="BE4" s="149"/>
      <c r="BF4" s="149"/>
      <c r="BG4" s="149"/>
      <c r="BH4" s="149"/>
      <c r="BI4" s="149"/>
      <c r="BJ4" s="149"/>
      <c r="BK4" s="149"/>
      <c r="BL4" s="149"/>
      <c r="BM4" s="149"/>
      <c r="BN4" s="149"/>
      <c r="BO4" s="149"/>
      <c r="BP4" s="149"/>
      <c r="BQ4" s="149"/>
      <c r="BR4" s="149"/>
      <c r="BS4" s="149"/>
      <c r="BT4" s="149"/>
      <c r="BU4" s="149"/>
      <c r="BV4" s="149"/>
      <c r="BW4" s="149"/>
      <c r="BX4" s="149"/>
      <c r="BY4" s="149"/>
      <c r="BZ4" s="149"/>
      <c r="CA4" s="149"/>
      <c r="CB4" s="149"/>
      <c r="CC4" s="149"/>
      <c r="CD4" s="149"/>
      <c r="CE4" s="149"/>
      <c r="CF4" s="149"/>
      <c r="CG4" s="149"/>
      <c r="CH4" s="149"/>
      <c r="CI4" s="149"/>
      <c r="CJ4" s="149"/>
      <c r="CK4" s="149"/>
      <c r="CL4" s="149"/>
      <c r="CM4" s="149"/>
      <c r="CN4" s="149"/>
      <c r="CO4" s="149"/>
      <c r="CP4" s="149"/>
      <c r="CQ4" s="149"/>
      <c r="CR4" s="149"/>
      <c r="CS4" s="149"/>
      <c r="CT4" s="149"/>
      <c r="CU4" s="149"/>
      <c r="CV4" s="149"/>
      <c r="CW4" s="149"/>
      <c r="CX4" s="149"/>
      <c r="CY4" s="149"/>
      <c r="CZ4" s="149"/>
      <c r="DA4" s="149"/>
      <c r="DB4" s="149"/>
      <c r="DC4" s="149"/>
      <c r="DD4" s="149"/>
      <c r="DE4" s="149"/>
      <c r="DF4" s="149"/>
      <c r="DG4" s="149"/>
      <c r="DH4" s="149"/>
      <c r="DI4" s="149"/>
      <c r="DJ4" s="149"/>
      <c r="DK4" s="149"/>
      <c r="DL4" s="149"/>
      <c r="DM4" s="149"/>
      <c r="DN4" s="149"/>
      <c r="DO4" s="149"/>
      <c r="DP4" s="149"/>
      <c r="DQ4" s="149"/>
      <c r="DR4" s="149"/>
      <c r="DS4" s="149"/>
      <c r="DT4" s="149"/>
      <c r="DU4" s="149"/>
      <c r="DV4" s="149"/>
      <c r="DW4" s="149"/>
      <c r="DX4" s="149"/>
      <c r="DY4" s="149"/>
      <c r="DZ4" s="149"/>
      <c r="EA4" s="149"/>
      <c r="EB4" s="149"/>
      <c r="EC4" s="149"/>
      <c r="ED4" s="149"/>
      <c r="EE4" s="149"/>
      <c r="EF4" s="149"/>
      <c r="EG4" s="149"/>
      <c r="EH4" s="149"/>
      <c r="EI4" s="149"/>
      <c r="EJ4" s="149"/>
      <c r="EK4" s="149"/>
      <c r="EL4" s="149"/>
      <c r="EM4" s="149"/>
      <c r="EN4" s="149"/>
      <c r="EO4" s="149"/>
      <c r="EP4" s="149"/>
      <c r="EQ4" s="149"/>
      <c r="ER4" s="149"/>
      <c r="ES4" s="149"/>
      <c r="ET4" s="149"/>
      <c r="EU4" s="149"/>
      <c r="EV4" s="149"/>
      <c r="EW4" s="149"/>
      <c r="EX4" s="149"/>
      <c r="EY4" s="149"/>
      <c r="EZ4" s="149"/>
      <c r="FA4" s="149"/>
      <c r="FB4" s="149"/>
      <c r="FC4" s="149"/>
      <c r="FD4" s="149"/>
      <c r="FE4" s="149"/>
      <c r="FF4" s="149"/>
      <c r="FG4" s="149"/>
      <c r="FH4" s="149"/>
      <c r="FI4" s="149"/>
      <c r="FJ4" s="149"/>
      <c r="FK4" s="149"/>
      <c r="FL4" s="149"/>
      <c r="FM4" s="149"/>
      <c r="FN4" s="149"/>
      <c r="FO4" s="149"/>
      <c r="FP4" s="149"/>
      <c r="FQ4" s="149"/>
      <c r="FR4" s="149"/>
      <c r="FS4" s="149"/>
      <c r="FT4" s="149"/>
      <c r="FU4" s="149"/>
      <c r="FV4" s="149"/>
      <c r="FW4" s="149"/>
      <c r="FX4" s="149"/>
      <c r="FY4" s="149"/>
      <c r="FZ4" s="149"/>
      <c r="GA4" s="149"/>
      <c r="GB4" s="149"/>
      <c r="GC4" s="149"/>
      <c r="GD4" s="149"/>
      <c r="GE4" s="149"/>
      <c r="GF4" s="149"/>
      <c r="GG4" s="149"/>
      <c r="GH4" s="149"/>
      <c r="GI4" s="149"/>
      <c r="GJ4" s="149"/>
      <c r="GK4" s="149"/>
      <c r="GL4" s="149"/>
      <c r="GM4" s="149"/>
      <c r="GN4" s="149"/>
      <c r="GO4" s="149"/>
      <c r="GP4" s="149"/>
      <c r="GQ4" s="149"/>
      <c r="GR4" s="149"/>
      <c r="GS4" s="149"/>
      <c r="GT4" s="149"/>
      <c r="GU4" s="149"/>
      <c r="GV4" s="149"/>
      <c r="GW4" s="149"/>
      <c r="GX4" s="149"/>
      <c r="GY4" s="149"/>
      <c r="GZ4" s="149"/>
      <c r="HA4" s="149"/>
      <c r="HB4" s="149"/>
      <c r="HC4" s="149"/>
      <c r="HD4" s="149"/>
      <c r="HE4" s="149"/>
      <c r="HF4" s="149"/>
      <c r="HG4" s="149"/>
      <c r="HH4" s="149"/>
      <c r="HI4" s="149"/>
      <c r="HJ4" s="149"/>
      <c r="HK4" s="149"/>
      <c r="HL4" s="149"/>
      <c r="HM4" s="149"/>
      <c r="HN4" s="149"/>
      <c r="HO4" s="149"/>
      <c r="HP4" s="149"/>
      <c r="HQ4" s="149"/>
      <c r="HR4" s="149"/>
      <c r="HS4" s="149"/>
      <c r="HT4" s="149"/>
      <c r="HU4" s="149"/>
      <c r="HV4" s="149"/>
      <c r="HW4" s="149"/>
      <c r="HX4" s="149"/>
      <c r="HY4" s="149"/>
      <c r="HZ4" s="149"/>
      <c r="IA4" s="149"/>
      <c r="IB4" s="149"/>
      <c r="IC4" s="149"/>
      <c r="ID4" s="149"/>
      <c r="IE4" s="149"/>
      <c r="IF4" s="149"/>
      <c r="IG4" s="149"/>
      <c r="IH4" s="149"/>
      <c r="II4" s="149"/>
      <c r="IJ4" s="149"/>
      <c r="IK4" s="149"/>
      <c r="IL4" s="149"/>
      <c r="IM4" s="149"/>
      <c r="IN4" s="149"/>
      <c r="IO4" s="149"/>
      <c r="IP4" s="149"/>
      <c r="IQ4" s="149"/>
      <c r="IR4" s="149"/>
      <c r="IS4" s="149"/>
      <c r="IT4" s="149"/>
      <c r="IU4" s="149"/>
      <c r="IV4" s="149"/>
      <c r="IW4" s="149"/>
      <c r="IX4" s="149"/>
      <c r="IY4" s="149"/>
      <c r="IZ4" s="149"/>
      <c r="JA4" s="149"/>
      <c r="JB4" s="149"/>
      <c r="JC4" s="149"/>
      <c r="JD4" s="149"/>
      <c r="JE4" s="149"/>
      <c r="JF4" s="149"/>
      <c r="JG4" s="149"/>
      <c r="JH4" s="149"/>
      <c r="JI4" s="149"/>
      <c r="JJ4" s="149"/>
      <c r="JK4" s="149"/>
      <c r="JL4" s="149"/>
      <c r="JM4" s="149"/>
      <c r="JN4" s="149"/>
      <c r="JO4" s="149"/>
      <c r="JP4" s="149"/>
      <c r="JQ4" s="149"/>
      <c r="JR4" s="149"/>
      <c r="JS4" s="149"/>
      <c r="JT4" s="149"/>
      <c r="JU4" s="149"/>
      <c r="JV4" s="149"/>
      <c r="JW4" s="149"/>
      <c r="JX4" s="149"/>
      <c r="JY4" s="149"/>
      <c r="JZ4" s="149"/>
      <c r="KA4" s="149"/>
      <c r="KB4" s="149"/>
      <c r="KC4" s="149"/>
      <c r="KD4" s="149"/>
      <c r="KE4" s="149"/>
      <c r="KF4" s="149"/>
      <c r="KG4" s="149"/>
      <c r="KH4" s="149"/>
      <c r="KI4" s="149"/>
      <c r="KJ4" s="149"/>
      <c r="KK4" s="149"/>
      <c r="KL4" s="149"/>
      <c r="KM4" s="149"/>
      <c r="KN4" s="149"/>
      <c r="KO4" s="149"/>
      <c r="KP4" s="149"/>
      <c r="KQ4" s="149"/>
      <c r="KR4" s="149"/>
      <c r="KS4" s="149"/>
      <c r="KT4" s="149"/>
      <c r="KU4" s="149"/>
      <c r="KV4" s="149"/>
      <c r="KW4" s="149"/>
      <c r="KX4" s="149"/>
      <c r="KY4" s="149"/>
      <c r="KZ4" s="149"/>
      <c r="LA4" s="149"/>
      <c r="LB4" s="149"/>
      <c r="LC4" s="149"/>
      <c r="LD4" s="149"/>
      <c r="LE4" s="149"/>
      <c r="LF4" s="149"/>
      <c r="LG4" s="149"/>
      <c r="LH4" s="149"/>
      <c r="LI4" s="149"/>
      <c r="LJ4" s="149"/>
      <c r="LK4" s="149"/>
      <c r="LL4" s="149"/>
      <c r="LM4" s="149"/>
      <c r="LN4" s="149"/>
      <c r="LO4" s="149"/>
      <c r="LP4" s="149"/>
      <c r="LQ4" s="149"/>
      <c r="LR4" s="149"/>
      <c r="LS4" s="149"/>
      <c r="LT4" s="149"/>
      <c r="LU4" s="149"/>
      <c r="LV4" s="149"/>
      <c r="LW4" s="149"/>
      <c r="LX4" s="149"/>
      <c r="LY4" s="149"/>
      <c r="LZ4" s="149"/>
      <c r="MA4" s="149"/>
      <c r="MB4" s="149"/>
      <c r="MC4" s="149"/>
      <c r="MD4" s="149"/>
      <c r="ME4" s="149"/>
      <c r="MF4" s="149"/>
      <c r="MG4" s="149"/>
      <c r="MH4" s="149"/>
      <c r="MI4" s="149"/>
      <c r="MJ4" s="149"/>
      <c r="MK4" s="149"/>
      <c r="ML4" s="149"/>
      <c r="MM4" s="149"/>
      <c r="MN4" s="149"/>
      <c r="MO4" s="149"/>
      <c r="MP4" s="149"/>
      <c r="MQ4" s="149"/>
      <c r="MR4" s="149"/>
      <c r="MS4" s="149"/>
      <c r="MT4" s="149"/>
      <c r="MU4" s="149"/>
      <c r="MV4" s="149"/>
      <c r="MW4" s="149"/>
      <c r="MX4" s="149"/>
      <c r="MY4" s="149"/>
      <c r="MZ4" s="149"/>
      <c r="NA4" s="149"/>
      <c r="NB4" s="149"/>
      <c r="NC4" s="149"/>
      <c r="ND4" s="149"/>
      <c r="NE4" s="149"/>
      <c r="NF4" s="149"/>
      <c r="NG4" s="149"/>
      <c r="NH4" s="149"/>
      <c r="NI4" s="149"/>
      <c r="NJ4" s="149"/>
      <c r="NK4" s="149"/>
      <c r="NL4" s="149"/>
      <c r="NM4" s="149"/>
      <c r="NN4" s="149"/>
      <c r="NO4" s="149"/>
      <c r="NP4" s="149"/>
      <c r="NQ4" s="149"/>
      <c r="NR4" s="149"/>
      <c r="NS4" s="149"/>
      <c r="NT4" s="149"/>
      <c r="NU4" s="149"/>
      <c r="NV4" s="149"/>
      <c r="NW4" s="149"/>
      <c r="NX4" s="149"/>
      <c r="NY4" s="149"/>
      <c r="NZ4" s="149"/>
      <c r="OA4" s="149"/>
      <c r="OB4" s="149"/>
      <c r="OC4" s="149"/>
      <c r="OD4" s="149"/>
      <c r="OE4" s="149"/>
      <c r="OF4" s="149"/>
      <c r="OG4" s="149"/>
      <c r="OH4" s="149"/>
      <c r="OI4" s="149"/>
      <c r="OJ4" s="149"/>
      <c r="OK4" s="149"/>
      <c r="OL4" s="149"/>
      <c r="OM4" s="149"/>
      <c r="ON4" s="149"/>
      <c r="OO4" s="149"/>
      <c r="OP4" s="149"/>
      <c r="OQ4" s="149"/>
      <c r="OR4" s="149"/>
      <c r="OS4" s="149"/>
      <c r="OT4" s="149"/>
      <c r="OU4" s="149"/>
      <c r="OV4" s="149"/>
      <c r="OW4" s="149"/>
      <c r="OX4" s="149"/>
      <c r="OY4" s="149"/>
      <c r="OZ4" s="149"/>
      <c r="PA4" s="149"/>
      <c r="PB4" s="149"/>
      <c r="PC4" s="149"/>
      <c r="PD4" s="149"/>
      <c r="PE4" s="149"/>
      <c r="PF4" s="149"/>
      <c r="PG4" s="149"/>
      <c r="PH4" s="149"/>
      <c r="PI4" s="149"/>
      <c r="PJ4" s="149"/>
      <c r="PK4" s="149"/>
      <c r="PL4" s="149"/>
      <c r="PM4" s="149"/>
      <c r="PN4" s="149"/>
      <c r="PO4" s="149"/>
      <c r="PP4" s="149"/>
      <c r="PQ4" s="149"/>
      <c r="PR4" s="149"/>
      <c r="PS4" s="149"/>
      <c r="PT4" s="149"/>
      <c r="PU4" s="149"/>
      <c r="PV4" s="149"/>
      <c r="PW4" s="149"/>
      <c r="PX4" s="149"/>
      <c r="PY4" s="149"/>
      <c r="PZ4" s="149"/>
      <c r="QA4" s="149"/>
      <c r="QB4" s="149"/>
      <c r="QC4" s="149"/>
      <c r="QD4" s="149"/>
      <c r="QE4" s="149"/>
      <c r="QF4" s="149"/>
      <c r="QG4" s="149"/>
      <c r="QH4" s="149"/>
      <c r="QI4" s="149"/>
      <c r="QJ4" s="149"/>
      <c r="QK4" s="149"/>
      <c r="QL4" s="149"/>
      <c r="QM4" s="149"/>
      <c r="QN4" s="149"/>
      <c r="QO4" s="149"/>
      <c r="QP4" s="149"/>
      <c r="QQ4" s="149"/>
      <c r="QR4" s="149"/>
      <c r="QS4" s="149"/>
      <c r="QT4" s="149"/>
      <c r="QU4" s="149"/>
      <c r="QV4" s="149"/>
      <c r="QW4" s="149"/>
      <c r="QX4" s="149"/>
      <c r="QY4" s="149"/>
      <c r="QZ4" s="149"/>
      <c r="RA4" s="149"/>
      <c r="RB4" s="149"/>
      <c r="RC4" s="149"/>
      <c r="RD4" s="149"/>
      <c r="RE4" s="149"/>
      <c r="RF4" s="149"/>
      <c r="RG4" s="149"/>
      <c r="RH4" s="149"/>
      <c r="RI4" s="149"/>
      <c r="RJ4" s="149"/>
      <c r="RK4" s="149"/>
      <c r="RL4" s="149"/>
      <c r="RM4" s="149"/>
      <c r="RN4" s="149"/>
      <c r="RO4" s="149"/>
      <c r="RP4" s="149"/>
      <c r="RQ4" s="149"/>
      <c r="RR4" s="149"/>
      <c r="RS4" s="149"/>
      <c r="RT4" s="149"/>
      <c r="RU4" s="149"/>
      <c r="RV4" s="149"/>
      <c r="RW4" s="149"/>
      <c r="RX4" s="149"/>
      <c r="RY4" s="149"/>
      <c r="RZ4" s="149"/>
      <c r="SA4" s="149"/>
      <c r="SB4" s="149"/>
      <c r="SC4" s="149"/>
      <c r="SD4" s="149"/>
      <c r="SE4" s="149"/>
      <c r="SF4" s="149"/>
      <c r="SG4" s="149"/>
      <c r="SH4" s="149"/>
      <c r="SI4" s="149"/>
      <c r="SJ4" s="149"/>
      <c r="SK4" s="149"/>
      <c r="SL4" s="149"/>
      <c r="SM4" s="149"/>
      <c r="SN4" s="149"/>
      <c r="SO4" s="149"/>
      <c r="SP4" s="149"/>
      <c r="SQ4" s="149"/>
      <c r="SR4" s="149"/>
      <c r="SS4" s="149"/>
      <c r="ST4" s="149"/>
      <c r="SU4" s="149"/>
      <c r="SV4" s="149"/>
      <c r="SW4" s="149"/>
      <c r="SX4" s="149"/>
      <c r="SY4" s="149"/>
      <c r="SZ4" s="149"/>
      <c r="TA4" s="149"/>
      <c r="TB4" s="149"/>
      <c r="TC4" s="149"/>
      <c r="TD4" s="149"/>
      <c r="TE4" s="149"/>
      <c r="TF4" s="149"/>
      <c r="TG4" s="149"/>
      <c r="TH4" s="149"/>
      <c r="TI4" s="149"/>
      <c r="TJ4" s="149"/>
      <c r="TK4" s="149"/>
      <c r="TL4" s="149"/>
      <c r="TM4" s="149"/>
      <c r="TN4" s="149"/>
      <c r="TO4" s="149"/>
      <c r="TP4" s="149"/>
      <c r="TQ4" s="149"/>
      <c r="TR4" s="149"/>
      <c r="TS4" s="149"/>
      <c r="TT4" s="149"/>
      <c r="TU4" s="149"/>
      <c r="TV4" s="149"/>
      <c r="TW4" s="149"/>
      <c r="TX4" s="149"/>
      <c r="TY4" s="149"/>
      <c r="TZ4" s="149"/>
      <c r="UA4" s="149"/>
      <c r="UB4" s="149"/>
      <c r="UC4" s="149"/>
      <c r="UD4" s="149"/>
      <c r="UE4" s="149"/>
      <c r="UF4" s="149"/>
      <c r="UG4" s="149"/>
      <c r="UH4" s="149"/>
      <c r="UI4" s="149"/>
      <c r="UJ4" s="149"/>
      <c r="UK4" s="149"/>
      <c r="UL4" s="149"/>
      <c r="UM4" s="149"/>
      <c r="UN4" s="149"/>
      <c r="UO4" s="149"/>
      <c r="UP4" s="149"/>
      <c r="UQ4" s="149"/>
      <c r="UR4" s="149"/>
      <c r="US4" s="149"/>
      <c r="UT4" s="149"/>
      <c r="UU4" s="149"/>
      <c r="UV4" s="149"/>
      <c r="UW4" s="149"/>
      <c r="UX4" s="149"/>
      <c r="UY4" s="149"/>
      <c r="UZ4" s="149"/>
      <c r="VA4" s="149"/>
      <c r="VB4" s="149"/>
      <c r="VC4" s="149"/>
      <c r="VD4" s="149"/>
      <c r="VE4" s="149"/>
      <c r="VF4" s="149"/>
      <c r="VG4" s="149"/>
      <c r="VH4" s="149"/>
      <c r="VI4" s="149"/>
      <c r="VJ4" s="149"/>
      <c r="VK4" s="149"/>
      <c r="VL4" s="149"/>
      <c r="VM4" s="149"/>
      <c r="VN4" s="149"/>
      <c r="VO4" s="149"/>
      <c r="VP4" s="149"/>
      <c r="VQ4" s="149"/>
      <c r="VR4" s="149"/>
      <c r="VS4" s="149"/>
      <c r="VT4" s="149"/>
      <c r="VU4" s="149"/>
      <c r="VV4" s="149"/>
      <c r="VW4" s="149"/>
      <c r="VX4" s="149"/>
      <c r="VY4" s="149"/>
      <c r="VZ4" s="149"/>
      <c r="WA4" s="149"/>
      <c r="WB4" s="149"/>
      <c r="WC4" s="149"/>
      <c r="WD4" s="149"/>
      <c r="WE4" s="149"/>
      <c r="WF4" s="149"/>
      <c r="WG4" s="149"/>
      <c r="WH4" s="149"/>
      <c r="WI4" s="149"/>
      <c r="WJ4" s="149"/>
      <c r="WK4" s="149"/>
      <c r="WL4" s="149"/>
      <c r="WM4" s="149"/>
      <c r="WN4" s="149"/>
      <c r="WO4" s="149"/>
      <c r="WP4" s="149"/>
      <c r="WQ4" s="149"/>
      <c r="WR4" s="149"/>
      <c r="WS4" s="149"/>
      <c r="WT4" s="149"/>
      <c r="WU4" s="149"/>
      <c r="WV4" s="149"/>
      <c r="WW4" s="149"/>
      <c r="WX4" s="149"/>
      <c r="WY4" s="149"/>
      <c r="WZ4" s="149"/>
      <c r="XA4" s="149"/>
      <c r="XB4" s="149"/>
      <c r="XC4" s="149"/>
      <c r="XD4" s="149"/>
      <c r="XE4" s="149"/>
      <c r="XF4" s="149"/>
      <c r="XG4" s="149"/>
      <c r="XH4" s="149"/>
      <c r="XI4" s="149"/>
      <c r="XJ4" s="149"/>
      <c r="XK4" s="149"/>
      <c r="XL4" s="149"/>
      <c r="XM4" s="149"/>
      <c r="XN4" s="149"/>
      <c r="XO4" s="149"/>
      <c r="XP4" s="149"/>
      <c r="XQ4" s="149"/>
      <c r="XR4" s="149"/>
      <c r="XS4" s="149"/>
      <c r="XT4" s="149"/>
      <c r="XU4" s="149"/>
      <c r="XV4" s="149"/>
      <c r="XW4" s="149"/>
      <c r="XX4" s="149"/>
      <c r="XY4" s="149"/>
      <c r="XZ4" s="149"/>
      <c r="YA4" s="149"/>
      <c r="YB4" s="149"/>
      <c r="YC4" s="149"/>
      <c r="YD4" s="149"/>
      <c r="YE4" s="149"/>
      <c r="YF4" s="149"/>
      <c r="YG4" s="149"/>
      <c r="YH4" s="149"/>
      <c r="YI4" s="149"/>
      <c r="YJ4" s="149"/>
      <c r="YK4" s="149"/>
      <c r="YL4" s="149"/>
      <c r="YM4" s="149"/>
      <c r="YN4" s="149"/>
      <c r="YO4" s="149"/>
      <c r="YP4" s="149"/>
      <c r="YQ4" s="149"/>
      <c r="YR4" s="149"/>
      <c r="YS4" s="149"/>
      <c r="YT4" s="149"/>
      <c r="YU4" s="149"/>
      <c r="YV4" s="149"/>
      <c r="YW4" s="149"/>
      <c r="YX4" s="149"/>
      <c r="YY4" s="149"/>
      <c r="YZ4" s="149"/>
      <c r="ZA4" s="149"/>
      <c r="ZB4" s="149"/>
      <c r="ZC4" s="149"/>
      <c r="ZD4" s="149"/>
      <c r="ZE4" s="149"/>
      <c r="ZF4" s="149"/>
      <c r="ZG4" s="149"/>
      <c r="ZH4" s="149"/>
      <c r="ZI4" s="149"/>
      <c r="ZJ4" s="149"/>
      <c r="ZK4" s="149"/>
      <c r="ZL4" s="149"/>
      <c r="ZM4" s="149"/>
      <c r="ZN4" s="149"/>
      <c r="ZO4" s="149"/>
      <c r="ZP4" s="149"/>
      <c r="ZQ4" s="149"/>
      <c r="ZR4" s="149"/>
      <c r="ZS4" s="149"/>
      <c r="ZT4" s="149"/>
      <c r="ZU4" s="149"/>
      <c r="ZV4" s="149"/>
      <c r="ZW4" s="149"/>
      <c r="ZX4" s="149"/>
      <c r="ZY4" s="149"/>
      <c r="ZZ4" s="149"/>
      <c r="AAA4" s="149"/>
      <c r="AAB4" s="149"/>
      <c r="AAC4" s="149"/>
      <c r="AAD4" s="149"/>
      <c r="AAE4" s="149"/>
      <c r="AAF4" s="149"/>
      <c r="AAG4" s="149"/>
      <c r="AAH4" s="149"/>
      <c r="AAI4" s="149"/>
      <c r="AAJ4" s="149"/>
      <c r="AAK4" s="149"/>
      <c r="AAL4" s="149"/>
      <c r="AAM4" s="149"/>
      <c r="AAN4" s="149"/>
      <c r="AAO4" s="149"/>
      <c r="AAP4" s="149"/>
      <c r="AAQ4" s="149"/>
      <c r="AAR4" s="149"/>
      <c r="AAS4" s="149"/>
      <c r="AAT4" s="149"/>
      <c r="AAU4" s="149"/>
      <c r="AAV4" s="149"/>
      <c r="AAW4" s="149"/>
      <c r="AAX4" s="149"/>
      <c r="AAY4" s="149"/>
      <c r="AAZ4" s="149"/>
      <c r="ABA4" s="149"/>
      <c r="ABB4" s="149"/>
      <c r="ABC4" s="149"/>
      <c r="ABD4" s="149"/>
      <c r="ABE4" s="149"/>
      <c r="ABF4" s="149"/>
      <c r="ABG4" s="149"/>
      <c r="ABH4" s="149"/>
      <c r="ABI4" s="149"/>
      <c r="ABJ4" s="149"/>
      <c r="ABK4" s="149"/>
      <c r="ABL4" s="149"/>
      <c r="ABM4" s="149"/>
      <c r="ABN4" s="149"/>
      <c r="ABO4" s="149"/>
      <c r="ABP4" s="149"/>
      <c r="ABQ4" s="149"/>
      <c r="ABR4" s="149"/>
      <c r="ABS4" s="149"/>
      <c r="ABT4" s="149"/>
      <c r="ABU4" s="149"/>
      <c r="ABV4" s="149"/>
      <c r="ABW4" s="149"/>
      <c r="ABX4" s="149"/>
      <c r="ABY4" s="149"/>
      <c r="ABZ4" s="149"/>
      <c r="ACA4" s="149"/>
      <c r="ACB4" s="149"/>
      <c r="ACC4" s="149"/>
      <c r="ACD4" s="149"/>
      <c r="ACE4" s="149"/>
      <c r="ACF4" s="149"/>
      <c r="ACG4" s="149"/>
      <c r="ACH4" s="149"/>
      <c r="ACI4" s="149"/>
      <c r="ACJ4" s="149"/>
      <c r="ACK4" s="149"/>
      <c r="ACL4" s="149"/>
      <c r="ACM4" s="149"/>
      <c r="ACN4" s="149"/>
      <c r="ACO4" s="149"/>
      <c r="ACP4" s="149"/>
      <c r="ACQ4" s="149"/>
      <c r="ACR4" s="149"/>
      <c r="ACS4" s="149"/>
      <c r="ACT4" s="149"/>
      <c r="ACU4" s="149"/>
      <c r="ACV4" s="149"/>
      <c r="ACW4" s="149"/>
      <c r="ACX4" s="149"/>
      <c r="ACY4" s="149"/>
      <c r="ACZ4" s="149"/>
      <c r="ADA4" s="149"/>
      <c r="ADB4" s="149"/>
      <c r="ADC4" s="149"/>
      <c r="ADD4" s="149"/>
      <c r="ADE4" s="149"/>
      <c r="ADF4" s="149"/>
      <c r="ADG4" s="149"/>
      <c r="ADH4" s="149"/>
      <c r="ADI4" s="149"/>
      <c r="ADJ4" s="149"/>
      <c r="ADK4" s="149"/>
      <c r="ADL4" s="149"/>
      <c r="ADM4" s="149"/>
      <c r="ADN4" s="149"/>
      <c r="ADO4" s="149"/>
      <c r="ADP4" s="149"/>
      <c r="ADQ4" s="149"/>
      <c r="ADR4" s="149"/>
      <c r="ADS4" s="149"/>
      <c r="ADT4" s="149"/>
      <c r="ADU4" s="149"/>
      <c r="ADV4" s="149"/>
      <c r="ADW4" s="149"/>
      <c r="ADX4" s="149"/>
      <c r="ADY4" s="149"/>
      <c r="ADZ4" s="149"/>
      <c r="AEA4" s="149"/>
      <c r="AEB4" s="149"/>
      <c r="AEC4" s="149"/>
      <c r="AED4" s="149"/>
      <c r="AEE4" s="149"/>
      <c r="AEF4" s="149"/>
      <c r="AEG4" s="149"/>
      <c r="AEH4" s="149"/>
      <c r="AEI4" s="149"/>
      <c r="AEJ4" s="149"/>
      <c r="AEK4" s="149"/>
      <c r="AEL4" s="149"/>
      <c r="AEM4" s="149"/>
      <c r="AEN4" s="149"/>
      <c r="AEO4" s="149"/>
      <c r="AEP4" s="149"/>
      <c r="AEQ4" s="149"/>
      <c r="AER4" s="149"/>
      <c r="AES4" s="149"/>
      <c r="AET4" s="149"/>
      <c r="AEU4" s="149"/>
      <c r="AEV4" s="149"/>
      <c r="AEW4" s="149"/>
      <c r="AEX4" s="149"/>
      <c r="AEY4" s="149"/>
      <c r="AEZ4" s="149"/>
      <c r="AFA4" s="149"/>
      <c r="AFB4" s="149"/>
      <c r="AFC4" s="149"/>
      <c r="AFD4" s="149"/>
      <c r="AFE4" s="149"/>
      <c r="AFF4" s="149"/>
      <c r="AFG4" s="149"/>
      <c r="AFH4" s="149"/>
      <c r="AFI4" s="149"/>
      <c r="AFJ4" s="149"/>
      <c r="AFK4" s="149"/>
      <c r="AFL4" s="149"/>
      <c r="AFM4" s="149"/>
      <c r="AFN4" s="149"/>
      <c r="AFO4" s="149"/>
      <c r="AFP4" s="149"/>
      <c r="AFQ4" s="149"/>
      <c r="AFR4" s="149"/>
      <c r="AFS4" s="149"/>
      <c r="AFT4" s="149"/>
      <c r="AFU4" s="149"/>
      <c r="AFV4" s="149"/>
      <c r="AFW4" s="149"/>
      <c r="AFX4" s="149"/>
      <c r="AFY4" s="149"/>
      <c r="AFZ4" s="149"/>
      <c r="AGA4" s="149"/>
      <c r="AGB4" s="149"/>
      <c r="AGC4" s="149"/>
      <c r="AGD4" s="149"/>
      <c r="AGE4" s="149"/>
      <c r="AGF4" s="149"/>
      <c r="AGG4" s="149"/>
      <c r="AGH4" s="149"/>
      <c r="AGI4" s="149"/>
      <c r="AGJ4" s="149"/>
      <c r="AGK4" s="149"/>
      <c r="AGL4" s="149"/>
      <c r="AGM4" s="149"/>
      <c r="AGN4" s="149"/>
      <c r="AGO4" s="149"/>
      <c r="AGP4" s="149"/>
      <c r="AGQ4" s="149"/>
      <c r="AGR4" s="149"/>
      <c r="AGS4" s="149"/>
      <c r="AGT4" s="149"/>
      <c r="AGU4" s="149"/>
      <c r="AGV4" s="149"/>
      <c r="AGW4" s="149"/>
      <c r="AGX4" s="149"/>
      <c r="AGY4" s="149"/>
      <c r="AGZ4" s="149"/>
      <c r="AHA4" s="149"/>
      <c r="AHB4" s="149"/>
      <c r="AHC4" s="149"/>
      <c r="AHD4" s="149"/>
      <c r="AHE4" s="149"/>
      <c r="AHF4" s="149"/>
      <c r="AHG4" s="149"/>
      <c r="AHH4" s="149"/>
      <c r="AHI4" s="149"/>
      <c r="AHJ4" s="149"/>
      <c r="AHK4" s="149"/>
      <c r="AHL4" s="149"/>
      <c r="AHM4" s="149"/>
      <c r="AHN4" s="149"/>
      <c r="AHO4" s="149"/>
      <c r="AHP4" s="149"/>
      <c r="AHQ4" s="149"/>
      <c r="AHR4" s="149"/>
      <c r="AHS4" s="149"/>
      <c r="AHT4" s="149"/>
      <c r="AHU4" s="149"/>
      <c r="AHV4" s="149"/>
      <c r="AHW4" s="149"/>
      <c r="AHX4" s="149"/>
      <c r="AHY4" s="149"/>
      <c r="AHZ4" s="149"/>
      <c r="AIA4" s="149"/>
      <c r="AIB4" s="149"/>
      <c r="AIC4" s="149"/>
      <c r="AID4" s="149"/>
      <c r="AIE4" s="149"/>
      <c r="AIF4" s="149"/>
      <c r="AIG4" s="149"/>
      <c r="AIH4" s="149"/>
      <c r="AII4" s="149"/>
      <c r="AIJ4" s="149"/>
      <c r="AIK4" s="149"/>
      <c r="AIL4" s="149"/>
      <c r="AIM4" s="149"/>
      <c r="AIN4" s="149"/>
      <c r="AIO4" s="149"/>
      <c r="AIP4" s="149"/>
      <c r="AIQ4" s="149"/>
      <c r="AIR4" s="149"/>
      <c r="AIS4" s="149"/>
      <c r="AIT4" s="149"/>
      <c r="AIU4" s="149"/>
      <c r="AIV4" s="149"/>
      <c r="AIW4" s="149"/>
      <c r="AIX4" s="149"/>
      <c r="AIY4" s="149"/>
      <c r="AIZ4" s="149"/>
      <c r="AJA4" s="149"/>
      <c r="AJB4" s="149"/>
      <c r="AJC4" s="149"/>
      <c r="AJD4" s="149"/>
      <c r="AJE4" s="149"/>
      <c r="AJF4" s="149"/>
      <c r="AJG4" s="149"/>
      <c r="AJH4" s="149"/>
      <c r="AJI4" s="149"/>
      <c r="AJJ4" s="149"/>
      <c r="AJK4" s="149"/>
      <c r="AJL4" s="149"/>
      <c r="AJM4" s="149"/>
      <c r="AJN4" s="149"/>
      <c r="AJO4" s="149"/>
      <c r="AJP4" s="149"/>
      <c r="AJQ4" s="149"/>
      <c r="AJR4" s="149"/>
      <c r="AJS4" s="149"/>
      <c r="AJT4" s="149"/>
      <c r="AJU4" s="149"/>
      <c r="AJV4" s="149"/>
      <c r="AJW4" s="149"/>
      <c r="AJX4" s="149"/>
      <c r="AJY4" s="149"/>
      <c r="AJZ4" s="149"/>
      <c r="AKA4" s="149"/>
      <c r="AKB4" s="149"/>
      <c r="AKC4" s="149"/>
      <c r="AKD4" s="149"/>
      <c r="AKE4" s="149"/>
      <c r="AKF4" s="149"/>
      <c r="AKG4" s="149"/>
      <c r="AKH4" s="149"/>
      <c r="AKI4" s="149"/>
      <c r="AKJ4" s="149"/>
      <c r="AKK4" s="149"/>
      <c r="AKL4" s="149"/>
      <c r="AKM4" s="149"/>
      <c r="AKN4" s="149"/>
      <c r="AKO4" s="149"/>
      <c r="AKP4" s="149"/>
      <c r="AKQ4" s="149"/>
      <c r="AKR4" s="149"/>
      <c r="AKS4" s="149"/>
      <c r="AKT4" s="149"/>
      <c r="AKU4" s="149"/>
      <c r="AKV4" s="149"/>
      <c r="AKW4" s="149"/>
      <c r="AKX4" s="149"/>
      <c r="AKY4" s="149"/>
      <c r="AKZ4" s="149"/>
      <c r="ALA4" s="149"/>
      <c r="ALB4" s="149"/>
      <c r="ALC4" s="149"/>
      <c r="ALD4" s="149"/>
      <c r="ALE4" s="149"/>
      <c r="ALF4" s="149"/>
      <c r="ALG4" s="149"/>
      <c r="ALH4" s="149"/>
      <c r="ALI4" s="149"/>
      <c r="ALJ4" s="149"/>
      <c r="ALK4" s="149"/>
      <c r="ALL4" s="149"/>
      <c r="ALM4" s="149"/>
      <c r="ALN4" s="149"/>
      <c r="ALO4" s="149"/>
      <c r="ALP4" s="149"/>
      <c r="ALQ4" s="149"/>
      <c r="ALR4" s="149"/>
      <c r="ALS4" s="149"/>
      <c r="ALT4" s="149"/>
      <c r="ALU4" s="149"/>
      <c r="ALV4" s="149"/>
      <c r="ALW4" s="149"/>
      <c r="ALX4" s="149"/>
      <c r="ALY4" s="149"/>
      <c r="ALZ4" s="149"/>
      <c r="AMA4" s="149"/>
      <c r="AMB4" s="149"/>
      <c r="AMC4" s="149"/>
      <c r="AMD4" s="149"/>
      <c r="AME4" s="1"/>
      <c r="AMF4" s="1"/>
      <c r="AMG4" s="1"/>
      <c r="AMH4" s="1"/>
      <c r="AMI4" s="1"/>
    </row>
    <row r="5" customFormat="false" ht="12.8" hidden="false" customHeight="false" outlineLevel="0" collapsed="false">
      <c r="B5" s="1" t="s">
        <v>1010</v>
      </c>
      <c r="C5" s="1" t="n">
        <v>3</v>
      </c>
      <c r="D5" s="29" t="s">
        <v>727</v>
      </c>
      <c r="E5" s="29" t="s">
        <v>1011</v>
      </c>
      <c r="F5" s="29" t="n">
        <v>10000000</v>
      </c>
      <c r="G5" s="29" t="s">
        <v>25</v>
      </c>
      <c r="H5" s="29" t="s">
        <v>25</v>
      </c>
      <c r="I5" s="29" t="s">
        <v>1012</v>
      </c>
      <c r="J5" s="29" t="s">
        <v>455</v>
      </c>
      <c r="K5" s="29" t="s">
        <v>1013</v>
      </c>
      <c r="L5" s="29" t="s">
        <v>1014</v>
      </c>
      <c r="M5" s="3" t="s">
        <v>459</v>
      </c>
      <c r="N5" s="29" t="s">
        <v>618</v>
      </c>
      <c r="O5" s="29" t="s">
        <v>793</v>
      </c>
      <c r="P5" s="29" t="s">
        <v>789</v>
      </c>
      <c r="Q5" s="29" t="s">
        <v>747</v>
      </c>
      <c r="R5" s="29" t="s">
        <v>1015</v>
      </c>
      <c r="S5" s="29" t="s">
        <v>736</v>
      </c>
      <c r="T5" s="29" t="s">
        <v>1016</v>
      </c>
      <c r="U5" s="29" t="s">
        <v>1017</v>
      </c>
      <c r="V5" s="156" t="s">
        <v>1018</v>
      </c>
      <c r="W5" s="29" t="s">
        <v>925</v>
      </c>
      <c r="X5" s="29" t="s">
        <v>1019</v>
      </c>
      <c r="Y5" s="29" t="s">
        <v>853</v>
      </c>
      <c r="Z5" s="29" t="s">
        <v>1020</v>
      </c>
      <c r="AA5" s="29" t="s">
        <v>853</v>
      </c>
      <c r="AB5" s="29" t="s">
        <v>1021</v>
      </c>
      <c r="AC5" s="29" t="s">
        <v>853</v>
      </c>
      <c r="AD5" s="29" t="s">
        <v>876</v>
      </c>
      <c r="AE5" s="29" t="s">
        <v>853</v>
      </c>
      <c r="AF5" s="29" t="s">
        <v>893</v>
      </c>
      <c r="AG5" s="29" t="s">
        <v>853</v>
      </c>
      <c r="AH5" s="29" t="s">
        <v>1022</v>
      </c>
      <c r="AI5" s="1" t="s">
        <v>25</v>
      </c>
      <c r="AJ5" s="1" t="n">
        <v>1</v>
      </c>
      <c r="AK5" s="1" t="s">
        <v>771</v>
      </c>
      <c r="AL5" s="1" t="n">
        <v>1</v>
      </c>
      <c r="AM5" s="1" t="s">
        <v>1023</v>
      </c>
      <c r="AO5" s="1" t="s">
        <v>364</v>
      </c>
    </row>
    <row r="6" customFormat="false" ht="12.8" hidden="false" customHeight="false" outlineLevel="0" collapsed="false">
      <c r="B6" s="1" t="s">
        <v>463</v>
      </c>
      <c r="C6" s="1" t="n">
        <v>3</v>
      </c>
      <c r="D6" s="29" t="s">
        <v>1024</v>
      </c>
      <c r="E6" s="29" t="s">
        <v>1011</v>
      </c>
      <c r="F6" s="29" t="n">
        <v>11000000</v>
      </c>
      <c r="G6" s="29" t="s">
        <v>468</v>
      </c>
      <c r="H6" s="29" t="n">
        <v>0</v>
      </c>
      <c r="I6" s="29" t="s">
        <v>1025</v>
      </c>
      <c r="J6" s="29" t="s">
        <v>455</v>
      </c>
      <c r="K6" s="29" t="s">
        <v>1026</v>
      </c>
      <c r="L6" s="29" t="s">
        <v>1014</v>
      </c>
      <c r="M6" s="3" t="s">
        <v>460</v>
      </c>
      <c r="N6" s="29" t="s">
        <v>1027</v>
      </c>
      <c r="O6" s="29" t="s">
        <v>1028</v>
      </c>
      <c r="P6" s="29" t="s">
        <v>1029</v>
      </c>
      <c r="Q6" s="29" t="s">
        <v>1030</v>
      </c>
      <c r="R6" s="29" t="s">
        <v>1031</v>
      </c>
      <c r="S6" s="29" t="s">
        <v>737</v>
      </c>
      <c r="T6" s="29" t="s">
        <v>1032</v>
      </c>
      <c r="U6" s="29" t="s">
        <v>1033</v>
      </c>
      <c r="V6" s="29" t="s">
        <v>1034</v>
      </c>
      <c r="W6" s="29" t="s">
        <v>1035</v>
      </c>
      <c r="X6" s="29" t="s">
        <v>1036</v>
      </c>
      <c r="Y6" s="29" t="s">
        <v>872</v>
      </c>
      <c r="Z6" s="29" t="s">
        <v>1037</v>
      </c>
      <c r="AA6" s="29" t="s">
        <v>872</v>
      </c>
      <c r="AB6" s="29" t="s">
        <v>1038</v>
      </c>
      <c r="AC6" s="29" t="s">
        <v>872</v>
      </c>
      <c r="AD6" s="29" t="s">
        <v>915</v>
      </c>
      <c r="AE6" s="29" t="s">
        <v>872</v>
      </c>
      <c r="AF6" s="29" t="s">
        <v>1039</v>
      </c>
      <c r="AG6" s="29" t="s">
        <v>872</v>
      </c>
      <c r="AH6" s="29" t="s">
        <v>1040</v>
      </c>
      <c r="AI6" s="1" t="s">
        <v>1014</v>
      </c>
      <c r="AJ6" s="1" t="n">
        <v>2</v>
      </c>
      <c r="AK6" s="1" t="s">
        <v>772</v>
      </c>
      <c r="AL6" s="1" t="n">
        <v>2</v>
      </c>
      <c r="AM6" s="1" t="s">
        <v>1041</v>
      </c>
      <c r="AO6" s="1" t="s">
        <v>364</v>
      </c>
    </row>
    <row r="7" customFormat="false" ht="12.8" hidden="false" customHeight="false" outlineLevel="0" collapsed="false">
      <c r="B7" s="1" t="s">
        <v>1042</v>
      </c>
      <c r="C7" s="1" t="n">
        <v>3</v>
      </c>
      <c r="D7" s="156" t="s">
        <v>732</v>
      </c>
      <c r="E7" s="29" t="s">
        <v>1043</v>
      </c>
      <c r="F7" s="29" t="n">
        <v>12000000</v>
      </c>
      <c r="G7" s="29" t="s">
        <v>614</v>
      </c>
      <c r="H7" s="29" t="n">
        <v>1</v>
      </c>
      <c r="I7" s="29" t="s">
        <v>1044</v>
      </c>
      <c r="J7" s="29" t="s">
        <v>455</v>
      </c>
      <c r="K7" s="29" t="s">
        <v>1045</v>
      </c>
      <c r="L7" s="29" t="s">
        <v>1014</v>
      </c>
      <c r="M7" s="3" t="s">
        <v>470</v>
      </c>
      <c r="N7" s="29" t="s">
        <v>1046</v>
      </c>
      <c r="O7" s="29" t="s">
        <v>1047</v>
      </c>
      <c r="P7" s="29" t="s">
        <v>1048</v>
      </c>
      <c r="Q7" s="29" t="s">
        <v>748</v>
      </c>
      <c r="R7" s="29" t="s">
        <v>1049</v>
      </c>
      <c r="S7" s="29" t="s">
        <v>1050</v>
      </c>
      <c r="T7" s="29" t="s">
        <v>1051</v>
      </c>
      <c r="U7" s="29" t="s">
        <v>1052</v>
      </c>
      <c r="V7" s="29" t="s">
        <v>1053</v>
      </c>
      <c r="X7" s="29" t="s">
        <v>1054</v>
      </c>
      <c r="Z7" s="29" t="s">
        <v>1055</v>
      </c>
      <c r="AB7" s="29" t="s">
        <v>1056</v>
      </c>
      <c r="AD7" s="29" t="s">
        <v>1020</v>
      </c>
      <c r="AF7" s="29" t="s">
        <v>876</v>
      </c>
      <c r="AH7" s="29" t="s">
        <v>1057</v>
      </c>
      <c r="AI7" s="1" t="s">
        <v>455</v>
      </c>
      <c r="AJ7" s="1" t="n">
        <v>3</v>
      </c>
      <c r="AK7" s="1" t="s">
        <v>773</v>
      </c>
      <c r="AL7" s="1" t="n">
        <v>3</v>
      </c>
      <c r="AM7" s="1" t="s">
        <v>1058</v>
      </c>
      <c r="AO7" s="1" t="s">
        <v>364</v>
      </c>
    </row>
    <row r="8" customFormat="false" ht="12.8" hidden="false" customHeight="false" outlineLevel="0" collapsed="false">
      <c r="B8" s="1" t="s">
        <v>1059</v>
      </c>
      <c r="C8" s="1" t="n">
        <v>3</v>
      </c>
      <c r="D8" s="29" t="s">
        <v>462</v>
      </c>
      <c r="E8" s="29" t="s">
        <v>1011</v>
      </c>
      <c r="F8" s="29" t="n">
        <v>11100000</v>
      </c>
      <c r="G8" s="29" t="s">
        <v>610</v>
      </c>
      <c r="H8" s="29" t="n">
        <v>2</v>
      </c>
      <c r="I8" s="29" t="s">
        <v>1060</v>
      </c>
      <c r="J8" s="29" t="s">
        <v>455</v>
      </c>
      <c r="K8" s="29" t="s">
        <v>1061</v>
      </c>
      <c r="L8" s="29" t="s">
        <v>1014</v>
      </c>
      <c r="M8" s="3" t="s">
        <v>473</v>
      </c>
      <c r="N8" s="29" t="s">
        <v>1062</v>
      </c>
      <c r="O8" s="29" t="s">
        <v>1063</v>
      </c>
      <c r="P8" s="29" t="s">
        <v>1064</v>
      </c>
      <c r="Q8" s="29" t="s">
        <v>1065</v>
      </c>
      <c r="R8" s="29" t="s">
        <v>1066</v>
      </c>
      <c r="S8" s="29" t="s">
        <v>1067</v>
      </c>
      <c r="T8" s="29" t="s">
        <v>1068</v>
      </c>
      <c r="U8" s="29" t="s">
        <v>1069</v>
      </c>
      <c r="V8" s="29" t="s">
        <v>1070</v>
      </c>
      <c r="X8" s="29" t="s">
        <v>1071</v>
      </c>
      <c r="Z8" s="29" t="s">
        <v>1072</v>
      </c>
      <c r="AB8" s="29" t="s">
        <v>1073</v>
      </c>
      <c r="AD8" s="29" t="s">
        <v>1074</v>
      </c>
      <c r="AF8" s="29" t="s">
        <v>1075</v>
      </c>
      <c r="AH8" s="29" t="s">
        <v>1076</v>
      </c>
      <c r="AJ8" s="1" t="n">
        <v>4</v>
      </c>
      <c r="AK8" s="1" t="s">
        <v>774</v>
      </c>
      <c r="AL8" s="1" t="n">
        <v>4</v>
      </c>
      <c r="AM8" s="1" t="s">
        <v>1077</v>
      </c>
      <c r="AO8" s="1" t="s">
        <v>364</v>
      </c>
    </row>
    <row r="9" customFormat="false" ht="12.8" hidden="false" customHeight="false" outlineLevel="0" collapsed="false">
      <c r="B9" s="1" t="s">
        <v>1078</v>
      </c>
      <c r="C9" s="1" t="n">
        <v>3</v>
      </c>
      <c r="D9" s="29" t="s">
        <v>799</v>
      </c>
      <c r="E9" s="29" t="s">
        <v>1011</v>
      </c>
      <c r="F9" s="29" t="n">
        <v>11110000</v>
      </c>
      <c r="G9" s="29" t="s">
        <v>1079</v>
      </c>
      <c r="H9" s="29" t="n">
        <v>3</v>
      </c>
      <c r="I9" s="29" t="s">
        <v>968</v>
      </c>
      <c r="J9" s="29" t="s">
        <v>1014</v>
      </c>
      <c r="K9" s="29" t="s">
        <v>414</v>
      </c>
      <c r="L9" s="29" t="s">
        <v>1014</v>
      </c>
      <c r="M9" s="3" t="s">
        <v>476</v>
      </c>
      <c r="N9" s="29" t="s">
        <v>1080</v>
      </c>
      <c r="O9" s="29" t="s">
        <v>1081</v>
      </c>
      <c r="P9" s="29" t="s">
        <v>1082</v>
      </c>
      <c r="Q9" s="29" t="s">
        <v>1083</v>
      </c>
      <c r="R9" s="29" t="s">
        <v>1084</v>
      </c>
      <c r="S9" s="29" t="s">
        <v>1085</v>
      </c>
      <c r="T9" s="29" t="s">
        <v>1086</v>
      </c>
      <c r="U9" s="29" t="s">
        <v>1087</v>
      </c>
      <c r="V9" s="29" t="s">
        <v>1088</v>
      </c>
      <c r="X9" s="29" t="s">
        <v>1089</v>
      </c>
      <c r="Z9" s="29" t="s">
        <v>941</v>
      </c>
      <c r="AB9" s="29" t="s">
        <v>1090</v>
      </c>
      <c r="AD9" s="29" t="s">
        <v>1091</v>
      </c>
      <c r="AF9" s="29" t="s">
        <v>1092</v>
      </c>
      <c r="AH9" s="29" t="s">
        <v>1093</v>
      </c>
      <c r="AJ9" s="1" t="n">
        <v>5</v>
      </c>
      <c r="AK9" s="1" t="s">
        <v>775</v>
      </c>
      <c r="AL9" s="1" t="n">
        <v>5</v>
      </c>
      <c r="AM9" s="1" t="s">
        <v>1094</v>
      </c>
      <c r="AO9" s="1" t="s">
        <v>364</v>
      </c>
    </row>
    <row r="10" customFormat="false" ht="12.8" hidden="false" customHeight="false" outlineLevel="0" collapsed="false">
      <c r="C10" s="1" t="n">
        <v>3</v>
      </c>
      <c r="D10" s="29" t="s">
        <v>802</v>
      </c>
      <c r="E10" s="29" t="s">
        <v>1011</v>
      </c>
      <c r="F10" s="29" t="n">
        <v>11111000</v>
      </c>
      <c r="G10" s="29" t="s">
        <v>1095</v>
      </c>
      <c r="H10" s="29" t="n">
        <v>4</v>
      </c>
      <c r="I10" s="29" t="s">
        <v>973</v>
      </c>
      <c r="J10" s="29" t="s">
        <v>455</v>
      </c>
      <c r="K10" s="29" t="s">
        <v>1096</v>
      </c>
      <c r="L10" s="29" t="s">
        <v>1014</v>
      </c>
      <c r="M10" s="3" t="s">
        <v>479</v>
      </c>
      <c r="N10" s="29" t="s">
        <v>1097</v>
      </c>
      <c r="O10" s="29" t="s">
        <v>1098</v>
      </c>
      <c r="P10" s="29" t="s">
        <v>1099</v>
      </c>
      <c r="Q10" s="29" t="s">
        <v>1100</v>
      </c>
      <c r="R10" s="29" t="s">
        <v>1101</v>
      </c>
      <c r="S10" s="29" t="s">
        <v>1102</v>
      </c>
      <c r="T10" s="29" t="s">
        <v>1103</v>
      </c>
      <c r="U10" s="29" t="s">
        <v>1104</v>
      </c>
      <c r="V10" s="29" t="s">
        <v>1105</v>
      </c>
      <c r="AB10" s="29" t="s">
        <v>1106</v>
      </c>
      <c r="AD10" s="29" t="s">
        <v>1107</v>
      </c>
      <c r="AH10" s="29" t="s">
        <v>1108</v>
      </c>
      <c r="AJ10" s="1" t="n">
        <v>6</v>
      </c>
      <c r="AK10" s="1" t="s">
        <v>776</v>
      </c>
      <c r="AL10" s="1" t="n">
        <v>6</v>
      </c>
      <c r="AM10" s="1" t="s">
        <v>1109</v>
      </c>
      <c r="AO10" s="1" t="s">
        <v>364</v>
      </c>
    </row>
    <row r="11" customFormat="false" ht="12.8" hidden="false" customHeight="false" outlineLevel="0" collapsed="false">
      <c r="C11" s="1" t="n">
        <v>2</v>
      </c>
      <c r="D11" s="29" t="s">
        <v>548</v>
      </c>
      <c r="E11" s="29" t="s">
        <v>1043</v>
      </c>
      <c r="F11" s="29" t="n">
        <v>12100000</v>
      </c>
      <c r="G11" s="29" t="s">
        <v>1110</v>
      </c>
      <c r="H11" s="29" t="n">
        <v>5</v>
      </c>
      <c r="I11" s="29" t="s">
        <v>941</v>
      </c>
      <c r="J11" s="29" t="s">
        <v>455</v>
      </c>
      <c r="K11" s="29" t="s">
        <v>1014</v>
      </c>
      <c r="L11" s="29" t="s">
        <v>455</v>
      </c>
      <c r="M11" s="3" t="s">
        <v>482</v>
      </c>
      <c r="N11" s="29" t="s">
        <v>1111</v>
      </c>
      <c r="P11" s="29" t="s">
        <v>1112</v>
      </c>
      <c r="Q11" s="29" t="s">
        <v>1113</v>
      </c>
      <c r="R11" s="29" t="s">
        <v>1114</v>
      </c>
      <c r="S11" s="29" t="s">
        <v>1115</v>
      </c>
      <c r="T11" s="29" t="s">
        <v>1116</v>
      </c>
      <c r="U11" s="29" t="s">
        <v>1117</v>
      </c>
      <c r="V11" s="29" t="s">
        <v>1118</v>
      </c>
      <c r="AB11" s="29" t="s">
        <v>1119</v>
      </c>
      <c r="AD11" s="29" t="s">
        <v>1120</v>
      </c>
      <c r="AH11" s="29" t="s">
        <v>1121</v>
      </c>
      <c r="AJ11" s="1" t="n">
        <v>7</v>
      </c>
      <c r="AK11" s="1" t="s">
        <v>777</v>
      </c>
      <c r="AL11" s="1" t="n">
        <v>7</v>
      </c>
      <c r="AM11" s="1" t="s">
        <v>1122</v>
      </c>
      <c r="AO11" s="1" t="s">
        <v>364</v>
      </c>
    </row>
    <row r="12" customFormat="false" ht="12.8" hidden="false" customHeight="false" outlineLevel="0" collapsed="false">
      <c r="D12" s="29" t="s">
        <v>738</v>
      </c>
      <c r="E12" s="29" t="s">
        <v>1043</v>
      </c>
      <c r="F12" s="29" t="n">
        <v>12110000</v>
      </c>
      <c r="G12" s="29" t="s">
        <v>1123</v>
      </c>
      <c r="H12" s="29" t="n">
        <v>6</v>
      </c>
      <c r="I12" s="29" t="s">
        <v>1124</v>
      </c>
      <c r="J12" s="29" t="s">
        <v>455</v>
      </c>
      <c r="K12" s="29" t="s">
        <v>1125</v>
      </c>
      <c r="L12" s="29" t="s">
        <v>455</v>
      </c>
      <c r="M12" s="3" t="s">
        <v>485</v>
      </c>
      <c r="N12" s="29" t="s">
        <v>1126</v>
      </c>
      <c r="Q12" s="29" t="s">
        <v>1127</v>
      </c>
      <c r="R12" s="29" t="s">
        <v>1128</v>
      </c>
      <c r="S12" s="29" t="s">
        <v>1129</v>
      </c>
      <c r="T12" s="29" t="s">
        <v>1130</v>
      </c>
      <c r="U12" s="29" t="s">
        <v>1131</v>
      </c>
      <c r="V12" s="29" t="s">
        <v>1132</v>
      </c>
      <c r="AB12" s="29" t="s">
        <v>1133</v>
      </c>
      <c r="AD12" s="29" t="s">
        <v>1134</v>
      </c>
      <c r="AH12" s="29" t="s">
        <v>856</v>
      </c>
      <c r="AJ12" s="1" t="n">
        <v>8</v>
      </c>
      <c r="AK12" s="1" t="s">
        <v>778</v>
      </c>
      <c r="AO12" s="1" t="s">
        <v>364</v>
      </c>
    </row>
    <row r="13" customFormat="false" ht="12.8" hidden="false" customHeight="false" outlineLevel="0" collapsed="false">
      <c r="D13" s="29" t="s">
        <v>741</v>
      </c>
      <c r="E13" s="29" t="s">
        <v>1043</v>
      </c>
      <c r="F13" s="29" t="n">
        <v>12111000</v>
      </c>
      <c r="G13" s="29" t="s">
        <v>1135</v>
      </c>
      <c r="H13" s="29" t="n">
        <v>7</v>
      </c>
      <c r="I13" s="29" t="s">
        <v>548</v>
      </c>
      <c r="J13" s="29" t="s">
        <v>455</v>
      </c>
      <c r="K13" s="29" t="s">
        <v>1136</v>
      </c>
      <c r="L13" s="29" t="s">
        <v>1014</v>
      </c>
      <c r="M13" s="3" t="s">
        <v>488</v>
      </c>
      <c r="N13" s="29" t="s">
        <v>1137</v>
      </c>
      <c r="Q13" s="29" t="s">
        <v>1138</v>
      </c>
      <c r="R13" s="29" t="s">
        <v>1139</v>
      </c>
      <c r="S13" s="29" t="s">
        <v>1140</v>
      </c>
      <c r="T13" s="29" t="s">
        <v>1141</v>
      </c>
      <c r="U13" s="29" t="s">
        <v>1142</v>
      </c>
      <c r="V13" s="29" t="s">
        <v>1143</v>
      </c>
      <c r="AB13" s="29" t="s">
        <v>1144</v>
      </c>
      <c r="AH13" s="29" t="s">
        <v>1145</v>
      </c>
      <c r="AJ13" s="1" t="n">
        <v>9</v>
      </c>
      <c r="AK13" s="1" t="s">
        <v>779</v>
      </c>
      <c r="AO13" s="1" t="s">
        <v>364</v>
      </c>
    </row>
    <row r="14" customFormat="false" ht="12.8" hidden="false" customHeight="false" outlineLevel="0" collapsed="false">
      <c r="G14" s="29" t="s">
        <v>1146</v>
      </c>
      <c r="H14" s="29" t="n">
        <v>8</v>
      </c>
      <c r="I14" s="29" t="s">
        <v>462</v>
      </c>
      <c r="J14" s="29" t="s">
        <v>1014</v>
      </c>
      <c r="K14" s="29" t="s">
        <v>1147</v>
      </c>
      <c r="L14" s="29" t="s">
        <v>1014</v>
      </c>
      <c r="M14" s="3" t="s">
        <v>491</v>
      </c>
      <c r="N14" s="29" t="s">
        <v>1148</v>
      </c>
      <c r="Q14" s="29" t="s">
        <v>1149</v>
      </c>
      <c r="R14" s="29" t="s">
        <v>1150</v>
      </c>
      <c r="S14" s="29" t="s">
        <v>1151</v>
      </c>
      <c r="T14" s="29" t="s">
        <v>1152</v>
      </c>
      <c r="U14" s="29" t="s">
        <v>1153</v>
      </c>
      <c r="V14" s="29" t="s">
        <v>1154</v>
      </c>
      <c r="AB14" s="29" t="s">
        <v>1155</v>
      </c>
      <c r="AH14" s="29" t="s">
        <v>1156</v>
      </c>
      <c r="AJ14" s="1" t="n">
        <v>10</v>
      </c>
      <c r="AK14" s="1" t="s">
        <v>780</v>
      </c>
      <c r="AO14" s="1" t="s">
        <v>364</v>
      </c>
    </row>
    <row r="15" customFormat="false" ht="12.8" hidden="false" customHeight="false" outlineLevel="0" collapsed="false">
      <c r="I15" s="29" t="s">
        <v>1157</v>
      </c>
      <c r="J15" s="29" t="s">
        <v>455</v>
      </c>
      <c r="K15" s="29" t="s">
        <v>1158</v>
      </c>
      <c r="L15" s="29" t="s">
        <v>455</v>
      </c>
      <c r="M15" s="3" t="s">
        <v>494</v>
      </c>
      <c r="N15" s="29" t="s">
        <v>619</v>
      </c>
      <c r="Q15" s="29" t="s">
        <v>1159</v>
      </c>
      <c r="R15" s="29" t="s">
        <v>1160</v>
      </c>
      <c r="S15" s="29" t="s">
        <v>1161</v>
      </c>
      <c r="T15" s="29" t="s">
        <v>1162</v>
      </c>
      <c r="U15" s="29" t="s">
        <v>1163</v>
      </c>
      <c r="V15" s="29" t="s">
        <v>1164</v>
      </c>
      <c r="AB15" s="29" t="s">
        <v>1165</v>
      </c>
      <c r="AJ15" s="1" t="n">
        <v>11</v>
      </c>
      <c r="AK15" s="1" t="s">
        <v>781</v>
      </c>
      <c r="AO15" s="1" t="s">
        <v>364</v>
      </c>
    </row>
    <row r="16" customFormat="false" ht="12.8" hidden="false" customHeight="false" outlineLevel="0" collapsed="false">
      <c r="M16" s="3" t="s">
        <v>497</v>
      </c>
      <c r="N16" s="29" t="s">
        <v>1166</v>
      </c>
      <c r="AB16" s="29" t="s">
        <v>941</v>
      </c>
      <c r="AJ16" s="1" t="n">
        <v>12</v>
      </c>
      <c r="AK16" s="1" t="s">
        <v>782</v>
      </c>
      <c r="AO16" s="1" t="s">
        <v>364</v>
      </c>
    </row>
    <row r="17" customFormat="false" ht="12.8" hidden="false" customHeight="false" outlineLevel="0" collapsed="false">
      <c r="M17" s="3" t="s">
        <v>499</v>
      </c>
      <c r="N17" s="29" t="s">
        <v>1167</v>
      </c>
      <c r="AO17" s="1" t="s">
        <v>364</v>
      </c>
    </row>
    <row r="18" customFormat="false" ht="12.8" hidden="false" customHeight="false" outlineLevel="0" collapsed="false">
      <c r="M18" s="3" t="s">
        <v>502</v>
      </c>
      <c r="AO18" s="1" t="s">
        <v>364</v>
      </c>
    </row>
    <row r="19" customFormat="false" ht="12.8" hidden="false" customHeight="false" outlineLevel="0" collapsed="false">
      <c r="M19" s="3" t="s">
        <v>504</v>
      </c>
      <c r="AO19" s="1" t="s">
        <v>364</v>
      </c>
    </row>
    <row r="20" customFormat="false" ht="12.8" hidden="false" customHeight="false" outlineLevel="0" collapsed="false">
      <c r="M20" s="3" t="s">
        <v>507</v>
      </c>
      <c r="AO20" s="1" t="s">
        <v>364</v>
      </c>
    </row>
    <row r="21" customFormat="false" ht="12.8" hidden="false" customHeight="false" outlineLevel="0" collapsed="false">
      <c r="M21" s="3" t="s">
        <v>509</v>
      </c>
      <c r="AO21" s="1" t="s">
        <v>364</v>
      </c>
    </row>
    <row r="22" customFormat="false" ht="12.8" hidden="false" customHeight="false" outlineLevel="0" collapsed="false">
      <c r="M22" s="3" t="s">
        <v>511</v>
      </c>
      <c r="AO22" s="1" t="s">
        <v>364</v>
      </c>
    </row>
    <row r="23" customFormat="false" ht="12.8" hidden="false" customHeight="false" outlineLevel="0" collapsed="false">
      <c r="M23" s="3" t="s">
        <v>514</v>
      </c>
      <c r="AO23" s="1" t="s">
        <v>364</v>
      </c>
    </row>
    <row r="24" customFormat="false" ht="12.8" hidden="false" customHeight="false" outlineLevel="0" collapsed="false">
      <c r="M24" s="3" t="s">
        <v>516</v>
      </c>
      <c r="AO24" s="1" t="s">
        <v>364</v>
      </c>
    </row>
    <row r="25" customFormat="false" ht="12.8" hidden="false" customHeight="false" outlineLevel="0" collapsed="false">
      <c r="M25" s="3" t="s">
        <v>518</v>
      </c>
      <c r="AO25" s="1" t="s">
        <v>364</v>
      </c>
    </row>
    <row r="26" customFormat="false" ht="12.8" hidden="false" customHeight="false" outlineLevel="0" collapsed="false">
      <c r="AO26" s="1" t="s">
        <v>364</v>
      </c>
    </row>
    <row r="27" customFormat="false" ht="12.8" hidden="false" customHeight="false" outlineLevel="0" collapsed="false">
      <c r="AO27" s="1" t="s">
        <v>364</v>
      </c>
    </row>
    <row r="28" customFormat="false" ht="12.8" hidden="false" customHeight="false" outlineLevel="0" collapsed="false">
      <c r="AO28" s="1" t="s">
        <v>364</v>
      </c>
    </row>
    <row r="29" customFormat="false" ht="12.8" hidden="false" customHeight="false" outlineLevel="0" collapsed="false">
      <c r="AO29" s="1" t="s">
        <v>364</v>
      </c>
    </row>
    <row r="30" customFormat="false" ht="12.8" hidden="false" customHeight="false" outlineLevel="0" collapsed="false">
      <c r="AO30" s="1" t="s">
        <v>364</v>
      </c>
    </row>
    <row r="31" customFormat="false" ht="12.8" hidden="false" customHeight="false" outlineLevel="0" collapsed="false">
      <c r="AO31" s="1" t="s">
        <v>364</v>
      </c>
    </row>
    <row r="32" customFormat="false" ht="12.8" hidden="false" customHeight="false" outlineLevel="0" collapsed="false">
      <c r="AO32" s="1" t="s">
        <v>364</v>
      </c>
    </row>
    <row r="33" customFormat="false" ht="12.8" hidden="false" customHeight="false" outlineLevel="0" collapsed="false">
      <c r="AO33" s="1" t="s">
        <v>364</v>
      </c>
    </row>
    <row r="34" customFormat="false" ht="12.8" hidden="false" customHeight="false" outlineLevel="0" collapsed="false">
      <c r="AO34" s="1" t="s">
        <v>364</v>
      </c>
    </row>
    <row r="35" customFormat="false" ht="12.8" hidden="false" customHeight="false" outlineLevel="0" collapsed="false">
      <c r="AO35" s="1" t="s">
        <v>364</v>
      </c>
    </row>
    <row r="36" customFormat="false" ht="12.8" hidden="false" customHeight="false" outlineLevel="0" collapsed="false">
      <c r="AO36" s="1" t="s">
        <v>364</v>
      </c>
    </row>
    <row r="37" customFormat="false" ht="12.8" hidden="false" customHeight="false" outlineLevel="0" collapsed="false">
      <c r="AO37" s="1" t="s">
        <v>364</v>
      </c>
    </row>
  </sheetData>
  <dataValidations count="1">
    <dataValidation allowBlank="true" errorStyle="stop" operator="equal" showDropDown="false" showErrorMessage="true" showInputMessage="false" sqref="V5" type="list">
      <formula1>Static!$Q$5:$V$5</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tableParts>
    <tablePart r:id="rId1"/>
    <tablePart r:id="rId2"/>
    <tablePart r:id="rId3"/>
    <tablePart r:id="rId4"/>
    <tablePart r:id="rId5"/>
    <tablePart r:id="rId6"/>
    <tablePart r:id="rId7"/>
    <tablePart r:id="rId8"/>
    <tablePart r:id="rId9"/>
    <tablePart r:id="rId10"/>
  </tableParts>
</worksheet>
</file>

<file path=docProps/app.xml><?xml version="1.0" encoding="utf-8"?>
<Properties xmlns="http://schemas.openxmlformats.org/officeDocument/2006/extended-properties" xmlns:vt="http://schemas.openxmlformats.org/officeDocument/2006/docPropsVTypes">
  <Template/>
  <TotalTime>10971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2021-08-29T12:51:43Z</dcterms:created>
  <dc:creator/>
  <dc:description>The MSS is used as part of a Management Framework. It is subject to two licenses:
Attribution-NonCommercial-ShareAlike 4.0 International a.k.a. CC-BY-NC-SA 4.0. 
&lt;https://creativecommons.org/licenses/by-nc-sa/4.0&gt;
and
GNU Public License 3.0
&lt;https://www.gnu.org/licenses&gt;</dc:description>
  <dc:language>en-HK</dc:language>
  <cp:lastModifiedBy/>
  <dcterms:modified xsi:type="dcterms:W3CDTF">2026-10-26T20:53:31Z</dcterms:modified>
  <cp:revision>1434</cp:revision>
  <dc:subject>The Management Spreadsheet</dc:subject>
  <dc:title>MSS</dc:title>
</cp:coreProperties>
</file>

<file path=docProps/custom.xml><?xml version="1.0" encoding="utf-8"?>
<Properties xmlns="http://schemas.openxmlformats.org/officeDocument/2006/custom-properties" xmlns:vt="http://schemas.openxmlformats.org/officeDocument/2006/docPropsVTypes"/>
</file>